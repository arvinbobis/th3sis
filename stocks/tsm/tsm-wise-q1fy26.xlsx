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vinbobis/Programs/thesis-builder/stocks/tsm/"/>
    </mc:Choice>
  </mc:AlternateContent>
  <xr:revisionPtr revIDLastSave="0" documentId="8_{62757753-8633-CB40-B16D-77809E5C1F7E}" xr6:coauthVersionLast="47" xr6:coauthVersionMax="47" xr10:uidLastSave="{00000000-0000-0000-0000-000000000000}"/>
  <bookViews>
    <workbookView xWindow="3080" yWindow="2160" windowWidth="28040" windowHeight="17180" firstSheet="4" activeTab="8" xr2:uid="{173E9D97-D9AF-704F-BA82-465FA8BF954F}"/>
  </bookViews>
  <sheets>
    <sheet name="TSM - Income Statement FY" sheetId="2" r:id="rId1"/>
    <sheet name="TSM - Balance Sheet FY" sheetId="3" r:id="rId2"/>
    <sheet name="TSM - Cash Flow FY" sheetId="4" r:id="rId3"/>
    <sheet name="TSM - Key Metrics FY" sheetId="5" r:id="rId4"/>
    <sheet name="TSM - Financial Growth FY" sheetId="6" r:id="rId5"/>
    <sheet name="TSM - Income Statement Q" sheetId="7" r:id="rId6"/>
    <sheet name="TSM - Balance Sheet Q" sheetId="8" r:id="rId7"/>
    <sheet name="TSM - Cash Flow Q" sheetId="9" r:id="rId8"/>
    <sheet name="TSM - Key Metrics Q" sheetId="10" r:id="rId9"/>
    <sheet name="TSM - Financial Growth Q" sheetId="11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1" l="1"/>
  <c r="B3" i="10"/>
  <c r="B3" i="9"/>
  <c r="B3" i="8"/>
  <c r="B3" i="6"/>
  <c r="B3" i="5"/>
  <c r="B3" i="4"/>
  <c r="B3" i="3"/>
</calcChain>
</file>

<file path=xl/sharedStrings.xml><?xml version="1.0" encoding="utf-8"?>
<sst xmlns="http://schemas.openxmlformats.org/spreadsheetml/2006/main" count="829" uniqueCount="199">
  <si>
    <t>Income Statement</t>
  </si>
  <si>
    <t>Company</t>
  </si>
  <si>
    <t>TSM (NYSE)</t>
  </si>
  <si>
    <t>Currency</t>
  </si>
  <si>
    <t>TWD</t>
  </si>
  <si>
    <t>Weighted Average Shs Out Dil</t>
  </si>
  <si>
    <t>Weighted Average Shs Out</t>
  </si>
  <si>
    <t>Epsdiluted</t>
  </si>
  <si>
    <t>Eps</t>
  </si>
  <si>
    <t>Net Income Ratio</t>
  </si>
  <si>
    <t>Net Income</t>
  </si>
  <si>
    <t>Income Tax Expense</t>
  </si>
  <si>
    <t>Income Before Tax Ratio</t>
  </si>
  <si>
    <t>Income Before Tax</t>
  </si>
  <si>
    <t>Total Other Income Expenses Net</t>
  </si>
  <si>
    <t>Operating Income Ratio</t>
  </si>
  <si>
    <t>Operating Income</t>
  </si>
  <si>
    <t>Ebitdaratio</t>
  </si>
  <si>
    <t>Ebitda</t>
  </si>
  <si>
    <t>Depreciation And Amortization</t>
  </si>
  <si>
    <t>Interest Expense</t>
  </si>
  <si>
    <t>Cost And Expenses</t>
  </si>
  <si>
    <t>Operating Expenses</t>
  </si>
  <si>
    <t>Other Expenses</t>
  </si>
  <si>
    <t>Selling General And Administrative Expenses</t>
  </si>
  <si>
    <t xml:space="preserve">    Selling And Marketing Expenses</t>
  </si>
  <si>
    <t xml:space="preserve">    General And Administrative Expenses</t>
  </si>
  <si>
    <t>Research And Development Expenses</t>
  </si>
  <si>
    <t>Gross Profit Ratio</t>
  </si>
  <si>
    <t>Gross Profit</t>
  </si>
  <si>
    <t>Cost Of Revenue</t>
  </si>
  <si>
    <t>Revenue</t>
  </si>
  <si>
    <t>Period</t>
  </si>
  <si>
    <t>FY</t>
  </si>
  <si>
    <t>Date</t>
  </si>
  <si>
    <t>Balance Sheet</t>
  </si>
  <si>
    <t>Net Debt</t>
  </si>
  <si>
    <t>Total Debt</t>
  </si>
  <si>
    <t>Total Investments</t>
  </si>
  <si>
    <t>Total Liabilities And Stockholders Equity</t>
  </si>
  <si>
    <t>Total Stockholders Equity</t>
  </si>
  <si>
    <t>Othertotal Stockholders Equity</t>
  </si>
  <si>
    <t>Accumulated Other Comprehensive Income Loss</t>
  </si>
  <si>
    <t>Retained Earnings</t>
  </si>
  <si>
    <t>Common Stock</t>
  </si>
  <si>
    <t>Total Liabilities</t>
  </si>
  <si>
    <t>Other Liabilities</t>
  </si>
  <si>
    <t>Total Non Current Liabilities</t>
  </si>
  <si>
    <t>Other Non Current Liabilities</t>
  </si>
  <si>
    <t>Deferred Tax Liabilities Non Current</t>
  </si>
  <si>
    <t>Deferred Revenue Non Current</t>
  </si>
  <si>
    <t>Long Term Debt</t>
  </si>
  <si>
    <t>Total Current Liabilities</t>
  </si>
  <si>
    <t>Other Current Liabilities</t>
  </si>
  <si>
    <t>Deferred Revenue</t>
  </si>
  <si>
    <t>Tax Payables</t>
  </si>
  <si>
    <t>Short Term Debt</t>
  </si>
  <si>
    <t>Account Payables</t>
  </si>
  <si>
    <t>Total Assets</t>
  </si>
  <si>
    <t>Other Assets</t>
  </si>
  <si>
    <t>Total Non Current Assets</t>
  </si>
  <si>
    <t>Other Non Current Assets</t>
  </si>
  <si>
    <t>Tax Assets</t>
  </si>
  <si>
    <t>Long Term Investments</t>
  </si>
  <si>
    <t>Goodwill And Intangible Assets</t>
  </si>
  <si>
    <t>Intangible Assets</t>
  </si>
  <si>
    <t>Goodwill</t>
  </si>
  <si>
    <t>Property Plant Equipment Net</t>
  </si>
  <si>
    <t>Total Current Assets</t>
  </si>
  <si>
    <t>Other Current Assets</t>
  </si>
  <si>
    <t>Inventory</t>
  </si>
  <si>
    <t>Net Receivables</t>
  </si>
  <si>
    <t>Cash And Short Term Investments</t>
  </si>
  <si>
    <t>Short Term Investments</t>
  </si>
  <si>
    <t>Cash And Cash Equivalents</t>
  </si>
  <si>
    <t>Cash Flow</t>
  </si>
  <si>
    <t>Free Cash Flow</t>
  </si>
  <si>
    <t>Capital Expenditure</t>
  </si>
  <si>
    <t>Operating Cash Flow</t>
  </si>
  <si>
    <t>Cash At Beginning Of Period</t>
  </si>
  <si>
    <t>Cash At End Of Period</t>
  </si>
  <si>
    <t>Net Change In Cash</t>
  </si>
  <si>
    <t>Effect Of Forex Changes On Cash</t>
  </si>
  <si>
    <t>Net Cash Used Provided By Financing Activities</t>
  </si>
  <si>
    <t>Other Financing Activities</t>
  </si>
  <si>
    <t>Dividends Paid</t>
  </si>
  <si>
    <t>Common Stock Repurchased</t>
  </si>
  <si>
    <t>Common Stock Issued</t>
  </si>
  <si>
    <t>Debt Repayment</t>
  </si>
  <si>
    <t>Net Cash Used For Investing Activities</t>
  </si>
  <si>
    <t>Other Investing Activities</t>
  </si>
  <si>
    <t>Sales Maturities Of Investments</t>
  </si>
  <si>
    <t>Purchases Of Investments</t>
  </si>
  <si>
    <t>Acquisitions Net</t>
  </si>
  <si>
    <t>Investments In Property Plant And Equipment</t>
  </si>
  <si>
    <t>Net Cash Provided By Operating Activities</t>
  </si>
  <si>
    <t>Other Non Cash Items</t>
  </si>
  <si>
    <t>Other Working Capital</t>
  </si>
  <si>
    <t>Accounts Payables</t>
  </si>
  <si>
    <t>Accounts Receivables</t>
  </si>
  <si>
    <t>Change In Working Capital</t>
  </si>
  <si>
    <t>Stock Based Compensation</t>
  </si>
  <si>
    <t>Deferred Income Tax</t>
  </si>
  <si>
    <t>Key Metrics</t>
  </si>
  <si>
    <t>Capex Per Share</t>
  </si>
  <si>
    <t>Roe</t>
  </si>
  <si>
    <t>Inventory Turnover</t>
  </si>
  <si>
    <t>Payables Turnover</t>
  </si>
  <si>
    <t>Receivables Turnover</t>
  </si>
  <si>
    <t>Days Of Inventory On Hand</t>
  </si>
  <si>
    <t>Days Payables Outstanding</t>
  </si>
  <si>
    <t>Days Sales Outstanding</t>
  </si>
  <si>
    <t>Average Inventory</t>
  </si>
  <si>
    <t>Average Payables</t>
  </si>
  <si>
    <t>Average Receivables</t>
  </si>
  <si>
    <t>Net Current Asset Value</t>
  </si>
  <si>
    <t>Tangible Asset Value</t>
  </si>
  <si>
    <t>Working Capital</t>
  </si>
  <si>
    <t>Graham Net Net</t>
  </si>
  <si>
    <t>Return On Tangible Assets</t>
  </si>
  <si>
    <t>Roic</t>
  </si>
  <si>
    <t>Graham Number</t>
  </si>
  <si>
    <t>Stock Based Compensation To Revenue</t>
  </si>
  <si>
    <t>Capex To Depreciation</t>
  </si>
  <si>
    <t>Capex To Revenue</t>
  </si>
  <si>
    <t>Capex To Operating Cash Flow</t>
  </si>
  <si>
    <t>Intangibles To Total Assets</t>
  </si>
  <si>
    <t>Research And Development To Revenue</t>
  </si>
  <si>
    <t>Sales General And Administrative To Revenue</t>
  </si>
  <si>
    <t>Payout Ratio</t>
  </si>
  <si>
    <t>Dividend Yield</t>
  </si>
  <si>
    <t>Income Quality</t>
  </si>
  <si>
    <t>Interest Coverage</t>
  </si>
  <si>
    <t>Current Ratio</t>
  </si>
  <si>
    <t>Net Debt To EBITDA</t>
  </si>
  <si>
    <t>Debt To Assets</t>
  </si>
  <si>
    <t>Debt To Equity</t>
  </si>
  <si>
    <t>Free Cash Flow Yield</t>
  </si>
  <si>
    <t>Earnings Yield</t>
  </si>
  <si>
    <t>Ev To Free Cash Flow</t>
  </si>
  <si>
    <t>Ev To Operating Cash Flow</t>
  </si>
  <si>
    <t>Enterprise Value Over EBITDA</t>
  </si>
  <si>
    <t>Ev To Sales</t>
  </si>
  <si>
    <t>Ptb Ratio</t>
  </si>
  <si>
    <t>Pb Ratio</t>
  </si>
  <si>
    <t>Pfcf Ratio</t>
  </si>
  <si>
    <t>Pocfratio</t>
  </si>
  <si>
    <t>Price To Sales Ratio</t>
  </si>
  <si>
    <t>Pe Ratio</t>
  </si>
  <si>
    <t>Enterprise Value</t>
  </si>
  <si>
    <t>Market Cap</t>
  </si>
  <si>
    <t>Interest Debt Per Share</t>
  </si>
  <si>
    <t>Shareholders Equity Per Share</t>
  </si>
  <si>
    <t>Tangible Book Value Per Share</t>
  </si>
  <si>
    <t>Book Value Per Share</t>
  </si>
  <si>
    <t>Cash Per Share</t>
  </si>
  <si>
    <t>Free Cash Flow Per Share</t>
  </si>
  <si>
    <t>Operating Cash Flow Per Share</t>
  </si>
  <si>
    <t>Net Income Per Share</t>
  </si>
  <si>
    <t>Revenue Per Share</t>
  </si>
  <si>
    <t>Financial Growth</t>
  </si>
  <si>
    <t>Sgaexpenses Growth</t>
  </si>
  <si>
    <t>Rdexpense Growth</t>
  </si>
  <si>
    <t>Debt Growth</t>
  </si>
  <si>
    <t>Book Valueper Share Growth</t>
  </si>
  <si>
    <t>Asset Growth</t>
  </si>
  <si>
    <t>Inventory Growth</t>
  </si>
  <si>
    <t>Receivables Growth</t>
  </si>
  <si>
    <t>Three YDividendper Share Growth Per Share</t>
  </si>
  <si>
    <t>Five YDividendper Share Growth Per Share</t>
  </si>
  <si>
    <t>Ten YDividendper Share Growth Per Share</t>
  </si>
  <si>
    <t>Three YShareholders Equity Growth Per Share</t>
  </si>
  <si>
    <t>Five YShareholders Equity Growth Per Share</t>
  </si>
  <si>
    <t>Ten YShareholders Equity Growth Per Share</t>
  </si>
  <si>
    <t>Three YNet Income Growth Per Share</t>
  </si>
  <si>
    <t>Five YNet Income Growth Per Share</t>
  </si>
  <si>
    <t>Ten YNet Income Growth Per Share</t>
  </si>
  <si>
    <t>Three YOperating CFGrowth Per Share</t>
  </si>
  <si>
    <t>Five YOperating CFGrowth Per Share</t>
  </si>
  <si>
    <t>Ten YOperating CFGrowth Per Share</t>
  </si>
  <si>
    <t>Three YRevenue Growth Per Share</t>
  </si>
  <si>
    <t>Five YRevenue Growth Per Share</t>
  </si>
  <si>
    <t>Ten YRevenue Growth Per Share</t>
  </si>
  <si>
    <t>Free Cash Flow Growth</t>
  </si>
  <si>
    <t>Operating Cash Flow Growth</t>
  </si>
  <si>
    <t>Dividendsper Share Growth</t>
  </si>
  <si>
    <t>Weighted Average Shares Diluted Growth</t>
  </si>
  <si>
    <t>Weighted Average Shares Growth</t>
  </si>
  <si>
    <t>Epsdiluted Growth</t>
  </si>
  <si>
    <t>Epsgrowth</t>
  </si>
  <si>
    <t>Net Income Growth</t>
  </si>
  <si>
    <t>Operating Income Growth</t>
  </si>
  <si>
    <t>Ebitgrowth</t>
  </si>
  <si>
    <t>Gross Profit Growth</t>
  </si>
  <si>
    <t>Revenue Growth</t>
  </si>
  <si>
    <t>Q1</t>
  </si>
  <si>
    <t>Q4</t>
  </si>
  <si>
    <t>Q3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</si>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</sst>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364165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F8F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39" fontId="0" fillId="0" borderId="0" xfId="0" applyNumberFormat="1"/>
    <xf numFmtId="164" fontId="0" fillId="0" borderId="0" xfId="0" applyNumberFormat="1"/>
    <xf numFmtId="10" fontId="0" fillId="0" borderId="0" xfId="0" applyNumberFormat="1"/>
    <xf numFmtId="39" fontId="0" fillId="0" borderId="1" xfId="0" applyNumberFormat="1" applyBorder="1"/>
    <xf numFmtId="39" fontId="0" fillId="0" borderId="2" xfId="0" applyNumberFormat="1" applyBorder="1"/>
    <xf numFmtId="39" fontId="1" fillId="0" borderId="0" xfId="0" applyNumberFormat="1" applyFont="1"/>
    <xf numFmtId="10" fontId="0" fillId="0" borderId="1" xfId="0" applyNumberFormat="1" applyBorder="1"/>
    <xf numFmtId="0" fontId="0" fillId="0" borderId="0" xfId="0" applyAlignment="1">
      <alignment horizontal="center"/>
    </xf>
    <xf numFmtId="14" fontId="0" fillId="0" borderId="1" xfId="0" applyNumberFormat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603035-D976-9A46-80E1-1C87605645C2}">
  <we:reference id="wa200002252" version="1.0.0.3" store="en-US" storeType="OMEX"/>
  <we:alternateReferences>
    <we:reference id="WA200002252" version="1.0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_xldudf_WISE</we:customFunctionIds>
        <we:customFunctionIds>_xldudf_WISEPRICE</we:customFunctionIds>
        <we:customFunctionIds>_xldudf_WISEFUNDS</we:customFunctionIds>
        <we:customFunctionIds>_xldudf_WISEOPTIONS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3C0B-1D0C-1449-846A-25CA9ADA39B7}">
  <dimension ref="A1:T38"/>
  <sheetViews>
    <sheetView workbookViewId="0"/>
  </sheetViews>
  <sheetFormatPr baseColWidth="10" defaultRowHeight="16" x14ac:dyDescent="0.2"/>
  <cols>
    <col min="1" max="1" width="37.33203125" bestFit="1" customWidth="1"/>
    <col min="2" max="9" width="19.5" bestFit="1" customWidth="1"/>
    <col min="10" max="20" width="18" bestFit="1" customWidth="1"/>
  </cols>
  <sheetData>
    <row r="1" spans="1:20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x14ac:dyDescent="0.2">
      <c r="A2" t="s">
        <v>1</v>
      </c>
      <c r="B2" t="s">
        <v>2</v>
      </c>
    </row>
    <row r="3" spans="1:20" x14ac:dyDescent="0.2">
      <c r="A3" t="s">
        <v>3</v>
      </c>
      <c r="B3" t="s">
        <v>4</v>
      </c>
    </row>
    <row r="4" spans="1:20" x14ac:dyDescent="0.2">
      <c r="A4" t="s">
        <v>32</v>
      </c>
      <c r="B4" s="8" t="s">
        <v>33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2">
      <c r="A5" t="s">
        <v>34</v>
      </c>
      <c r="B5" s="9">
        <v>46022</v>
      </c>
      <c r="C5" s="9">
        <v>45657</v>
      </c>
      <c r="D5" s="9">
        <v>45291</v>
      </c>
      <c r="E5" s="9">
        <v>44926</v>
      </c>
      <c r="F5" s="9">
        <v>44561</v>
      </c>
      <c r="G5" s="9">
        <v>44196</v>
      </c>
      <c r="H5" s="9">
        <v>43830</v>
      </c>
      <c r="I5" s="9">
        <v>43465</v>
      </c>
      <c r="J5" s="9">
        <v>43100</v>
      </c>
      <c r="K5" s="9">
        <v>42735</v>
      </c>
      <c r="L5" s="9">
        <v>42369</v>
      </c>
      <c r="M5" s="9">
        <v>42004</v>
      </c>
      <c r="N5" s="9">
        <v>41639</v>
      </c>
      <c r="O5" s="9">
        <v>41274</v>
      </c>
      <c r="P5" s="9">
        <v>40908</v>
      </c>
      <c r="Q5" s="9">
        <v>40543</v>
      </c>
      <c r="R5" s="9">
        <v>40178</v>
      </c>
      <c r="S5" s="9">
        <v>39813</v>
      </c>
      <c r="T5" s="9">
        <v>39447</v>
      </c>
    </row>
    <row r="7" spans="1:20" x14ac:dyDescent="0.2">
      <c r="A7" s="1" t="s">
        <v>31</v>
      </c>
      <c r="B7" s="1">
        <v>3848510949000</v>
      </c>
      <c r="C7" s="1">
        <v>2894308000000</v>
      </c>
      <c r="D7" s="1">
        <v>2161736000000</v>
      </c>
      <c r="E7" s="1">
        <v>2263891300000</v>
      </c>
      <c r="F7" s="1">
        <v>1587415000000</v>
      </c>
      <c r="G7" s="1">
        <v>1339254800000</v>
      </c>
      <c r="H7" s="1">
        <v>1069985400000</v>
      </c>
      <c r="I7" s="1">
        <v>1031361800000</v>
      </c>
      <c r="J7" s="1">
        <v>977442600000</v>
      </c>
      <c r="K7" s="1">
        <v>947909200000</v>
      </c>
      <c r="L7" s="1">
        <v>843512500000</v>
      </c>
      <c r="M7" s="1">
        <v>762835000000</v>
      </c>
      <c r="N7" s="1">
        <v>597003300000</v>
      </c>
      <c r="O7" s="1">
        <v>506720300000</v>
      </c>
      <c r="P7" s="1">
        <v>427006600000</v>
      </c>
      <c r="Q7" s="1">
        <v>419537900000</v>
      </c>
      <c r="R7" s="1">
        <v>295742200000</v>
      </c>
      <c r="S7" s="1">
        <v>333157700000</v>
      </c>
      <c r="T7" s="1">
        <v>322663282000</v>
      </c>
    </row>
    <row r="9" spans="1:20" x14ac:dyDescent="0.2">
      <c r="A9" s="1" t="s">
        <v>30</v>
      </c>
      <c r="B9" s="1">
        <v>1543585648000</v>
      </c>
      <c r="C9" s="1">
        <v>1269954000000</v>
      </c>
      <c r="D9" s="1">
        <v>986625000000</v>
      </c>
      <c r="E9" s="1">
        <v>915536500000</v>
      </c>
      <c r="F9" s="1">
        <v>767877700000</v>
      </c>
      <c r="G9" s="1">
        <v>628124700000</v>
      </c>
      <c r="H9" s="1">
        <v>577283500000</v>
      </c>
      <c r="I9" s="1">
        <v>533487500000</v>
      </c>
      <c r="J9" s="1">
        <v>482616200000</v>
      </c>
      <c r="K9" s="1">
        <v>473077100000</v>
      </c>
      <c r="L9" s="1">
        <v>433117600000</v>
      </c>
      <c r="M9" s="1">
        <v>385113000000</v>
      </c>
      <c r="N9" s="1">
        <v>315642500000</v>
      </c>
      <c r="O9" s="1">
        <v>262592500000</v>
      </c>
      <c r="P9" s="1">
        <v>232937400000</v>
      </c>
      <c r="Q9" s="1">
        <v>212484300000</v>
      </c>
      <c r="R9" s="1">
        <v>166413600000</v>
      </c>
      <c r="S9" s="1">
        <v>191408100000</v>
      </c>
      <c r="T9" s="1">
        <v>180287987000</v>
      </c>
    </row>
    <row r="10" spans="1:20" x14ac:dyDescent="0.2">
      <c r="A10" s="6" t="s">
        <v>29</v>
      </c>
      <c r="B10" s="4">
        <v>2304925301000</v>
      </c>
      <c r="C10" s="4">
        <v>1624354000000</v>
      </c>
      <c r="D10" s="4">
        <v>1175111000000</v>
      </c>
      <c r="E10" s="4">
        <v>1348354800000</v>
      </c>
      <c r="F10" s="4">
        <v>819537300000</v>
      </c>
      <c r="G10" s="4">
        <v>711130100000</v>
      </c>
      <c r="H10" s="4">
        <v>492701900000</v>
      </c>
      <c r="I10" s="4">
        <v>497874300000</v>
      </c>
      <c r="J10" s="4">
        <v>494826400000</v>
      </c>
      <c r="K10" s="4">
        <v>474832100000</v>
      </c>
      <c r="L10" s="4">
        <v>410394900000</v>
      </c>
      <c r="M10" s="4">
        <v>377722000000</v>
      </c>
      <c r="N10" s="4">
        <v>281360800000</v>
      </c>
      <c r="O10" s="4">
        <v>244127800000</v>
      </c>
      <c r="P10" s="4">
        <v>194069200000</v>
      </c>
      <c r="Q10" s="4">
        <v>207053600000</v>
      </c>
      <c r="R10" s="4">
        <v>129328600000</v>
      </c>
      <c r="S10" s="4">
        <v>141749600000</v>
      </c>
      <c r="T10" s="4">
        <v>142375295000</v>
      </c>
    </row>
    <row r="11" spans="1:20" x14ac:dyDescent="0.2">
      <c r="A11" s="3" t="s">
        <v>28</v>
      </c>
      <c r="B11" s="3">
        <v>0.59891353609999998</v>
      </c>
      <c r="C11" s="3">
        <v>0.56122361549999999</v>
      </c>
      <c r="D11" s="3">
        <v>0.5435959803</v>
      </c>
      <c r="E11" s="3">
        <v>0.59559167000000002</v>
      </c>
      <c r="F11" s="3">
        <v>0.5162716114</v>
      </c>
      <c r="G11" s="3">
        <v>0.530989398</v>
      </c>
      <c r="H11" s="3">
        <v>0.46047534849999999</v>
      </c>
      <c r="I11" s="3">
        <v>0.48273486570000002</v>
      </c>
      <c r="J11" s="3">
        <v>0.50624599339999998</v>
      </c>
      <c r="K11" s="3">
        <v>0.50092572160000004</v>
      </c>
      <c r="L11" s="3">
        <v>0.48653090500000001</v>
      </c>
      <c r="M11" s="3">
        <v>0.49515557100000002</v>
      </c>
      <c r="N11" s="3">
        <v>0.47128851719999998</v>
      </c>
      <c r="O11" s="3">
        <v>0.48178018519999999</v>
      </c>
      <c r="P11" s="3">
        <v>0.4544875887</v>
      </c>
      <c r="Q11" s="3">
        <v>0.49352775989999997</v>
      </c>
      <c r="R11" s="3">
        <v>0.43730181219999997</v>
      </c>
      <c r="S11" s="3">
        <v>0.42547298169999997</v>
      </c>
      <c r="T11" s="3">
        <v>0.44125037750000001</v>
      </c>
    </row>
    <row r="13" spans="1:20" x14ac:dyDescent="0.2">
      <c r="A13" s="1" t="s">
        <v>27</v>
      </c>
      <c r="B13" s="1">
        <v>248979670000</v>
      </c>
      <c r="C13" s="1">
        <v>204182000000</v>
      </c>
      <c r="D13" s="1">
        <v>182370000000</v>
      </c>
      <c r="E13" s="1">
        <v>163262200000</v>
      </c>
      <c r="F13" s="1">
        <v>124734800000</v>
      </c>
      <c r="G13" s="1">
        <v>109486000000</v>
      </c>
      <c r="H13" s="1">
        <v>91418700000</v>
      </c>
      <c r="I13" s="1">
        <v>85895600000</v>
      </c>
      <c r="J13" s="1">
        <v>80732500000</v>
      </c>
      <c r="K13" s="1">
        <v>71207700000</v>
      </c>
      <c r="L13" s="1">
        <v>65544600000</v>
      </c>
      <c r="M13" s="1">
        <v>56828800000</v>
      </c>
      <c r="N13" s="1">
        <v>47952000000</v>
      </c>
      <c r="O13" s="1">
        <v>40387100000</v>
      </c>
      <c r="P13" s="1">
        <v>33829900000</v>
      </c>
      <c r="Q13" s="1">
        <v>29706700000</v>
      </c>
      <c r="R13" s="1">
        <v>21593400000</v>
      </c>
      <c r="S13" s="1">
        <v>21480900000</v>
      </c>
      <c r="T13" s="1">
        <v>17934747000</v>
      </c>
    </row>
    <row r="14" spans="1:20" x14ac:dyDescent="0.2">
      <c r="A14" s="1" t="s">
        <v>24</v>
      </c>
      <c r="B14" s="1">
        <v>100249814000</v>
      </c>
      <c r="C14" s="1">
        <v>96889000000</v>
      </c>
      <c r="D14" s="1">
        <v>71464000000</v>
      </c>
      <c r="E14" s="1">
        <v>63445300000</v>
      </c>
      <c r="F14" s="1">
        <v>44488200000</v>
      </c>
      <c r="G14" s="1">
        <v>35570400000</v>
      </c>
      <c r="H14" s="1">
        <v>28085800000</v>
      </c>
      <c r="I14" s="1">
        <v>26253700000</v>
      </c>
      <c r="J14" s="1">
        <v>27169200000</v>
      </c>
      <c r="K14" s="1">
        <v>25696400000</v>
      </c>
      <c r="L14" s="1">
        <v>22921900000</v>
      </c>
      <c r="M14" s="1">
        <v>24020800000</v>
      </c>
      <c r="N14" s="1">
        <v>23387000000</v>
      </c>
      <c r="O14" s="1">
        <v>22129200000</v>
      </c>
      <c r="P14" s="1">
        <v>18681900000</v>
      </c>
      <c r="Q14" s="1">
        <v>18171600000</v>
      </c>
      <c r="R14" s="1">
        <v>15773300000</v>
      </c>
      <c r="S14" s="1">
        <v>15833300000</v>
      </c>
      <c r="T14" s="1">
        <v>12680806000</v>
      </c>
    </row>
    <row r="15" spans="1:20" x14ac:dyDescent="0.2">
      <c r="A15" s="1" t="s">
        <v>26</v>
      </c>
      <c r="B15" s="1">
        <v>87220355000</v>
      </c>
      <c r="C15" s="1">
        <v>83745000000</v>
      </c>
      <c r="D15" s="1">
        <v>60872800000</v>
      </c>
      <c r="E15" s="1">
        <v>53524800000</v>
      </c>
      <c r="F15" s="1">
        <v>36929600000</v>
      </c>
      <c r="G15" s="1">
        <v>28457600000</v>
      </c>
      <c r="H15" s="1">
        <v>21737200000</v>
      </c>
      <c r="I15" s="1">
        <v>20265900000</v>
      </c>
      <c r="J15" s="1">
        <v>21196700000</v>
      </c>
      <c r="K15" s="1">
        <v>19795600000</v>
      </c>
      <c r="L15" s="1">
        <v>17257200000</v>
      </c>
      <c r="M15" s="1">
        <v>18933400000</v>
      </c>
      <c r="N15" s="1">
        <v>18881800000</v>
      </c>
      <c r="O15" s="1">
        <v>17633000000</v>
      </c>
      <c r="P15" s="1">
        <v>14164100000</v>
      </c>
      <c r="Q15" s="1">
        <v>12804000000</v>
      </c>
      <c r="R15" s="1">
        <v>11285500000</v>
      </c>
      <c r="S15" s="1">
        <v>11096600000</v>
      </c>
      <c r="T15" s="1">
        <v>0</v>
      </c>
    </row>
    <row r="16" spans="1:20" x14ac:dyDescent="0.2">
      <c r="A16" s="1" t="s">
        <v>25</v>
      </c>
      <c r="B16" s="1">
        <v>13029459000</v>
      </c>
      <c r="C16" s="1">
        <v>13143600000</v>
      </c>
      <c r="D16" s="1">
        <v>10590700000</v>
      </c>
      <c r="E16" s="1">
        <v>9920500000</v>
      </c>
      <c r="F16" s="1">
        <v>7558600000</v>
      </c>
      <c r="G16" s="1">
        <v>7112800000</v>
      </c>
      <c r="H16" s="1">
        <v>6348600000</v>
      </c>
      <c r="I16" s="1">
        <v>5987800000</v>
      </c>
      <c r="J16" s="1">
        <v>5972500000</v>
      </c>
      <c r="K16" s="1">
        <v>5900800000</v>
      </c>
      <c r="L16" s="1">
        <v>5664700000</v>
      </c>
      <c r="M16" s="1">
        <v>5087400000</v>
      </c>
      <c r="N16" s="1">
        <v>4505200000</v>
      </c>
      <c r="O16" s="1">
        <v>4496200000</v>
      </c>
      <c r="P16" s="1">
        <v>4517800000</v>
      </c>
      <c r="Q16" s="1">
        <v>5367600000</v>
      </c>
      <c r="R16" s="1">
        <v>4487800000</v>
      </c>
      <c r="S16" s="1">
        <v>4736700000</v>
      </c>
      <c r="T16" s="1">
        <v>0</v>
      </c>
    </row>
    <row r="17" spans="1:20" x14ac:dyDescent="0.2">
      <c r="A17" s="1" t="s">
        <v>23</v>
      </c>
      <c r="B17" s="1">
        <v>-1000</v>
      </c>
      <c r="C17" s="1">
        <v>1230000000</v>
      </c>
      <c r="D17" s="1">
        <v>-189000000</v>
      </c>
      <c r="E17" s="1">
        <v>368400000</v>
      </c>
      <c r="F17" s="1">
        <v>333400000</v>
      </c>
      <c r="G17" s="1">
        <v>-710000000</v>
      </c>
      <c r="H17" s="1">
        <v>496300000</v>
      </c>
      <c r="I17" s="1">
        <v>2101500000</v>
      </c>
      <c r="J17" s="1">
        <v>1365500000</v>
      </c>
      <c r="K17" s="1">
        <v>-29800000</v>
      </c>
      <c r="L17" s="1">
        <v>1880600000</v>
      </c>
      <c r="M17" s="1">
        <v>1002100000</v>
      </c>
      <c r="N17" s="1">
        <v>-47100000</v>
      </c>
      <c r="O17" s="1">
        <v>449400000</v>
      </c>
      <c r="P17" s="1">
        <v>0</v>
      </c>
      <c r="Q17" s="1">
        <v>0</v>
      </c>
      <c r="R17" s="1">
        <v>0</v>
      </c>
      <c r="S17" s="1">
        <v>0</v>
      </c>
      <c r="T17" s="1">
        <v>32432000</v>
      </c>
    </row>
    <row r="18" spans="1:20" x14ac:dyDescent="0.2">
      <c r="A18" s="6" t="s">
        <v>22</v>
      </c>
      <c r="B18" s="4">
        <v>349229483000</v>
      </c>
      <c r="C18" s="4">
        <v>302301000000</v>
      </c>
      <c r="D18" s="4">
        <v>253645000000</v>
      </c>
      <c r="E18" s="4">
        <v>227075900000</v>
      </c>
      <c r="F18" s="4">
        <v>169556400000</v>
      </c>
      <c r="G18" s="4">
        <v>144346400000</v>
      </c>
      <c r="H18" s="4">
        <v>120000800000</v>
      </c>
      <c r="I18" s="4">
        <v>114250800000</v>
      </c>
      <c r="J18" s="4">
        <v>109267200000</v>
      </c>
      <c r="K18" s="4">
        <v>96874300000</v>
      </c>
      <c r="L18" s="4">
        <v>90347100000</v>
      </c>
      <c r="M18" s="4">
        <v>81851700000</v>
      </c>
      <c r="N18" s="4">
        <v>71291900000</v>
      </c>
      <c r="O18" s="4">
        <v>62965700000</v>
      </c>
      <c r="P18" s="4">
        <v>52511800000</v>
      </c>
      <c r="Q18" s="4">
        <v>47878300000</v>
      </c>
      <c r="R18" s="4">
        <v>37366700000</v>
      </c>
      <c r="S18" s="4">
        <v>37314200000</v>
      </c>
      <c r="T18" s="4">
        <v>30647985000</v>
      </c>
    </row>
    <row r="20" spans="1:20" x14ac:dyDescent="0.2">
      <c r="A20" s="1" t="s">
        <v>21</v>
      </c>
      <c r="B20" s="1">
        <v>1892815132000</v>
      </c>
      <c r="C20" s="1">
        <v>1572255000000</v>
      </c>
      <c r="D20" s="1">
        <v>1240270000000</v>
      </c>
      <c r="E20" s="1">
        <v>1142612400000</v>
      </c>
      <c r="F20" s="1">
        <v>937434100000</v>
      </c>
      <c r="G20" s="1">
        <v>772471100000</v>
      </c>
      <c r="H20" s="1">
        <v>697284300000</v>
      </c>
      <c r="I20" s="1">
        <v>647738300000</v>
      </c>
      <c r="J20" s="1">
        <v>591883400000</v>
      </c>
      <c r="K20" s="1">
        <v>569951400000</v>
      </c>
      <c r="L20" s="1">
        <v>523464700000</v>
      </c>
      <c r="M20" s="1">
        <v>466964700000</v>
      </c>
      <c r="N20" s="1">
        <v>386934400000</v>
      </c>
      <c r="O20" s="1">
        <v>325558200000</v>
      </c>
      <c r="P20" s="1">
        <v>285449200000</v>
      </c>
      <c r="Q20" s="1">
        <v>260362600000</v>
      </c>
      <c r="R20" s="1">
        <v>203780300000</v>
      </c>
      <c r="S20" s="1">
        <v>228722300000</v>
      </c>
      <c r="T20" s="1">
        <v>210935972000</v>
      </c>
    </row>
    <row r="21" spans="1:20" x14ac:dyDescent="0.2">
      <c r="A21" s="1" t="s">
        <v>18</v>
      </c>
      <c r="B21" s="1">
        <v>2752481885000</v>
      </c>
      <c r="C21" s="1">
        <v>1984849000000</v>
      </c>
      <c r="D21" s="1">
        <v>1523506800000</v>
      </c>
      <c r="E21" s="1">
        <v>1593076500000</v>
      </c>
      <c r="F21" s="1">
        <v>1090845100000</v>
      </c>
      <c r="G21" s="1">
        <v>918552400000</v>
      </c>
      <c r="H21" s="1">
        <v>679997200000</v>
      </c>
      <c r="I21" s="1">
        <v>693140600000</v>
      </c>
      <c r="J21" s="1">
        <v>659634900000</v>
      </c>
      <c r="K21" s="1">
        <v>613056200000</v>
      </c>
      <c r="L21" s="1">
        <v>576173500000</v>
      </c>
      <c r="M21" s="1">
        <v>505561300000</v>
      </c>
      <c r="N21" s="1">
        <v>374790100000</v>
      </c>
      <c r="O21" s="1">
        <v>314030600000</v>
      </c>
      <c r="P21" s="1">
        <v>253455900000</v>
      </c>
      <c r="Q21" s="1">
        <v>258505900000</v>
      </c>
      <c r="R21" s="1">
        <v>176668800000</v>
      </c>
      <c r="S21" s="1">
        <v>193599400000</v>
      </c>
      <c r="T21" s="1">
        <v>191639093000</v>
      </c>
    </row>
    <row r="22" spans="1:20" x14ac:dyDescent="0.2">
      <c r="A22" s="3" t="s">
        <v>17</v>
      </c>
      <c r="B22" s="3">
        <v>0.71520697779999998</v>
      </c>
      <c r="C22" s="3">
        <v>0.6857767038</v>
      </c>
      <c r="D22" s="3">
        <v>0.70476080340000002</v>
      </c>
      <c r="E22" s="3">
        <v>0.70368948369999995</v>
      </c>
      <c r="F22" s="3">
        <v>0.68718331379999997</v>
      </c>
      <c r="G22" s="3">
        <v>0.68586829029999996</v>
      </c>
      <c r="H22" s="3">
        <v>0.63552007349999995</v>
      </c>
      <c r="I22" s="3">
        <v>0.67206347960000001</v>
      </c>
      <c r="J22" s="3">
        <v>0.67485794050000003</v>
      </c>
      <c r="K22" s="3">
        <v>0.64674570099999995</v>
      </c>
      <c r="L22" s="3">
        <v>0.68306456630000001</v>
      </c>
      <c r="M22" s="3">
        <v>0.66274004210000004</v>
      </c>
      <c r="N22" s="3">
        <v>0.62778564209999999</v>
      </c>
      <c r="O22" s="3">
        <v>0.61973163499999995</v>
      </c>
      <c r="P22" s="3">
        <v>0.59356436180000005</v>
      </c>
      <c r="Q22" s="3">
        <v>0.6161681698</v>
      </c>
      <c r="R22" s="3">
        <v>0.59737433480000002</v>
      </c>
      <c r="S22" s="3">
        <v>0.58110438389999997</v>
      </c>
      <c r="T22" s="3">
        <v>0.59392903900000005</v>
      </c>
    </row>
    <row r="23" spans="1:20" x14ac:dyDescent="0.2">
      <c r="A23" s="1" t="s">
        <v>20</v>
      </c>
      <c r="B23" s="1">
        <v>0</v>
      </c>
      <c r="C23" s="1">
        <v>10495400000</v>
      </c>
      <c r="D23" s="1">
        <v>11999400000</v>
      </c>
      <c r="E23" s="1">
        <v>11750000000</v>
      </c>
      <c r="F23" s="1">
        <v>5414200000</v>
      </c>
      <c r="G23" s="1">
        <v>2081500000</v>
      </c>
      <c r="H23" s="1">
        <v>3250900000</v>
      </c>
      <c r="I23" s="1">
        <v>3051200000</v>
      </c>
      <c r="J23" s="1">
        <v>3330300000</v>
      </c>
      <c r="K23" s="1">
        <v>3306100000</v>
      </c>
      <c r="L23" s="1">
        <v>3190300000</v>
      </c>
      <c r="M23" s="1">
        <v>3236300000</v>
      </c>
      <c r="N23" s="1">
        <v>2646800000</v>
      </c>
      <c r="O23" s="1">
        <v>1020200000</v>
      </c>
      <c r="P23" s="1">
        <v>626700000</v>
      </c>
      <c r="Q23" s="1">
        <v>425400000</v>
      </c>
      <c r="R23" s="1">
        <v>391500000</v>
      </c>
      <c r="S23" s="1">
        <v>615000000</v>
      </c>
      <c r="T23" s="1">
        <v>833103000</v>
      </c>
    </row>
    <row r="24" spans="1:20" x14ac:dyDescent="0.2">
      <c r="A24" s="1" t="s">
        <v>19</v>
      </c>
      <c r="B24" s="1">
        <v>695223798000</v>
      </c>
      <c r="C24" s="1">
        <v>662796000000</v>
      </c>
      <c r="D24" s="1">
        <v>532190900000</v>
      </c>
      <c r="E24" s="1">
        <v>437254300000</v>
      </c>
      <c r="F24" s="1">
        <v>422394900000</v>
      </c>
      <c r="G24" s="1">
        <v>331724600000</v>
      </c>
      <c r="H24" s="1">
        <v>286884200000</v>
      </c>
      <c r="I24" s="1">
        <v>292546300000</v>
      </c>
      <c r="J24" s="1">
        <v>260142700000</v>
      </c>
      <c r="K24" s="1">
        <v>223828400000</v>
      </c>
      <c r="L24" s="1">
        <v>222505600000</v>
      </c>
      <c r="M24" s="1">
        <v>200251500000</v>
      </c>
      <c r="N24" s="1">
        <v>156181800000</v>
      </c>
      <c r="O24" s="1">
        <v>131349300000</v>
      </c>
      <c r="P24" s="1">
        <v>107681500000</v>
      </c>
      <c r="Q24" s="1">
        <v>87810100000</v>
      </c>
      <c r="R24" s="1">
        <v>80814700000</v>
      </c>
      <c r="S24" s="1">
        <v>81512200000</v>
      </c>
      <c r="T24" s="1">
        <v>79879351000</v>
      </c>
    </row>
    <row r="25" spans="1:20" x14ac:dyDescent="0.2">
      <c r="A25" s="6" t="s">
        <v>16</v>
      </c>
      <c r="B25" s="5">
        <v>1955695817000</v>
      </c>
      <c r="C25" s="5">
        <v>1322053000000</v>
      </c>
      <c r="D25" s="5">
        <v>921466000000</v>
      </c>
      <c r="E25" s="5">
        <v>1121278900000</v>
      </c>
      <c r="F25" s="5">
        <v>649980900000</v>
      </c>
      <c r="G25" s="5">
        <v>566783700000</v>
      </c>
      <c r="H25" s="5">
        <v>372701100000</v>
      </c>
      <c r="I25" s="5">
        <v>383623500000</v>
      </c>
      <c r="J25" s="5">
        <v>385559200000</v>
      </c>
      <c r="K25" s="5">
        <v>377957800000</v>
      </c>
      <c r="L25" s="5">
        <v>320047800000</v>
      </c>
      <c r="M25" s="5">
        <v>295870300000</v>
      </c>
      <c r="N25" s="5">
        <v>210068900000</v>
      </c>
      <c r="O25" s="5">
        <v>181162100000</v>
      </c>
      <c r="P25" s="5">
        <v>141557400000</v>
      </c>
      <c r="Q25" s="5">
        <v>159175300000</v>
      </c>
      <c r="R25" s="5">
        <v>91961900000</v>
      </c>
      <c r="S25" s="5">
        <v>104435400000</v>
      </c>
      <c r="T25" s="5">
        <v>110509681000</v>
      </c>
    </row>
    <row r="26" spans="1:20" x14ac:dyDescent="0.2">
      <c r="A26" s="3" t="s">
        <v>15</v>
      </c>
      <c r="B26" s="7">
        <v>0.50816948240000004</v>
      </c>
      <c r="C26" s="7">
        <v>0.45677688760000001</v>
      </c>
      <c r="D26" s="7">
        <v>0.4262620412</v>
      </c>
      <c r="E26" s="7">
        <v>0.49528831179999999</v>
      </c>
      <c r="F26" s="7">
        <v>0.40945871119999999</v>
      </c>
      <c r="G26" s="7">
        <v>0.42320826480000001</v>
      </c>
      <c r="H26" s="7">
        <v>0.34832353789999998</v>
      </c>
      <c r="I26" s="7">
        <v>0.37195822070000001</v>
      </c>
      <c r="J26" s="7">
        <v>0.39445712719999998</v>
      </c>
      <c r="K26" s="7">
        <v>0.3987278528</v>
      </c>
      <c r="L26" s="7">
        <v>0.37942271160000002</v>
      </c>
      <c r="M26" s="7">
        <v>0.38785622050000002</v>
      </c>
      <c r="N26" s="7">
        <v>0.35187225929999999</v>
      </c>
      <c r="O26" s="7">
        <v>0.35751893109999999</v>
      </c>
      <c r="P26" s="7">
        <v>0.33151103520000003</v>
      </c>
      <c r="Q26" s="7">
        <v>0.3794062467</v>
      </c>
      <c r="R26" s="7">
        <v>0.31095291780000001</v>
      </c>
      <c r="S26" s="7">
        <v>0.31347136809999998</v>
      </c>
      <c r="T26" s="7">
        <v>0.34249227339999999</v>
      </c>
    </row>
    <row r="28" spans="1:20" x14ac:dyDescent="0.2">
      <c r="A28" s="1" t="s">
        <v>14</v>
      </c>
      <c r="B28" s="1">
        <v>107116211000</v>
      </c>
      <c r="C28" s="1">
        <v>83786000000</v>
      </c>
      <c r="D28" s="1">
        <v>57705000000</v>
      </c>
      <c r="E28" s="1">
        <v>22793300000</v>
      </c>
      <c r="F28" s="1">
        <v>13055100000</v>
      </c>
      <c r="G28" s="1">
        <v>17962600000</v>
      </c>
      <c r="H28" s="1">
        <v>17161000000</v>
      </c>
      <c r="I28" s="1">
        <v>13919600000</v>
      </c>
      <c r="J28" s="1">
        <v>10602700000</v>
      </c>
      <c r="K28" s="1">
        <v>7963900000</v>
      </c>
      <c r="L28" s="1">
        <v>30429800000</v>
      </c>
      <c r="M28" s="1">
        <v>6203200000</v>
      </c>
      <c r="N28" s="1">
        <v>5892600000</v>
      </c>
      <c r="O28" s="1">
        <v>499000000</v>
      </c>
      <c r="P28" s="1">
        <v>3590300000</v>
      </c>
      <c r="Q28" s="1">
        <v>11095100000</v>
      </c>
      <c r="R28" s="1">
        <v>3500700000</v>
      </c>
      <c r="S28" s="1">
        <v>7036800000</v>
      </c>
      <c r="T28" s="1">
        <v>9812482000</v>
      </c>
    </row>
    <row r="29" spans="1:20" x14ac:dyDescent="0.2">
      <c r="A29" s="1" t="s">
        <v>13</v>
      </c>
      <c r="B29" s="1">
        <v>2062812029000</v>
      </c>
      <c r="C29" s="1">
        <v>1405839000000</v>
      </c>
      <c r="D29" s="1">
        <v>979171000000</v>
      </c>
      <c r="E29" s="1">
        <v>1144072200000</v>
      </c>
      <c r="F29" s="1">
        <v>663036000000</v>
      </c>
      <c r="G29" s="1">
        <v>584746300000</v>
      </c>
      <c r="H29" s="1">
        <v>389862100000</v>
      </c>
      <c r="I29" s="1">
        <v>397543100000</v>
      </c>
      <c r="J29" s="1">
        <v>396161900000</v>
      </c>
      <c r="K29" s="1">
        <v>385921700000</v>
      </c>
      <c r="L29" s="1">
        <v>350477600000</v>
      </c>
      <c r="M29" s="1">
        <v>302073500000</v>
      </c>
      <c r="N29" s="1">
        <v>215961500000</v>
      </c>
      <c r="O29" s="1">
        <v>181661100000</v>
      </c>
      <c r="P29" s="1">
        <v>145147700000</v>
      </c>
      <c r="Q29" s="1">
        <v>170270400000</v>
      </c>
      <c r="R29" s="1">
        <v>95462600000</v>
      </c>
      <c r="S29" s="1">
        <v>111472200000</v>
      </c>
      <c r="T29" s="1">
        <v>120322163000</v>
      </c>
    </row>
    <row r="30" spans="1:20" x14ac:dyDescent="0.2">
      <c r="A30" s="2" t="s">
        <v>12</v>
      </c>
      <c r="B30" s="2">
        <v>0.53600264009999998</v>
      </c>
      <c r="C30" s="2">
        <v>0.48572543070000002</v>
      </c>
      <c r="D30" s="2">
        <v>0.45295586510000002</v>
      </c>
      <c r="E30" s="2">
        <v>0.50535650720000003</v>
      </c>
      <c r="F30" s="2">
        <v>0.4176828366</v>
      </c>
      <c r="G30" s="2">
        <v>0.43662064900000003</v>
      </c>
      <c r="H30" s="2">
        <v>0.36436207450000002</v>
      </c>
      <c r="I30" s="2">
        <v>0.38545455140000001</v>
      </c>
      <c r="J30" s="2">
        <v>0.40530451610000001</v>
      </c>
      <c r="K30" s="2">
        <v>0.40712939590000002</v>
      </c>
      <c r="L30" s="2">
        <v>0.41549781419999998</v>
      </c>
      <c r="M30" s="2">
        <v>0.39598799220000003</v>
      </c>
      <c r="N30" s="2">
        <v>0.36174255649999998</v>
      </c>
      <c r="O30" s="2">
        <v>0.35850369520000003</v>
      </c>
      <c r="P30" s="2">
        <v>0.33991910199999997</v>
      </c>
      <c r="Q30" s="2">
        <v>0.4058522484</v>
      </c>
      <c r="R30" s="2">
        <v>0.32278991639999999</v>
      </c>
      <c r="S30" s="2">
        <v>0.334592897</v>
      </c>
      <c r="T30" s="2">
        <v>0.37290317709999998</v>
      </c>
    </row>
    <row r="31" spans="1:20" x14ac:dyDescent="0.2">
      <c r="A31" s="1" t="s">
        <v>11</v>
      </c>
      <c r="B31" s="1">
        <v>329645700000</v>
      </c>
      <c r="C31" s="1">
        <v>248316100000</v>
      </c>
      <c r="D31" s="1">
        <v>128288800000</v>
      </c>
      <c r="E31" s="1">
        <v>150777500000</v>
      </c>
      <c r="F31" s="1">
        <v>70155400000</v>
      </c>
      <c r="G31" s="1">
        <v>73738300000</v>
      </c>
      <c r="H31" s="1">
        <v>35835100000</v>
      </c>
      <c r="I31" s="1">
        <v>34436900000</v>
      </c>
      <c r="J31" s="1">
        <v>51122900000</v>
      </c>
      <c r="K31" s="1">
        <v>54124400000</v>
      </c>
      <c r="L31" s="1">
        <v>47644700000</v>
      </c>
      <c r="M31" s="1">
        <v>47889900000</v>
      </c>
      <c r="N31" s="1">
        <v>32111800000</v>
      </c>
      <c r="O31" s="1">
        <v>22374700000</v>
      </c>
      <c r="P31" s="1">
        <v>10694400000</v>
      </c>
      <c r="Q31" s="1">
        <v>7988500000</v>
      </c>
      <c r="R31" s="1">
        <v>5996400000</v>
      </c>
      <c r="S31" s="1">
        <v>11303585000</v>
      </c>
      <c r="T31" s="1">
        <v>11582572000</v>
      </c>
    </row>
    <row r="32" spans="1:20" x14ac:dyDescent="0.2">
      <c r="A32" s="6" t="s">
        <v>10</v>
      </c>
      <c r="B32" s="5">
        <v>1735678080000</v>
      </c>
      <c r="C32" s="5">
        <v>1158380200000</v>
      </c>
      <c r="D32" s="5">
        <v>851740000000</v>
      </c>
      <c r="E32" s="5">
        <v>992923400000</v>
      </c>
      <c r="F32" s="5">
        <v>592359200000</v>
      </c>
      <c r="G32" s="5">
        <v>510744000000</v>
      </c>
      <c r="H32" s="5">
        <v>353948000000</v>
      </c>
      <c r="I32" s="5">
        <v>363052700000</v>
      </c>
      <c r="J32" s="5">
        <v>344998300000</v>
      </c>
      <c r="K32" s="5">
        <v>331713700000</v>
      </c>
      <c r="L32" s="5">
        <v>302850900000</v>
      </c>
      <c r="M32" s="5">
        <v>254301400000</v>
      </c>
      <c r="N32" s="5">
        <v>183977600000</v>
      </c>
      <c r="O32" s="5">
        <v>159480800000</v>
      </c>
      <c r="P32" s="5">
        <v>134201300000</v>
      </c>
      <c r="Q32" s="5">
        <v>161605000000</v>
      </c>
      <c r="R32" s="5">
        <v>89217800000</v>
      </c>
      <c r="S32" s="5">
        <v>99933200000</v>
      </c>
      <c r="T32" s="5">
        <v>109197635000</v>
      </c>
    </row>
    <row r="34" spans="1:20" x14ac:dyDescent="0.2">
      <c r="A34" s="3" t="s">
        <v>9</v>
      </c>
      <c r="B34" s="3">
        <v>0.45099990699999998</v>
      </c>
      <c r="C34" s="3">
        <v>0.4002269973</v>
      </c>
      <c r="D34" s="3">
        <v>0.39400740890000002</v>
      </c>
      <c r="E34" s="3">
        <v>0.4385914642</v>
      </c>
      <c r="F34" s="3">
        <v>0.37315963369999999</v>
      </c>
      <c r="G34" s="3">
        <v>0.3813643229</v>
      </c>
      <c r="H34" s="3">
        <v>0.33079703700000002</v>
      </c>
      <c r="I34" s="3">
        <v>0.35201294059999999</v>
      </c>
      <c r="J34" s="3">
        <v>0.35296016359999999</v>
      </c>
      <c r="K34" s="3">
        <v>0.34994248389999999</v>
      </c>
      <c r="L34" s="3">
        <v>0.35903546180000001</v>
      </c>
      <c r="M34" s="3">
        <v>0.3333635714</v>
      </c>
      <c r="N34" s="3">
        <v>0.30816848079999998</v>
      </c>
      <c r="O34" s="3">
        <v>0.3147314209</v>
      </c>
      <c r="P34" s="3">
        <v>0.31428390099999998</v>
      </c>
      <c r="Q34" s="3">
        <v>0.38519761860000001</v>
      </c>
      <c r="R34" s="3">
        <v>0.30167422840000002</v>
      </c>
      <c r="S34" s="3">
        <v>0.2999576477</v>
      </c>
      <c r="T34" s="3">
        <v>0.33842597250000001</v>
      </c>
    </row>
    <row r="35" spans="1:20" x14ac:dyDescent="0.2">
      <c r="A35" s="2" t="s">
        <v>8</v>
      </c>
      <c r="B35" s="2">
        <v>333.05</v>
      </c>
      <c r="C35" s="2">
        <v>230.8</v>
      </c>
      <c r="D35" s="2">
        <v>159.65</v>
      </c>
      <c r="E35" s="2">
        <v>198.6</v>
      </c>
      <c r="F35" s="2">
        <v>113.95</v>
      </c>
      <c r="G35" s="2">
        <v>95.25</v>
      </c>
      <c r="H35" s="2">
        <v>65.7</v>
      </c>
      <c r="I35" s="2">
        <v>69.099999999999994</v>
      </c>
      <c r="J35" s="2">
        <v>65.5</v>
      </c>
      <c r="K35" s="2">
        <v>64.650000000000006</v>
      </c>
      <c r="L35" s="2">
        <v>61.25</v>
      </c>
      <c r="M35" s="2">
        <v>51.6</v>
      </c>
      <c r="N35" s="2">
        <v>35.65</v>
      </c>
      <c r="O35" s="2">
        <v>31.85</v>
      </c>
      <c r="P35" s="2">
        <v>26.45</v>
      </c>
      <c r="Q35" s="2">
        <v>28.9</v>
      </c>
      <c r="R35" s="2">
        <v>16.7</v>
      </c>
      <c r="S35" s="2">
        <v>19.850000000000001</v>
      </c>
      <c r="T35" s="2">
        <v>20.149999999999999</v>
      </c>
    </row>
    <row r="36" spans="1:20" x14ac:dyDescent="0.2">
      <c r="A36" s="2" t="s">
        <v>7</v>
      </c>
      <c r="B36" s="2">
        <v>333.05</v>
      </c>
      <c r="C36" s="2">
        <v>230.8</v>
      </c>
      <c r="D36" s="2">
        <v>159.65</v>
      </c>
      <c r="E36" s="2">
        <v>198.6</v>
      </c>
      <c r="F36" s="2">
        <v>113.95</v>
      </c>
      <c r="G36" s="2">
        <v>95.25</v>
      </c>
      <c r="H36" s="2">
        <v>65.7</v>
      </c>
      <c r="I36" s="2">
        <v>69.099999999999994</v>
      </c>
      <c r="J36" s="2">
        <v>65.5</v>
      </c>
      <c r="K36" s="2">
        <v>64.650000000000006</v>
      </c>
      <c r="L36" s="2">
        <v>61.25</v>
      </c>
      <c r="M36" s="2">
        <v>51.6</v>
      </c>
      <c r="N36" s="2">
        <v>35.65</v>
      </c>
      <c r="O36" s="2">
        <v>31.55</v>
      </c>
      <c r="P36" s="2">
        <v>26.45</v>
      </c>
      <c r="Q36" s="2">
        <v>28.9</v>
      </c>
      <c r="R36" s="2">
        <v>16.7</v>
      </c>
      <c r="S36" s="2">
        <v>19.55</v>
      </c>
      <c r="T36" s="2">
        <v>20.149999999999999</v>
      </c>
    </row>
    <row r="37" spans="1:20" x14ac:dyDescent="0.2">
      <c r="A37" s="1" t="s">
        <v>6</v>
      </c>
      <c r="B37" s="1">
        <v>5185652400</v>
      </c>
      <c r="C37" s="1">
        <v>5185511200</v>
      </c>
      <c r="D37" s="1">
        <v>5185844600</v>
      </c>
      <c r="E37" s="1">
        <v>5185838000</v>
      </c>
      <c r="F37" s="1">
        <v>5186076000</v>
      </c>
      <c r="G37" s="1">
        <v>5186076000</v>
      </c>
      <c r="H37" s="1">
        <v>5186076000</v>
      </c>
      <c r="I37" s="1">
        <v>5186076000</v>
      </c>
      <c r="J37" s="1">
        <v>5186076000</v>
      </c>
      <c r="K37" s="1">
        <v>5186076000</v>
      </c>
      <c r="L37" s="1">
        <v>5186057600</v>
      </c>
      <c r="M37" s="1">
        <v>5185854600</v>
      </c>
      <c r="N37" s="1">
        <v>5185555600</v>
      </c>
      <c r="O37" s="1">
        <v>5184147000</v>
      </c>
      <c r="P37" s="1">
        <v>5182815200</v>
      </c>
      <c r="Q37" s="1">
        <v>5181166400</v>
      </c>
      <c r="R37" s="1">
        <v>5167160400</v>
      </c>
      <c r="S37" s="1">
        <v>5207837600</v>
      </c>
      <c r="T37" s="1">
        <v>5322140000</v>
      </c>
    </row>
    <row r="38" spans="1:20" x14ac:dyDescent="0.2">
      <c r="A38" s="1" t="s">
        <v>5</v>
      </c>
      <c r="B38" s="1">
        <v>5186111400</v>
      </c>
      <c r="C38" s="1">
        <v>5185929000</v>
      </c>
      <c r="D38" s="1">
        <v>5185853400</v>
      </c>
      <c r="E38" s="1">
        <v>5185876600</v>
      </c>
      <c r="F38" s="1">
        <v>5186076000</v>
      </c>
      <c r="G38" s="1">
        <v>5186076000</v>
      </c>
      <c r="H38" s="1">
        <v>5186076000</v>
      </c>
      <c r="I38" s="1">
        <v>5186076000</v>
      </c>
      <c r="J38" s="1">
        <v>5186076000</v>
      </c>
      <c r="K38" s="1">
        <v>5186076000</v>
      </c>
      <c r="L38" s="1">
        <v>5186076000</v>
      </c>
      <c r="M38" s="1">
        <v>5186020800</v>
      </c>
      <c r="N38" s="1">
        <v>5185920600</v>
      </c>
      <c r="O38" s="1">
        <v>5185587200</v>
      </c>
      <c r="P38" s="1">
        <v>5184936400</v>
      </c>
      <c r="Q38" s="1">
        <v>5184018800</v>
      </c>
      <c r="R38" s="1">
        <v>5182720600</v>
      </c>
      <c r="S38" s="1">
        <v>5247441200</v>
      </c>
      <c r="T38" s="1">
        <v>5326517000</v>
      </c>
    </row>
  </sheetData>
  <mergeCells count="1">
    <mergeCell ref="B4:T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A613C-87F5-5E43-AB04-462A43EB495B}">
  <dimension ref="A1:T52"/>
  <sheetViews>
    <sheetView workbookViewId="0"/>
  </sheetViews>
  <sheetFormatPr baseColWidth="10" defaultRowHeight="16" x14ac:dyDescent="0.2"/>
  <cols>
    <col min="1" max="1" width="40.83203125" bestFit="1" customWidth="1"/>
    <col min="2" max="3" width="20.1640625" bestFit="1" customWidth="1"/>
    <col min="4" max="14" width="19.5" bestFit="1" customWidth="1"/>
    <col min="15" max="16" width="18" bestFit="1" customWidth="1"/>
    <col min="17" max="19" width="18.6640625" bestFit="1" customWidth="1"/>
    <col min="20" max="20" width="18" bestFit="1" customWidth="1"/>
  </cols>
  <sheetData>
    <row r="1" spans="1:20" x14ac:dyDescent="0.2">
      <c r="A1" s="10" t="s">
        <v>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x14ac:dyDescent="0.2">
      <c r="A2" t="s">
        <v>1</v>
      </c>
      <c r="B2" t="s">
        <v>2</v>
      </c>
    </row>
    <row r="3" spans="1:20" x14ac:dyDescent="0.2">
      <c r="A3" t="s">
        <v>3</v>
      </c>
      <c r="B3" t="str">
        <f>'TSM - Income Statement FY'!B3</f>
        <v>TWD</v>
      </c>
    </row>
    <row r="4" spans="1:20" x14ac:dyDescent="0.2">
      <c r="A4" t="s">
        <v>32</v>
      </c>
      <c r="B4" s="8" t="s">
        <v>33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2">
      <c r="A5" t="s">
        <v>34</v>
      </c>
      <c r="B5" s="9">
        <v>46022</v>
      </c>
      <c r="C5" s="9">
        <v>45657</v>
      </c>
      <c r="D5" s="9">
        <v>45291</v>
      </c>
      <c r="E5" s="9">
        <v>44926</v>
      </c>
      <c r="F5" s="9">
        <v>44561</v>
      </c>
      <c r="G5" s="9">
        <v>44196</v>
      </c>
      <c r="H5" s="9">
        <v>43830</v>
      </c>
      <c r="I5" s="9">
        <v>43465</v>
      </c>
      <c r="J5" s="9">
        <v>43100</v>
      </c>
      <c r="K5" s="9">
        <v>42735</v>
      </c>
      <c r="L5" s="9">
        <v>42369</v>
      </c>
      <c r="M5" s="9">
        <v>42004</v>
      </c>
      <c r="N5" s="9">
        <v>41639</v>
      </c>
      <c r="O5" s="9">
        <v>41274</v>
      </c>
      <c r="P5" s="9">
        <v>40908</v>
      </c>
      <c r="Q5" s="9">
        <v>40543</v>
      </c>
      <c r="R5" s="9">
        <v>40178</v>
      </c>
      <c r="S5" s="9">
        <v>39813</v>
      </c>
      <c r="T5" s="9">
        <v>39447</v>
      </c>
    </row>
    <row r="7" spans="1:20" x14ac:dyDescent="0.2">
      <c r="A7" s="1" t="s">
        <v>74</v>
      </c>
      <c r="B7" s="1">
        <v>2767856400000</v>
      </c>
      <c r="C7" s="1">
        <v>2127627000000</v>
      </c>
      <c r="D7" s="1">
        <v>1465427800000</v>
      </c>
      <c r="E7" s="1">
        <v>1342814100000</v>
      </c>
      <c r="F7" s="1">
        <v>1064990200000</v>
      </c>
      <c r="G7" s="1">
        <v>660170600000</v>
      </c>
      <c r="H7" s="1">
        <v>455399300000</v>
      </c>
      <c r="I7" s="1">
        <v>577814600000</v>
      </c>
      <c r="J7" s="1">
        <v>553391700000</v>
      </c>
      <c r="K7" s="1">
        <v>541253800000</v>
      </c>
      <c r="L7" s="1">
        <v>562688900000</v>
      </c>
      <c r="M7" s="1">
        <v>358449000000</v>
      </c>
      <c r="N7" s="1">
        <v>242695400000</v>
      </c>
      <c r="O7" s="1">
        <v>143410600000</v>
      </c>
      <c r="P7" s="1">
        <v>143472300000</v>
      </c>
      <c r="Q7" s="1">
        <v>147887000000</v>
      </c>
      <c r="R7" s="1">
        <v>171276300000</v>
      </c>
      <c r="S7" s="1">
        <v>194613800000</v>
      </c>
      <c r="T7" s="1">
        <v>94992537000</v>
      </c>
    </row>
    <row r="8" spans="1:20" x14ac:dyDescent="0.2">
      <c r="A8" s="1" t="s">
        <v>73</v>
      </c>
      <c r="B8" s="1">
        <v>360441300000</v>
      </c>
      <c r="C8" s="1">
        <v>357520000000</v>
      </c>
      <c r="D8" s="1">
        <v>249375400000</v>
      </c>
      <c r="E8" s="1">
        <v>243686000000</v>
      </c>
      <c r="F8" s="1">
        <v>139923500000</v>
      </c>
      <c r="G8" s="1">
        <v>139722600000</v>
      </c>
      <c r="H8" s="1">
        <v>138902300000</v>
      </c>
      <c r="I8" s="1">
        <v>135941400000</v>
      </c>
      <c r="J8" s="1">
        <v>103185500000</v>
      </c>
      <c r="K8" s="1">
        <v>94950500000</v>
      </c>
      <c r="L8" s="1">
        <v>27777300000</v>
      </c>
      <c r="M8" s="1">
        <v>81952000000</v>
      </c>
      <c r="N8" s="1">
        <v>3149000000</v>
      </c>
      <c r="O8" s="1">
        <v>7980900000</v>
      </c>
      <c r="P8" s="1">
        <v>7767000000</v>
      </c>
      <c r="Q8" s="1">
        <v>34708800000</v>
      </c>
      <c r="R8" s="1">
        <v>26370800000</v>
      </c>
      <c r="S8" s="1">
        <v>18748100000</v>
      </c>
      <c r="T8" s="1">
        <v>78225333000</v>
      </c>
    </row>
    <row r="9" spans="1:20" x14ac:dyDescent="0.2">
      <c r="A9" s="1" t="s">
        <v>72</v>
      </c>
      <c r="B9" s="1">
        <v>3128297700000</v>
      </c>
      <c r="C9" s="1">
        <v>2485147000000</v>
      </c>
      <c r="D9" s="1">
        <v>1714803200000</v>
      </c>
      <c r="E9" s="1">
        <v>1586500100000</v>
      </c>
      <c r="F9" s="1">
        <v>1204913700000</v>
      </c>
      <c r="G9" s="1">
        <v>799893200000</v>
      </c>
      <c r="H9" s="1">
        <v>594301600000</v>
      </c>
      <c r="I9" s="1">
        <v>713756000000</v>
      </c>
      <c r="J9" s="1">
        <v>656577200000</v>
      </c>
      <c r="K9" s="1">
        <v>636204300000</v>
      </c>
      <c r="L9" s="1">
        <v>590466200000</v>
      </c>
      <c r="M9" s="1">
        <v>440401000000</v>
      </c>
      <c r="N9" s="1">
        <v>245844400000</v>
      </c>
      <c r="O9" s="1">
        <v>151391500000</v>
      </c>
      <c r="P9" s="1">
        <v>151239300000</v>
      </c>
      <c r="Q9" s="1">
        <v>182595800000</v>
      </c>
      <c r="R9" s="1">
        <v>197647100000</v>
      </c>
      <c r="S9" s="1">
        <v>213361900000</v>
      </c>
      <c r="T9" s="1">
        <v>173217870000</v>
      </c>
    </row>
    <row r="10" spans="1:20" x14ac:dyDescent="0.2">
      <c r="A10" s="1" t="s">
        <v>71</v>
      </c>
      <c r="B10" s="1">
        <v>282059200000</v>
      </c>
      <c r="C10" s="1">
        <v>272087900000</v>
      </c>
      <c r="D10" s="1">
        <v>202010200000</v>
      </c>
      <c r="E10" s="1">
        <v>231408900000</v>
      </c>
      <c r="F10" s="1">
        <v>198362900000</v>
      </c>
      <c r="G10" s="1">
        <v>146089000000</v>
      </c>
      <c r="H10" s="1">
        <v>139822300000</v>
      </c>
      <c r="I10" s="1">
        <v>129262800000</v>
      </c>
      <c r="J10" s="1">
        <v>122488400000</v>
      </c>
      <c r="K10" s="1">
        <v>129451600000</v>
      </c>
      <c r="L10" s="1">
        <v>85690400000</v>
      </c>
      <c r="M10" s="1">
        <v>115226300000</v>
      </c>
      <c r="N10" s="1">
        <v>72163200000</v>
      </c>
      <c r="O10" s="1">
        <v>58317000000</v>
      </c>
      <c r="P10" s="1">
        <v>46138300000</v>
      </c>
      <c r="Q10" s="1">
        <v>43106900000</v>
      </c>
      <c r="R10" s="1">
        <v>35503600000</v>
      </c>
      <c r="S10" s="1">
        <v>27047835000</v>
      </c>
      <c r="T10" s="1">
        <v>42680157000</v>
      </c>
    </row>
    <row r="11" spans="1:20" x14ac:dyDescent="0.2">
      <c r="A11" s="1" t="s">
        <v>70</v>
      </c>
      <c r="B11" s="1">
        <v>288109500000</v>
      </c>
      <c r="C11" s="1">
        <v>287868800000</v>
      </c>
      <c r="D11" s="1">
        <v>250997100000</v>
      </c>
      <c r="E11" s="1">
        <v>221149100000</v>
      </c>
      <c r="F11" s="1">
        <v>193102300000</v>
      </c>
      <c r="G11" s="1">
        <v>137353400000</v>
      </c>
      <c r="H11" s="1">
        <v>82981200000</v>
      </c>
      <c r="I11" s="1">
        <v>103231000000</v>
      </c>
      <c r="J11" s="1">
        <v>73880700000</v>
      </c>
      <c r="K11" s="1">
        <v>48682200000</v>
      </c>
      <c r="L11" s="1">
        <v>67052300000</v>
      </c>
      <c r="M11" s="1">
        <v>66338000000</v>
      </c>
      <c r="N11" s="1">
        <v>37494900000</v>
      </c>
      <c r="O11" s="1">
        <v>37830500000</v>
      </c>
      <c r="P11" s="1">
        <v>24840600000</v>
      </c>
      <c r="Q11" s="1">
        <v>28405900000</v>
      </c>
      <c r="R11" s="1">
        <v>20913800000</v>
      </c>
      <c r="S11" s="1">
        <v>14876600000</v>
      </c>
      <c r="T11" s="1">
        <v>23869753000</v>
      </c>
    </row>
    <row r="12" spans="1:20" x14ac:dyDescent="0.2">
      <c r="A12" s="1" t="s">
        <v>69</v>
      </c>
      <c r="B12" s="1">
        <v>118664400000</v>
      </c>
      <c r="C12" s="1">
        <v>43248400000</v>
      </c>
      <c r="D12" s="1">
        <v>26222400000</v>
      </c>
      <c r="E12" s="1">
        <v>13838600000</v>
      </c>
      <c r="F12" s="1">
        <v>10694000000</v>
      </c>
      <c r="G12" s="1">
        <v>8849700000</v>
      </c>
      <c r="H12" s="1">
        <v>5508800000</v>
      </c>
      <c r="I12" s="1">
        <v>5429900000</v>
      </c>
      <c r="J12" s="1">
        <v>4256800000</v>
      </c>
      <c r="K12" s="1">
        <v>3391000000</v>
      </c>
      <c r="L12" s="1">
        <v>3535100000</v>
      </c>
      <c r="M12" s="1">
        <v>4600300000</v>
      </c>
      <c r="N12" s="1">
        <v>2984200000</v>
      </c>
      <c r="O12" s="1">
        <v>2786400000</v>
      </c>
      <c r="P12" s="1">
        <v>2174000000</v>
      </c>
      <c r="Q12" s="1">
        <v>7410700000</v>
      </c>
      <c r="R12" s="1">
        <v>5739200000</v>
      </c>
      <c r="S12" s="1">
        <v>-2667935000</v>
      </c>
      <c r="T12" s="1">
        <v>10086268000</v>
      </c>
    </row>
    <row r="13" spans="1:20" x14ac:dyDescent="0.2">
      <c r="A13" s="6" t="s">
        <v>68</v>
      </c>
      <c r="B13" s="4">
        <v>3817130800000</v>
      </c>
      <c r="C13" s="4">
        <v>3088352100000</v>
      </c>
      <c r="D13" s="4">
        <v>2194032900000</v>
      </c>
      <c r="E13" s="4">
        <v>2052896700000</v>
      </c>
      <c r="F13" s="4">
        <v>1607072900000</v>
      </c>
      <c r="G13" s="4">
        <v>1092185300000</v>
      </c>
      <c r="H13" s="4">
        <v>822613900000</v>
      </c>
      <c r="I13" s="4">
        <v>951679700000</v>
      </c>
      <c r="J13" s="4">
        <v>857203100000</v>
      </c>
      <c r="K13" s="4">
        <v>817729100000</v>
      </c>
      <c r="L13" s="4">
        <v>746744000000</v>
      </c>
      <c r="M13" s="4">
        <v>626565600000</v>
      </c>
      <c r="N13" s="4">
        <v>358486700000</v>
      </c>
      <c r="O13" s="4">
        <v>250325400000</v>
      </c>
      <c r="P13" s="4">
        <v>224392200000</v>
      </c>
      <c r="Q13" s="4">
        <v>261519300000</v>
      </c>
      <c r="R13" s="4">
        <v>259803700000</v>
      </c>
      <c r="S13" s="4">
        <v>252618400000</v>
      </c>
      <c r="T13" s="4">
        <v>249854048000</v>
      </c>
    </row>
    <row r="15" spans="1:20" x14ac:dyDescent="0.2">
      <c r="A15" s="1" t="s">
        <v>67</v>
      </c>
      <c r="B15" s="1">
        <v>3735759800000</v>
      </c>
      <c r="C15" s="1">
        <v>3275108500000</v>
      </c>
      <c r="D15" s="1">
        <v>3104899700000</v>
      </c>
      <c r="E15" s="1">
        <v>2735751000000</v>
      </c>
      <c r="F15" s="1">
        <v>2007853100000</v>
      </c>
      <c r="G15" s="1">
        <v>1583317600000</v>
      </c>
      <c r="H15" s="1">
        <v>1369609800000</v>
      </c>
      <c r="I15" s="1">
        <v>1072050300000</v>
      </c>
      <c r="J15" s="1">
        <v>1062542300000</v>
      </c>
      <c r="K15" s="1">
        <v>997777700000</v>
      </c>
      <c r="L15" s="1">
        <v>853470300000</v>
      </c>
      <c r="M15" s="1">
        <v>818198800000</v>
      </c>
      <c r="N15" s="1">
        <v>792665900000</v>
      </c>
      <c r="O15" s="1">
        <v>617562200000</v>
      </c>
      <c r="P15" s="1">
        <v>490422200000</v>
      </c>
      <c r="Q15" s="1">
        <v>388444000000</v>
      </c>
      <c r="R15" s="1">
        <v>273674800000</v>
      </c>
      <c r="S15" s="1">
        <v>243645400000</v>
      </c>
      <c r="T15" s="1">
        <v>260264633000</v>
      </c>
    </row>
    <row r="16" spans="1:20" x14ac:dyDescent="0.2">
      <c r="A16" s="1" t="s">
        <v>66</v>
      </c>
      <c r="B16" s="1">
        <v>5891100000</v>
      </c>
      <c r="C16" s="1">
        <v>6070900000</v>
      </c>
      <c r="D16" s="1">
        <v>5796400000</v>
      </c>
      <c r="E16" s="1">
        <v>5791800000</v>
      </c>
      <c r="F16" s="1">
        <v>5379200000</v>
      </c>
      <c r="G16" s="1">
        <v>5436600000</v>
      </c>
      <c r="H16" s="1">
        <v>5693400000</v>
      </c>
      <c r="I16" s="1">
        <v>5795500000</v>
      </c>
      <c r="J16" s="1">
        <v>5648700000</v>
      </c>
      <c r="K16" s="1">
        <v>6008000000</v>
      </c>
      <c r="L16" s="1">
        <v>6104800000</v>
      </c>
      <c r="M16" s="1">
        <v>5888800000</v>
      </c>
      <c r="N16" s="1">
        <v>5627500000</v>
      </c>
      <c r="O16" s="1">
        <v>5523700000</v>
      </c>
      <c r="P16" s="1">
        <v>5694000000</v>
      </c>
      <c r="Q16" s="1">
        <v>5704900000</v>
      </c>
      <c r="R16" s="1">
        <v>5931300000</v>
      </c>
      <c r="S16" s="1">
        <v>6044400000</v>
      </c>
      <c r="T16" s="1">
        <v>5999870000</v>
      </c>
    </row>
    <row r="17" spans="1:20" x14ac:dyDescent="0.2">
      <c r="A17" s="1" t="s">
        <v>65</v>
      </c>
      <c r="B17" s="1">
        <v>19061500000</v>
      </c>
      <c r="C17" s="1">
        <v>20211600000</v>
      </c>
      <c r="D17" s="1">
        <v>16970300000</v>
      </c>
      <c r="E17" s="1">
        <v>20207400000</v>
      </c>
      <c r="F17" s="1">
        <v>21442500000</v>
      </c>
      <c r="G17" s="1">
        <v>20331500000</v>
      </c>
      <c r="H17" s="1">
        <v>14959600000</v>
      </c>
      <c r="I17" s="1">
        <v>11206600000</v>
      </c>
      <c r="J17" s="1">
        <v>8526500000</v>
      </c>
      <c r="K17" s="1">
        <v>8606800000</v>
      </c>
      <c r="L17" s="1">
        <v>7961100000</v>
      </c>
      <c r="M17" s="1">
        <v>7642700000</v>
      </c>
      <c r="N17" s="1">
        <v>5862900000</v>
      </c>
      <c r="O17" s="1">
        <v>5435900000</v>
      </c>
      <c r="P17" s="1">
        <v>5167600000</v>
      </c>
      <c r="Q17" s="1">
        <v>6027100000</v>
      </c>
      <c r="R17" s="1">
        <v>6458600000</v>
      </c>
      <c r="S17" s="1">
        <v>7125800000</v>
      </c>
      <c r="T17" s="1">
        <v>7913342000</v>
      </c>
    </row>
    <row r="18" spans="1:20" x14ac:dyDescent="0.2">
      <c r="A18" s="1" t="s">
        <v>64</v>
      </c>
      <c r="B18" s="1">
        <v>24952600000</v>
      </c>
      <c r="C18" s="1">
        <v>26282500000</v>
      </c>
      <c r="D18" s="1">
        <v>22766700000</v>
      </c>
      <c r="E18" s="1">
        <v>25999200000</v>
      </c>
      <c r="F18" s="1">
        <v>26821700000</v>
      </c>
      <c r="G18" s="1">
        <v>25768100000</v>
      </c>
      <c r="H18" s="1">
        <v>20653000000</v>
      </c>
      <c r="I18" s="1">
        <v>17002100000</v>
      </c>
      <c r="J18" s="1">
        <v>14175200000</v>
      </c>
      <c r="K18" s="1">
        <v>14614800000</v>
      </c>
      <c r="L18" s="1">
        <v>14065900000</v>
      </c>
      <c r="M18" s="1">
        <v>13531500000</v>
      </c>
      <c r="N18" s="1">
        <v>11490400000</v>
      </c>
      <c r="O18" s="1">
        <v>10959600000</v>
      </c>
      <c r="P18" s="1">
        <v>10861600000</v>
      </c>
      <c r="Q18" s="1">
        <v>11732000000</v>
      </c>
      <c r="R18" s="1">
        <v>12389900000</v>
      </c>
      <c r="S18" s="1">
        <v>13170200000</v>
      </c>
      <c r="T18" s="1">
        <v>13913212000</v>
      </c>
    </row>
    <row r="19" spans="1:20" x14ac:dyDescent="0.2">
      <c r="A19" s="1" t="s">
        <v>63</v>
      </c>
      <c r="B19" s="1">
        <v>172189000000</v>
      </c>
      <c r="C19" s="1">
        <v>148867000000</v>
      </c>
      <c r="D19" s="1">
        <v>129267600000</v>
      </c>
      <c r="E19" s="1">
        <v>68608100000</v>
      </c>
      <c r="F19" s="1">
        <v>29183500000</v>
      </c>
      <c r="G19" s="1">
        <v>27617300000</v>
      </c>
      <c r="H19" s="1">
        <v>30092000000</v>
      </c>
      <c r="I19" s="1">
        <v>29208000000</v>
      </c>
      <c r="J19" s="1">
        <v>41439400000</v>
      </c>
      <c r="K19" s="1">
        <v>45995400000</v>
      </c>
      <c r="L19" s="1">
        <v>34872800000</v>
      </c>
      <c r="M19" s="1">
        <v>29860200000</v>
      </c>
      <c r="N19" s="1">
        <v>89024100000</v>
      </c>
      <c r="O19" s="1">
        <v>65723300000</v>
      </c>
      <c r="P19" s="1">
        <v>34450700000</v>
      </c>
      <c r="Q19" s="1">
        <v>39775500000</v>
      </c>
      <c r="R19" s="1">
        <v>37845500000</v>
      </c>
      <c r="S19" s="1">
        <v>42748700000</v>
      </c>
      <c r="T19" s="1">
        <v>0</v>
      </c>
    </row>
    <row r="20" spans="1:20" x14ac:dyDescent="0.2">
      <c r="A20" s="1" t="s">
        <v>62</v>
      </c>
      <c r="B20" s="1">
        <v>62940300000</v>
      </c>
      <c r="C20" s="1">
        <v>65943300000</v>
      </c>
      <c r="D20" s="1">
        <v>64175800000</v>
      </c>
      <c r="E20" s="1">
        <v>69185900000</v>
      </c>
      <c r="F20" s="1">
        <v>49153900000</v>
      </c>
      <c r="G20" s="1">
        <v>25958200000</v>
      </c>
      <c r="H20" s="1">
        <v>17928400000</v>
      </c>
      <c r="I20" s="1">
        <v>16806400000</v>
      </c>
      <c r="J20" s="1">
        <v>12105500000</v>
      </c>
      <c r="K20" s="1">
        <v>8271400000</v>
      </c>
      <c r="L20" s="1">
        <v>6385000000</v>
      </c>
      <c r="M20" s="1">
        <v>5138800000</v>
      </c>
      <c r="N20" s="1">
        <v>7145000000</v>
      </c>
      <c r="O20" s="1">
        <v>13111300000</v>
      </c>
      <c r="P20" s="1">
        <v>13589400000</v>
      </c>
      <c r="Q20" s="1">
        <v>7362800000</v>
      </c>
      <c r="R20" s="1">
        <v>7988300000</v>
      </c>
      <c r="S20" s="1">
        <v>6636900000</v>
      </c>
      <c r="T20" s="1">
        <v>7329571000</v>
      </c>
    </row>
    <row r="21" spans="1:20" x14ac:dyDescent="0.2">
      <c r="A21" s="1" t="s">
        <v>61</v>
      </c>
      <c r="B21" s="1">
        <v>119870000000</v>
      </c>
      <c r="C21" s="1">
        <v>87211300000</v>
      </c>
      <c r="D21" s="1">
        <v>17053900000</v>
      </c>
      <c r="E21" s="1">
        <v>12018200000</v>
      </c>
      <c r="F21" s="1">
        <v>5217100000</v>
      </c>
      <c r="G21" s="1">
        <v>5754000000</v>
      </c>
      <c r="H21" s="1">
        <v>3827900000</v>
      </c>
      <c r="I21" s="1">
        <v>3284700000</v>
      </c>
      <c r="J21" s="1">
        <v>4266500000</v>
      </c>
      <c r="K21" s="1">
        <v>1908300000</v>
      </c>
      <c r="L21" s="1">
        <v>1859400000</v>
      </c>
      <c r="M21" s="1">
        <v>1558100000</v>
      </c>
      <c r="N21" s="1">
        <v>3988600000</v>
      </c>
      <c r="O21" s="1">
        <v>3661900000</v>
      </c>
      <c r="P21" s="1">
        <v>5825500000</v>
      </c>
      <c r="Q21" s="1">
        <v>10095300000</v>
      </c>
      <c r="R21" s="1">
        <v>2994000000</v>
      </c>
      <c r="S21" s="1">
        <v>97000000</v>
      </c>
      <c r="T21" s="1">
        <v>39566711000</v>
      </c>
    </row>
    <row r="22" spans="1:20" x14ac:dyDescent="0.2">
      <c r="A22" s="6" t="s">
        <v>60</v>
      </c>
      <c r="B22" s="4">
        <v>4115711700000</v>
      </c>
      <c r="C22" s="4">
        <v>3603412600000</v>
      </c>
      <c r="D22" s="4">
        <v>3338163700000</v>
      </c>
      <c r="E22" s="4">
        <v>2911562400000</v>
      </c>
      <c r="F22" s="4">
        <v>2118229300000</v>
      </c>
      <c r="G22" s="4">
        <v>1668415200000</v>
      </c>
      <c r="H22" s="4">
        <v>1442111100000</v>
      </c>
      <c r="I22" s="4">
        <v>1138351500000</v>
      </c>
      <c r="J22" s="4">
        <v>1134528900000</v>
      </c>
      <c r="K22" s="4">
        <v>1068567600000</v>
      </c>
      <c r="L22" s="4">
        <v>910653400000</v>
      </c>
      <c r="M22" s="4">
        <v>868287400000</v>
      </c>
      <c r="N22" s="4">
        <v>904314000000</v>
      </c>
      <c r="O22" s="4">
        <v>711018300000</v>
      </c>
      <c r="P22" s="4">
        <v>555149400000</v>
      </c>
      <c r="Q22" s="4">
        <v>457409600000</v>
      </c>
      <c r="R22" s="4">
        <v>334892500000</v>
      </c>
      <c r="S22" s="4">
        <v>306298200000</v>
      </c>
      <c r="T22" s="4">
        <v>321074127000</v>
      </c>
    </row>
    <row r="24" spans="1:20" x14ac:dyDescent="0.2">
      <c r="A24" s="1" t="s">
        <v>59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</row>
    <row r="25" spans="1:20" x14ac:dyDescent="0.2">
      <c r="A25" s="6" t="s">
        <v>58</v>
      </c>
      <c r="B25" s="5">
        <v>7932842500000</v>
      </c>
      <c r="C25" s="5">
        <v>6691764700000</v>
      </c>
      <c r="D25" s="5">
        <v>5532196600000</v>
      </c>
      <c r="E25" s="5">
        <v>4964459100000</v>
      </c>
      <c r="F25" s="5">
        <v>3725302200000</v>
      </c>
      <c r="G25" s="5">
        <v>2760600500000</v>
      </c>
      <c r="H25" s="5">
        <v>2264725000000</v>
      </c>
      <c r="I25" s="5">
        <v>2090031200000</v>
      </c>
      <c r="J25" s="5">
        <v>1991732000000</v>
      </c>
      <c r="K25" s="5">
        <v>1886296700000</v>
      </c>
      <c r="L25" s="5">
        <v>1657397400000</v>
      </c>
      <c r="M25" s="5">
        <v>1494853000000</v>
      </c>
      <c r="N25" s="5">
        <v>1262800700000</v>
      </c>
      <c r="O25" s="5">
        <v>961343700000</v>
      </c>
      <c r="P25" s="5">
        <v>779541600000</v>
      </c>
      <c r="Q25" s="5">
        <v>718928900000</v>
      </c>
      <c r="R25" s="5">
        <v>594696200000</v>
      </c>
      <c r="S25" s="5">
        <v>558916600000</v>
      </c>
      <c r="T25" s="5">
        <v>570928175000</v>
      </c>
    </row>
    <row r="27" spans="1:20" x14ac:dyDescent="0.2">
      <c r="A27" s="1" t="s">
        <v>57</v>
      </c>
      <c r="B27" s="1">
        <v>260281900000</v>
      </c>
      <c r="C27" s="1">
        <v>265435800000</v>
      </c>
      <c r="D27" s="1">
        <v>227211400000</v>
      </c>
      <c r="E27" s="1">
        <v>268379300000</v>
      </c>
      <c r="F27" s="1">
        <v>193027800000</v>
      </c>
      <c r="G27" s="1">
        <v>196792300000</v>
      </c>
      <c r="H27" s="1">
        <v>179581800000</v>
      </c>
      <c r="I27" s="1">
        <v>76114600000</v>
      </c>
      <c r="J27" s="1">
        <v>84136600000</v>
      </c>
      <c r="K27" s="1">
        <v>89216800000</v>
      </c>
      <c r="L27" s="1">
        <v>44587500000</v>
      </c>
      <c r="M27" s="1">
        <v>48859300000</v>
      </c>
      <c r="N27" s="1">
        <v>104480500000</v>
      </c>
      <c r="O27" s="1">
        <v>59322200000</v>
      </c>
      <c r="P27" s="1">
        <v>46071000000</v>
      </c>
      <c r="Q27" s="1">
        <v>12104200000</v>
      </c>
      <c r="R27" s="1">
        <v>39830200000</v>
      </c>
      <c r="S27" s="1">
        <v>5553200000</v>
      </c>
      <c r="T27" s="1">
        <v>11578128000</v>
      </c>
    </row>
    <row r="28" spans="1:20" x14ac:dyDescent="0.2">
      <c r="A28" s="1" t="s">
        <v>56</v>
      </c>
      <c r="B28" s="1">
        <v>136925700000</v>
      </c>
      <c r="C28" s="1">
        <v>59857900000</v>
      </c>
      <c r="D28" s="1">
        <v>9293300000</v>
      </c>
      <c r="E28" s="1">
        <v>19313900000</v>
      </c>
      <c r="F28" s="1">
        <v>119488000000</v>
      </c>
      <c r="G28" s="1">
        <v>91159000000</v>
      </c>
      <c r="H28" s="1">
        <v>150322300000</v>
      </c>
      <c r="I28" s="1">
        <v>123654700000</v>
      </c>
      <c r="J28" s="1">
        <v>122167900000</v>
      </c>
      <c r="K28" s="1">
        <v>96058200000</v>
      </c>
      <c r="L28" s="1">
        <v>62984100000</v>
      </c>
      <c r="M28" s="1">
        <v>36158500000</v>
      </c>
      <c r="N28" s="1">
        <v>15645000000</v>
      </c>
      <c r="O28" s="1">
        <v>34843000000</v>
      </c>
      <c r="P28" s="1">
        <v>30489000000</v>
      </c>
      <c r="Q28" s="1">
        <v>31455300000</v>
      </c>
      <c r="R28" s="1">
        <v>949300000</v>
      </c>
      <c r="S28" s="1">
        <v>8307600000</v>
      </c>
      <c r="T28" s="1">
        <v>291886000</v>
      </c>
    </row>
    <row r="29" spans="1:20" x14ac:dyDescent="0.2">
      <c r="A29" s="1" t="s">
        <v>55</v>
      </c>
      <c r="B29" s="1">
        <v>0</v>
      </c>
      <c r="C29" s="1">
        <v>191569400000</v>
      </c>
      <c r="D29" s="1">
        <v>128134600000</v>
      </c>
      <c r="E29" s="1">
        <v>163138600000</v>
      </c>
      <c r="F29" s="1">
        <v>78496600000</v>
      </c>
      <c r="G29" s="1">
        <v>68656700000</v>
      </c>
      <c r="H29" s="1">
        <v>40094300000</v>
      </c>
      <c r="I29" s="1">
        <v>55281600000</v>
      </c>
      <c r="J29" s="1">
        <v>61662800000</v>
      </c>
      <c r="K29" s="1">
        <v>70352800000</v>
      </c>
      <c r="L29" s="1">
        <v>60444700000</v>
      </c>
      <c r="M29" s="1">
        <v>52388100000</v>
      </c>
      <c r="N29" s="1">
        <v>36759400000</v>
      </c>
      <c r="O29" s="1">
        <v>25264900000</v>
      </c>
      <c r="P29" s="1">
        <v>13464400000</v>
      </c>
      <c r="Q29" s="1">
        <v>7184700000</v>
      </c>
      <c r="R29" s="1">
        <v>8800300000</v>
      </c>
      <c r="S29" s="1">
        <v>9331800000</v>
      </c>
      <c r="T29" s="1">
        <v>0</v>
      </c>
    </row>
    <row r="30" spans="1:20" x14ac:dyDescent="0.2">
      <c r="A30" s="1" t="s">
        <v>54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</row>
    <row r="31" spans="1:20" x14ac:dyDescent="0.2">
      <c r="A31" s="1" t="s">
        <v>53</v>
      </c>
      <c r="B31" s="1">
        <v>1125206400000</v>
      </c>
      <c r="C31" s="1">
        <v>791792800000</v>
      </c>
      <c r="D31" s="1">
        <v>578165800000</v>
      </c>
      <c r="E31" s="1">
        <v>535731800000</v>
      </c>
      <c r="F31" s="1">
        <v>367340400000</v>
      </c>
      <c r="G31" s="1">
        <v>275290400000</v>
      </c>
      <c r="H31" s="1">
        <v>228365400000</v>
      </c>
      <c r="I31" s="1">
        <v>101786200000</v>
      </c>
      <c r="J31" s="1">
        <v>118922900000</v>
      </c>
      <c r="K31" s="1">
        <v>92658200000</v>
      </c>
      <c r="L31" s="1">
        <v>71755800000</v>
      </c>
      <c r="M31" s="1">
        <v>87379300000</v>
      </c>
      <c r="N31" s="1">
        <v>47089100000</v>
      </c>
      <c r="O31" s="1">
        <v>38673100000</v>
      </c>
      <c r="P31" s="1">
        <v>34858900000</v>
      </c>
      <c r="Q31" s="1">
        <v>72446900000</v>
      </c>
      <c r="R31" s="1">
        <v>29553500000</v>
      </c>
      <c r="S31" s="1">
        <v>33614200000</v>
      </c>
      <c r="T31" s="1">
        <v>36842446000</v>
      </c>
    </row>
    <row r="32" spans="1:20" x14ac:dyDescent="0.2">
      <c r="A32" s="6" t="s">
        <v>52</v>
      </c>
      <c r="B32" s="4">
        <v>1522414000000</v>
      </c>
      <c r="C32" s="4">
        <v>1308655900000</v>
      </c>
      <c r="D32" s="4">
        <v>942805100000</v>
      </c>
      <c r="E32" s="4">
        <v>986563600000</v>
      </c>
      <c r="F32" s="4">
        <v>758352800000</v>
      </c>
      <c r="G32" s="4">
        <v>631898400000</v>
      </c>
      <c r="H32" s="4">
        <v>598363800000</v>
      </c>
      <c r="I32" s="4">
        <v>356837100000</v>
      </c>
      <c r="J32" s="4">
        <v>386890200000</v>
      </c>
      <c r="K32" s="4">
        <v>348286000000</v>
      </c>
      <c r="L32" s="4">
        <v>239772100000</v>
      </c>
      <c r="M32" s="4">
        <v>224785200000</v>
      </c>
      <c r="N32" s="4">
        <v>203974000000</v>
      </c>
      <c r="O32" s="4">
        <v>158103200000</v>
      </c>
      <c r="P32" s="4">
        <v>124883300000</v>
      </c>
      <c r="Q32" s="4">
        <v>123191100000</v>
      </c>
      <c r="R32" s="4">
        <v>79133300000</v>
      </c>
      <c r="S32" s="4">
        <v>56806800000</v>
      </c>
      <c r="T32" s="4">
        <v>48712458000</v>
      </c>
    </row>
    <row r="34" spans="1:20" x14ac:dyDescent="0.2">
      <c r="A34" s="1" t="s">
        <v>51</v>
      </c>
      <c r="B34" s="1">
        <v>927657000000</v>
      </c>
      <c r="C34" s="1">
        <v>987184200000</v>
      </c>
      <c r="D34" s="1">
        <v>946964600000</v>
      </c>
      <c r="E34" s="1">
        <v>868860500000</v>
      </c>
      <c r="F34" s="1">
        <v>634143900000</v>
      </c>
      <c r="G34" s="1">
        <v>276633300000</v>
      </c>
      <c r="H34" s="1">
        <v>40141800000</v>
      </c>
      <c r="I34" s="1">
        <v>56900000000</v>
      </c>
      <c r="J34" s="1">
        <v>91800000000</v>
      </c>
      <c r="K34" s="1">
        <v>153115400000</v>
      </c>
      <c r="L34" s="1">
        <v>191997600000</v>
      </c>
      <c r="M34" s="1">
        <v>214515900000</v>
      </c>
      <c r="N34" s="1">
        <v>211583800000</v>
      </c>
      <c r="O34" s="1">
        <v>82107500000</v>
      </c>
      <c r="P34" s="1">
        <v>20458500000</v>
      </c>
      <c r="Q34" s="1">
        <v>5496600000</v>
      </c>
      <c r="R34" s="1">
        <v>5786100000</v>
      </c>
      <c r="S34" s="1">
        <v>16191000000</v>
      </c>
      <c r="T34" s="1">
        <v>14886164000</v>
      </c>
    </row>
    <row r="35" spans="1:20" x14ac:dyDescent="0.2">
      <c r="A35" s="1" t="s">
        <v>50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265600000</v>
      </c>
      <c r="H35" s="1">
        <v>176900000</v>
      </c>
      <c r="I35" s="1">
        <v>3353300000</v>
      </c>
      <c r="J35" s="1">
        <v>7586800000</v>
      </c>
      <c r="K35" s="1">
        <v>14670400000</v>
      </c>
      <c r="L35" s="1">
        <v>21564800000</v>
      </c>
      <c r="M35" s="1">
        <v>25538500000</v>
      </c>
      <c r="N35" s="1">
        <v>151700000</v>
      </c>
      <c r="O35" s="1">
        <v>203900000</v>
      </c>
      <c r="P35" s="1">
        <v>444000000</v>
      </c>
      <c r="Q35" s="1">
        <v>789100000</v>
      </c>
      <c r="R35" s="1">
        <v>1006000000</v>
      </c>
      <c r="S35" s="1">
        <v>0</v>
      </c>
      <c r="T35" s="1">
        <v>0</v>
      </c>
    </row>
    <row r="36" spans="1:20" x14ac:dyDescent="0.2">
      <c r="A36" s="1" t="s">
        <v>49</v>
      </c>
      <c r="B36" s="1">
        <v>3888800000</v>
      </c>
      <c r="C36" s="1">
        <v>3988500000</v>
      </c>
      <c r="D36" s="1">
        <v>53800000</v>
      </c>
      <c r="E36" s="1">
        <v>1031400000</v>
      </c>
      <c r="F36" s="1">
        <v>1873900000</v>
      </c>
      <c r="G36" s="1">
        <v>1729900000</v>
      </c>
      <c r="H36" s="1">
        <v>344400000</v>
      </c>
      <c r="I36" s="1">
        <v>233300000</v>
      </c>
      <c r="J36" s="1">
        <v>302200000</v>
      </c>
      <c r="K36" s="1">
        <v>141200000</v>
      </c>
      <c r="L36" s="1">
        <v>31300000</v>
      </c>
      <c r="M36" s="1">
        <v>199700000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</row>
    <row r="37" spans="1:20" x14ac:dyDescent="0.2">
      <c r="A37" s="1" t="s">
        <v>48</v>
      </c>
      <c r="B37" s="1">
        <v>82663500000</v>
      </c>
      <c r="C37" s="1">
        <v>112664500000</v>
      </c>
      <c r="D37" s="1">
        <v>188506600000</v>
      </c>
      <c r="E37" s="1">
        <v>190171200000</v>
      </c>
      <c r="F37" s="1">
        <v>179249100000</v>
      </c>
      <c r="G37" s="1">
        <v>14309500000</v>
      </c>
      <c r="H37" s="1">
        <v>11310800000</v>
      </c>
      <c r="I37" s="1">
        <v>11602400000</v>
      </c>
      <c r="J37" s="1">
        <v>18595300000</v>
      </c>
      <c r="K37" s="1">
        <v>25049500000</v>
      </c>
      <c r="L37" s="1">
        <v>30657600000</v>
      </c>
      <c r="M37" s="1">
        <v>7453000000</v>
      </c>
      <c r="N37" s="1">
        <v>12978200000</v>
      </c>
      <c r="O37" s="1">
        <v>7334800000</v>
      </c>
      <c r="P37" s="1">
        <v>6497200000</v>
      </c>
      <c r="Q37" s="1">
        <v>10747700000</v>
      </c>
      <c r="R37" s="1">
        <v>9722300000</v>
      </c>
      <c r="S37" s="1">
        <v>5546300000</v>
      </c>
      <c r="T37" s="1">
        <v>16605046000</v>
      </c>
    </row>
    <row r="38" spans="1:20" x14ac:dyDescent="0.2">
      <c r="A38" s="6" t="s">
        <v>47</v>
      </c>
      <c r="B38" s="4">
        <v>1014209300000</v>
      </c>
      <c r="C38" s="4">
        <v>1103837200000</v>
      </c>
      <c r="D38" s="4">
        <v>1135525000000</v>
      </c>
      <c r="E38" s="4">
        <v>1060063100000</v>
      </c>
      <c r="F38" s="4">
        <v>815266900000</v>
      </c>
      <c r="G38" s="4">
        <v>292938300000</v>
      </c>
      <c r="H38" s="4">
        <v>51973900000</v>
      </c>
      <c r="I38" s="4">
        <v>72089000000</v>
      </c>
      <c r="J38" s="4">
        <v>110395300000</v>
      </c>
      <c r="K38" s="4">
        <v>178164900000</v>
      </c>
      <c r="L38" s="4">
        <v>222655200000</v>
      </c>
      <c r="M38" s="4">
        <v>247707100000</v>
      </c>
      <c r="N38" s="4">
        <v>224713700000</v>
      </c>
      <c r="O38" s="4">
        <v>89646200000</v>
      </c>
      <c r="P38" s="4">
        <v>27399700000</v>
      </c>
      <c r="Q38" s="4">
        <v>17033400000</v>
      </c>
      <c r="R38" s="4">
        <v>16514400000</v>
      </c>
      <c r="S38" s="4">
        <v>21737300000</v>
      </c>
      <c r="T38" s="4">
        <v>31491210000</v>
      </c>
    </row>
    <row r="40" spans="1:20" x14ac:dyDescent="0.2">
      <c r="A40" s="1" t="s">
        <v>46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</row>
    <row r="41" spans="1:20" x14ac:dyDescent="0.2">
      <c r="A41" s="6" t="s">
        <v>45</v>
      </c>
      <c r="B41" s="5">
        <v>2536623300000</v>
      </c>
      <c r="C41" s="5">
        <v>2412493100000</v>
      </c>
      <c r="D41" s="5">
        <v>2078330100000</v>
      </c>
      <c r="E41" s="5">
        <v>2046626700000</v>
      </c>
      <c r="F41" s="5">
        <v>1573619700000</v>
      </c>
      <c r="G41" s="5">
        <v>924836700000</v>
      </c>
      <c r="H41" s="5">
        <v>650337700000</v>
      </c>
      <c r="I41" s="5">
        <v>428926100000</v>
      </c>
      <c r="J41" s="5">
        <v>497285500000</v>
      </c>
      <c r="K41" s="5">
        <v>526450900000</v>
      </c>
      <c r="L41" s="5">
        <v>462427300000</v>
      </c>
      <c r="M41" s="5">
        <v>472492300000</v>
      </c>
      <c r="N41" s="5">
        <v>428687700000</v>
      </c>
      <c r="O41" s="5">
        <v>247749400000</v>
      </c>
      <c r="P41" s="5">
        <v>152283000000</v>
      </c>
      <c r="Q41" s="5">
        <v>140224500000</v>
      </c>
      <c r="R41" s="5">
        <v>95647700000</v>
      </c>
      <c r="S41" s="5">
        <v>78544100000</v>
      </c>
      <c r="T41" s="5">
        <v>80203668000</v>
      </c>
    </row>
    <row r="43" spans="1:20" x14ac:dyDescent="0.2">
      <c r="A43" s="1" t="s">
        <v>44</v>
      </c>
      <c r="B43" s="1">
        <v>259325300000</v>
      </c>
      <c r="C43" s="1">
        <v>259327300000</v>
      </c>
      <c r="D43" s="1">
        <v>259320700000</v>
      </c>
      <c r="E43" s="1">
        <v>259303800000</v>
      </c>
      <c r="F43" s="1">
        <v>259303800000</v>
      </c>
      <c r="G43" s="1">
        <v>259303800000</v>
      </c>
      <c r="H43" s="1">
        <v>259303800000</v>
      </c>
      <c r="I43" s="1">
        <v>259303800000</v>
      </c>
      <c r="J43" s="1">
        <v>259303800000</v>
      </c>
      <c r="K43" s="1">
        <v>259303800000</v>
      </c>
      <c r="L43" s="1">
        <v>259303800000</v>
      </c>
      <c r="M43" s="1">
        <v>259296600000</v>
      </c>
      <c r="N43" s="1">
        <v>259286200000</v>
      </c>
      <c r="O43" s="1">
        <v>259244400000</v>
      </c>
      <c r="P43" s="1">
        <v>259162200000</v>
      </c>
      <c r="Q43" s="1">
        <v>259100800000</v>
      </c>
      <c r="R43" s="1">
        <v>259027100000</v>
      </c>
      <c r="S43" s="1">
        <v>256254400000</v>
      </c>
      <c r="T43" s="1">
        <v>264286168000</v>
      </c>
    </row>
    <row r="44" spans="1:20" x14ac:dyDescent="0.2">
      <c r="A44" s="1" t="s">
        <v>43</v>
      </c>
      <c r="B44" s="1">
        <v>5038944200000</v>
      </c>
      <c r="C44" s="1">
        <v>3872973400000</v>
      </c>
      <c r="D44" s="1">
        <v>3128639600000</v>
      </c>
      <c r="E44" s="1">
        <v>2594891200000</v>
      </c>
      <c r="F44" s="1">
        <v>1887802900000</v>
      </c>
      <c r="G44" s="1">
        <v>1573840100000</v>
      </c>
      <c r="H44" s="1">
        <v>1325630400000</v>
      </c>
      <c r="I44" s="1">
        <v>1360258900000</v>
      </c>
      <c r="J44" s="1">
        <v>1205051300000</v>
      </c>
      <c r="K44" s="1">
        <v>1041810700000</v>
      </c>
      <c r="L44" s="1">
        <v>866629600000</v>
      </c>
      <c r="M44" s="1">
        <v>681224200000</v>
      </c>
      <c r="N44" s="1">
        <v>504531200000</v>
      </c>
      <c r="O44" s="1">
        <v>398911900000</v>
      </c>
      <c r="P44" s="1">
        <v>317794400000</v>
      </c>
      <c r="Q44" s="1">
        <v>265779600000</v>
      </c>
      <c r="R44" s="1">
        <v>181882700000</v>
      </c>
      <c r="S44" s="1">
        <v>170053700000</v>
      </c>
      <c r="T44" s="1">
        <v>218881746000</v>
      </c>
    </row>
    <row r="45" spans="1:20" x14ac:dyDescent="0.2">
      <c r="A45" s="1" t="s">
        <v>42</v>
      </c>
      <c r="B45" s="1">
        <v>0</v>
      </c>
      <c r="C45" s="1">
        <v>40413126000</v>
      </c>
      <c r="D45" s="1">
        <v>-28020822000</v>
      </c>
      <c r="E45" s="1">
        <v>0</v>
      </c>
      <c r="F45" s="1">
        <v>370451000000</v>
      </c>
      <c r="G45" s="1">
        <v>-54679800000</v>
      </c>
      <c r="H45" s="1">
        <v>321822000000</v>
      </c>
      <c r="I45" s="1">
        <v>-15449900000</v>
      </c>
      <c r="J45" s="1">
        <v>-26917900000</v>
      </c>
      <c r="K45" s="1">
        <v>1663900000</v>
      </c>
      <c r="L45" s="1">
        <v>11774100000</v>
      </c>
      <c r="M45" s="1">
        <v>0</v>
      </c>
      <c r="N45" s="1">
        <v>0</v>
      </c>
      <c r="O45" s="1">
        <v>-2785800000</v>
      </c>
      <c r="P45" s="1">
        <v>-7606300000</v>
      </c>
      <c r="Q45" s="1">
        <v>-6433900000</v>
      </c>
      <c r="R45" s="1">
        <v>-1313100000</v>
      </c>
      <c r="S45" s="1">
        <v>193800000</v>
      </c>
      <c r="T45" s="1">
        <v>-389181000</v>
      </c>
    </row>
    <row r="46" spans="1:20" x14ac:dyDescent="0.2">
      <c r="A46" s="1" t="s">
        <v>41</v>
      </c>
      <c r="B46" s="1">
        <v>56769200000</v>
      </c>
      <c r="C46" s="1">
        <v>71552674000</v>
      </c>
      <c r="D46" s="1">
        <v>69582922000</v>
      </c>
      <c r="E46" s="1">
        <v>48824700000</v>
      </c>
      <c r="F46" s="1">
        <v>-368297900000</v>
      </c>
      <c r="G46" s="1">
        <v>56347200000</v>
      </c>
      <c r="H46" s="1">
        <v>-293050600000</v>
      </c>
      <c r="I46" s="1">
        <v>56316000000</v>
      </c>
      <c r="J46" s="1">
        <v>56309600000</v>
      </c>
      <c r="K46" s="1">
        <v>56272300000</v>
      </c>
      <c r="L46" s="1">
        <v>56300200000</v>
      </c>
      <c r="M46" s="1">
        <v>81712700000</v>
      </c>
      <c r="N46" s="1">
        <v>70028900000</v>
      </c>
      <c r="O46" s="1">
        <v>55680600000</v>
      </c>
      <c r="P46" s="1">
        <v>55471700000</v>
      </c>
      <c r="Q46" s="1">
        <v>55698400000</v>
      </c>
      <c r="R46" s="1">
        <v>55486000000</v>
      </c>
      <c r="S46" s="1">
        <v>49875200000</v>
      </c>
      <c r="T46" s="1">
        <v>4345852000</v>
      </c>
    </row>
    <row r="47" spans="1:20" x14ac:dyDescent="0.2">
      <c r="A47" s="6" t="s">
        <v>40</v>
      </c>
      <c r="B47" s="5">
        <v>5355038700000</v>
      </c>
      <c r="C47" s="5">
        <v>4244266500000</v>
      </c>
      <c r="D47" s="5">
        <v>3429522400000</v>
      </c>
      <c r="E47" s="5">
        <v>2903019700000</v>
      </c>
      <c r="F47" s="5">
        <v>2149259800000</v>
      </c>
      <c r="G47" s="5">
        <v>1834811300000</v>
      </c>
      <c r="H47" s="5">
        <v>1613705600000</v>
      </c>
      <c r="I47" s="5">
        <v>1660428800000</v>
      </c>
      <c r="J47" s="5">
        <v>1493746800000</v>
      </c>
      <c r="K47" s="5">
        <v>1359050700000</v>
      </c>
      <c r="L47" s="5">
        <v>1194007700000</v>
      </c>
      <c r="M47" s="5">
        <v>1022233500000</v>
      </c>
      <c r="N47" s="5">
        <v>833846300000</v>
      </c>
      <c r="O47" s="5">
        <v>711051100000</v>
      </c>
      <c r="P47" s="5">
        <v>624822000000</v>
      </c>
      <c r="Q47" s="5">
        <v>574144900000</v>
      </c>
      <c r="R47" s="5">
        <v>495082700000</v>
      </c>
      <c r="S47" s="5">
        <v>476377100000</v>
      </c>
      <c r="T47" s="5">
        <v>487124585000</v>
      </c>
    </row>
    <row r="49" spans="1:20" x14ac:dyDescent="0.2">
      <c r="A49" s="1" t="s">
        <v>39</v>
      </c>
      <c r="B49" s="1">
        <v>7932842500000</v>
      </c>
      <c r="C49" s="1">
        <v>6691764700000</v>
      </c>
      <c r="D49" s="1">
        <v>5532196600000</v>
      </c>
      <c r="E49" s="1">
        <v>4964459100000</v>
      </c>
      <c r="F49" s="1">
        <v>3725302200000</v>
      </c>
      <c r="G49" s="1">
        <v>2760600500000</v>
      </c>
      <c r="H49" s="1">
        <v>2264725000000</v>
      </c>
      <c r="I49" s="1">
        <v>2090031200000</v>
      </c>
      <c r="J49" s="1">
        <v>1991732000000</v>
      </c>
      <c r="K49" s="1">
        <v>1886296700000</v>
      </c>
      <c r="L49" s="1">
        <v>1657397400000</v>
      </c>
      <c r="M49" s="1">
        <v>1494853000000</v>
      </c>
      <c r="N49" s="1">
        <v>1262800700000</v>
      </c>
      <c r="O49" s="1">
        <v>961343700000</v>
      </c>
      <c r="P49" s="1">
        <v>779541600000</v>
      </c>
      <c r="Q49" s="1">
        <v>718928900000</v>
      </c>
      <c r="R49" s="1">
        <v>594696200000</v>
      </c>
      <c r="S49" s="1">
        <v>558916600000</v>
      </c>
      <c r="T49" s="1">
        <v>570928175000</v>
      </c>
    </row>
    <row r="50" spans="1:20" x14ac:dyDescent="0.2">
      <c r="A50" s="1" t="s">
        <v>38</v>
      </c>
      <c r="B50" s="1">
        <v>532630300000</v>
      </c>
      <c r="C50" s="1">
        <v>506387000000</v>
      </c>
      <c r="D50" s="1">
        <v>378643000000</v>
      </c>
      <c r="E50" s="1">
        <v>312294100000</v>
      </c>
      <c r="F50" s="1">
        <v>169107000000</v>
      </c>
      <c r="G50" s="1">
        <v>167339900000</v>
      </c>
      <c r="H50" s="1">
        <v>168994300000</v>
      </c>
      <c r="I50" s="1">
        <v>165149400000</v>
      </c>
      <c r="J50" s="1">
        <v>144624900000</v>
      </c>
      <c r="K50" s="1">
        <v>140945900000</v>
      </c>
      <c r="L50" s="1">
        <v>62650100000</v>
      </c>
      <c r="M50" s="1">
        <v>111812200000</v>
      </c>
      <c r="N50" s="1">
        <v>92173100000</v>
      </c>
      <c r="O50" s="1">
        <v>73704200000</v>
      </c>
      <c r="P50" s="1">
        <v>42217700000</v>
      </c>
      <c r="Q50" s="1">
        <v>74484300000</v>
      </c>
      <c r="R50" s="1">
        <v>64216300000</v>
      </c>
      <c r="S50" s="1">
        <v>61496800000</v>
      </c>
      <c r="T50" s="1">
        <v>78225333000</v>
      </c>
    </row>
    <row r="51" spans="1:20" x14ac:dyDescent="0.2">
      <c r="A51" s="1" t="s">
        <v>37</v>
      </c>
      <c r="B51" s="1">
        <v>1064582700000</v>
      </c>
      <c r="C51" s="1">
        <v>1047042100000</v>
      </c>
      <c r="D51" s="1">
        <v>956257900000</v>
      </c>
      <c r="E51" s="1">
        <v>888174400000</v>
      </c>
      <c r="F51" s="1">
        <v>753631900000</v>
      </c>
      <c r="G51" s="1">
        <v>367792300000</v>
      </c>
      <c r="H51" s="1">
        <v>190464100000</v>
      </c>
      <c r="I51" s="1">
        <v>180554700000</v>
      </c>
      <c r="J51" s="1">
        <v>213967900000</v>
      </c>
      <c r="K51" s="1">
        <v>249173600000</v>
      </c>
      <c r="L51" s="1">
        <v>254981700000</v>
      </c>
      <c r="M51" s="1">
        <v>250674400000</v>
      </c>
      <c r="N51" s="1">
        <v>227228800000</v>
      </c>
      <c r="O51" s="1">
        <v>116950500000</v>
      </c>
      <c r="P51" s="1">
        <v>50947500000</v>
      </c>
      <c r="Q51" s="1">
        <v>36951900000</v>
      </c>
      <c r="R51" s="1">
        <v>6735400000</v>
      </c>
      <c r="S51" s="1">
        <v>24498600000</v>
      </c>
      <c r="T51" s="1">
        <v>15178050000</v>
      </c>
    </row>
    <row r="52" spans="1:20" x14ac:dyDescent="0.2">
      <c r="A52" s="1" t="s">
        <v>36</v>
      </c>
      <c r="B52" s="1">
        <v>-1703273700000</v>
      </c>
      <c r="C52" s="1">
        <v>-1080584900000</v>
      </c>
      <c r="D52" s="1">
        <v>-509169900000</v>
      </c>
      <c r="E52" s="1">
        <v>-454639700000</v>
      </c>
      <c r="F52" s="1">
        <v>-311358300000</v>
      </c>
      <c r="G52" s="1">
        <v>-292378300000</v>
      </c>
      <c r="H52" s="1">
        <v>-264935200000</v>
      </c>
      <c r="I52" s="1">
        <v>-397259900000</v>
      </c>
      <c r="J52" s="1">
        <v>-339423800000</v>
      </c>
      <c r="K52" s="1">
        <v>-292080200000</v>
      </c>
      <c r="L52" s="1">
        <v>-307707200000</v>
      </c>
      <c r="M52" s="1">
        <v>-107774600000</v>
      </c>
      <c r="N52" s="1">
        <v>-15466600000</v>
      </c>
      <c r="O52" s="1">
        <v>-26460100000</v>
      </c>
      <c r="P52" s="1">
        <v>-92524800000</v>
      </c>
      <c r="Q52" s="1">
        <v>-110935100000</v>
      </c>
      <c r="R52" s="1">
        <v>-164540900000</v>
      </c>
      <c r="S52" s="1">
        <v>-170115200000</v>
      </c>
      <c r="T52" s="1">
        <v>-79814487000</v>
      </c>
    </row>
  </sheetData>
  <mergeCells count="1">
    <mergeCell ref="B4:T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8EBA-926F-994E-BC67-85A0B73160F5}">
  <dimension ref="A1:T39"/>
  <sheetViews>
    <sheetView workbookViewId="0"/>
  </sheetViews>
  <sheetFormatPr baseColWidth="10" defaultRowHeight="16" x14ac:dyDescent="0.2"/>
  <cols>
    <col min="1" max="1" width="40.5" bestFit="1" customWidth="1"/>
    <col min="2" max="2" width="20.1640625" bestFit="1" customWidth="1"/>
    <col min="3" max="4" width="19.5" bestFit="1" customWidth="1"/>
    <col min="5" max="5" width="20.1640625" bestFit="1" customWidth="1"/>
    <col min="6" max="6" width="19.5" bestFit="1" customWidth="1"/>
    <col min="7" max="17" width="18.6640625" bestFit="1" customWidth="1"/>
    <col min="18" max="18" width="18" bestFit="1" customWidth="1"/>
    <col min="19" max="20" width="18.6640625" bestFit="1" customWidth="1"/>
  </cols>
  <sheetData>
    <row r="1" spans="1:20" x14ac:dyDescent="0.2">
      <c r="A1" s="10" t="s">
        <v>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x14ac:dyDescent="0.2">
      <c r="A2" t="s">
        <v>1</v>
      </c>
      <c r="B2" t="s">
        <v>2</v>
      </c>
    </row>
    <row r="3" spans="1:20" x14ac:dyDescent="0.2">
      <c r="A3" t="s">
        <v>3</v>
      </c>
      <c r="B3" t="str">
        <f>'TSM - Income Statement FY'!B3</f>
        <v>TWD</v>
      </c>
    </row>
    <row r="4" spans="1:20" x14ac:dyDescent="0.2">
      <c r="A4" t="s">
        <v>32</v>
      </c>
      <c r="B4" s="8" t="s">
        <v>33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2">
      <c r="A5" t="s">
        <v>34</v>
      </c>
      <c r="B5" s="9">
        <v>46022</v>
      </c>
      <c r="C5" s="9">
        <v>45657</v>
      </c>
      <c r="D5" s="9">
        <v>45291</v>
      </c>
      <c r="E5" s="9">
        <v>44926</v>
      </c>
      <c r="F5" s="9">
        <v>44561</v>
      </c>
      <c r="G5" s="9">
        <v>44196</v>
      </c>
      <c r="H5" s="9">
        <v>43830</v>
      </c>
      <c r="I5" s="9">
        <v>43465</v>
      </c>
      <c r="J5" s="9">
        <v>43100</v>
      </c>
      <c r="K5" s="9">
        <v>42735</v>
      </c>
      <c r="L5" s="9">
        <v>42369</v>
      </c>
      <c r="M5" s="9">
        <v>42004</v>
      </c>
      <c r="N5" s="9">
        <v>41639</v>
      </c>
      <c r="O5" s="9">
        <v>41274</v>
      </c>
      <c r="P5" s="9">
        <v>40908</v>
      </c>
      <c r="Q5" s="9">
        <v>40543</v>
      </c>
      <c r="R5" s="9">
        <v>40178</v>
      </c>
      <c r="S5" s="9">
        <v>39813</v>
      </c>
      <c r="T5" s="9">
        <v>39447</v>
      </c>
    </row>
    <row r="7" spans="1:20" x14ac:dyDescent="0.2">
      <c r="A7" s="6" t="s">
        <v>10</v>
      </c>
      <c r="B7" s="5">
        <v>1735678080000</v>
      </c>
      <c r="C7" s="5">
        <v>1173268000000</v>
      </c>
      <c r="D7" s="5">
        <v>838497664000</v>
      </c>
      <c r="E7" s="5">
        <v>1144190718000</v>
      </c>
      <c r="F7" s="5">
        <v>663126314000</v>
      </c>
      <c r="G7" s="5">
        <v>584777180000</v>
      </c>
      <c r="H7" s="5">
        <v>389845336000</v>
      </c>
      <c r="I7" s="5">
        <v>397510263000</v>
      </c>
      <c r="J7" s="5">
        <v>396133030000</v>
      </c>
      <c r="K7" s="5">
        <v>385959380000</v>
      </c>
      <c r="L7" s="5">
        <v>350428911000</v>
      </c>
      <c r="M7" s="5">
        <v>302097546000</v>
      </c>
      <c r="N7" s="5">
        <v>215487122000</v>
      </c>
      <c r="O7" s="5">
        <v>165963689000</v>
      </c>
      <c r="P7" s="5">
        <v>134201300000</v>
      </c>
      <c r="Q7" s="5">
        <v>161605009000</v>
      </c>
      <c r="R7" s="5">
        <v>89217836000</v>
      </c>
      <c r="S7" s="5">
        <v>100206942000</v>
      </c>
      <c r="T7" s="5">
        <v>109181419000</v>
      </c>
    </row>
    <row r="8" spans="1:20" x14ac:dyDescent="0.2">
      <c r="A8" s="1" t="s">
        <v>19</v>
      </c>
      <c r="B8" s="1">
        <v>695223798000</v>
      </c>
      <c r="C8" s="1">
        <v>662796000000</v>
      </c>
      <c r="D8" s="1">
        <v>532190921000</v>
      </c>
      <c r="E8" s="1">
        <v>437254273000</v>
      </c>
      <c r="F8" s="1">
        <v>422394869000</v>
      </c>
      <c r="G8" s="1">
        <v>331724691000</v>
      </c>
      <c r="H8" s="1">
        <v>286884241000</v>
      </c>
      <c r="I8" s="1">
        <v>292546302000</v>
      </c>
      <c r="J8" s="1">
        <v>260142698000</v>
      </c>
      <c r="K8" s="1">
        <v>223828404000</v>
      </c>
      <c r="L8" s="1">
        <v>222505569000</v>
      </c>
      <c r="M8" s="1">
        <v>200251535000</v>
      </c>
      <c r="N8" s="1">
        <v>156181869000</v>
      </c>
      <c r="O8" s="1">
        <v>131349289000</v>
      </c>
      <c r="P8" s="1">
        <v>107681521000</v>
      </c>
      <c r="Q8" s="1">
        <v>87810103000</v>
      </c>
      <c r="R8" s="1">
        <v>80814748000</v>
      </c>
      <c r="S8" s="1">
        <v>81735753000</v>
      </c>
      <c r="T8" s="1">
        <v>79892324000</v>
      </c>
    </row>
    <row r="9" spans="1:20" x14ac:dyDescent="0.2">
      <c r="A9" s="1" t="s">
        <v>102</v>
      </c>
      <c r="B9" s="1">
        <v>0</v>
      </c>
      <c r="C9" s="1">
        <v>0</v>
      </c>
      <c r="D9" s="1">
        <v>0</v>
      </c>
      <c r="E9" s="1">
        <v>0</v>
      </c>
      <c r="F9" s="1">
        <v>-105125902000</v>
      </c>
      <c r="G9" s="1">
        <v>-58565844000</v>
      </c>
      <c r="H9" s="1">
        <v>-59475134000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-19382428000</v>
      </c>
      <c r="O9" s="1">
        <v>573234000</v>
      </c>
      <c r="P9" s="1">
        <v>-491100000</v>
      </c>
      <c r="Q9" s="1">
        <v>-377300000</v>
      </c>
      <c r="R9" s="1">
        <v>-1752400000</v>
      </c>
      <c r="S9" s="1">
        <v>2286315000</v>
      </c>
      <c r="T9" s="1">
        <v>943763000</v>
      </c>
    </row>
    <row r="10" spans="1:20" x14ac:dyDescent="0.2">
      <c r="A10" s="1" t="s">
        <v>101</v>
      </c>
      <c r="B10" s="1">
        <v>0</v>
      </c>
      <c r="C10" s="1">
        <v>1646205000</v>
      </c>
      <c r="D10" s="1">
        <v>544379000</v>
      </c>
      <c r="E10" s="1">
        <v>302400000</v>
      </c>
      <c r="F10" s="1">
        <v>7800000</v>
      </c>
      <c r="G10" s="1">
        <v>6600000</v>
      </c>
      <c r="H10" s="1">
        <v>2818000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5312000</v>
      </c>
      <c r="O10" s="1">
        <v>6219000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</row>
    <row r="11" spans="1:20" x14ac:dyDescent="0.2">
      <c r="A11" s="1" t="s">
        <v>100</v>
      </c>
      <c r="B11" s="1">
        <v>-183611481000</v>
      </c>
      <c r="C11" s="1">
        <v>13350900000</v>
      </c>
      <c r="D11" s="1">
        <v>-56852000000</v>
      </c>
      <c r="E11" s="1">
        <v>122508599000</v>
      </c>
      <c r="F11" s="1">
        <v>132466419000</v>
      </c>
      <c r="G11" s="1">
        <v>-28336654000</v>
      </c>
      <c r="H11" s="1">
        <v>10822085000</v>
      </c>
      <c r="I11" s="1">
        <v>-61664782000</v>
      </c>
      <c r="J11" s="1">
        <v>9978584000</v>
      </c>
      <c r="K11" s="1">
        <v>-15059767000</v>
      </c>
      <c r="L11" s="1">
        <v>23225071000</v>
      </c>
      <c r="M11" s="1">
        <v>-49668659000</v>
      </c>
      <c r="N11" s="1">
        <v>-5719134000</v>
      </c>
      <c r="O11" s="1">
        <v>-13052399000</v>
      </c>
      <c r="P11" s="1">
        <v>3925877000</v>
      </c>
      <c r="Q11" s="1">
        <v>-14908758000</v>
      </c>
      <c r="R11" s="1">
        <v>-10628832000</v>
      </c>
      <c r="S11" s="1">
        <v>35464158000</v>
      </c>
      <c r="T11" s="1">
        <v>-4209639000</v>
      </c>
    </row>
    <row r="12" spans="1:20" x14ac:dyDescent="0.2">
      <c r="A12" s="1" t="s">
        <v>99</v>
      </c>
      <c r="B12" s="1">
        <v>0</v>
      </c>
      <c r="C12" s="1">
        <v>-70077800000</v>
      </c>
      <c r="D12" s="1">
        <v>29398598000</v>
      </c>
      <c r="E12" s="1">
        <v>-32169900000</v>
      </c>
      <c r="F12" s="1">
        <v>177059191000</v>
      </c>
      <c r="G12" s="1">
        <v>-8082708000</v>
      </c>
      <c r="H12" s="1">
        <v>-18119552000</v>
      </c>
      <c r="I12" s="1">
        <v>-13271268000</v>
      </c>
      <c r="J12" s="1">
        <v>1061805000</v>
      </c>
      <c r="K12" s="1">
        <v>-49342698000</v>
      </c>
      <c r="L12" s="1">
        <v>26630123000</v>
      </c>
      <c r="M12" s="1">
        <v>-43090068000</v>
      </c>
      <c r="N12" s="1">
        <v>-14131066000</v>
      </c>
      <c r="O12" s="1">
        <v>965220000</v>
      </c>
      <c r="P12" s="1">
        <v>1136300000</v>
      </c>
      <c r="Q12" s="1">
        <v>-7609800000</v>
      </c>
      <c r="R12" s="1">
        <v>-16873200000</v>
      </c>
      <c r="S12" s="1">
        <v>0</v>
      </c>
      <c r="T12" s="1">
        <v>0</v>
      </c>
    </row>
    <row r="13" spans="1:20" x14ac:dyDescent="0.2">
      <c r="A13" s="1" t="s">
        <v>70</v>
      </c>
      <c r="B13" s="1">
        <v>0</v>
      </c>
      <c r="C13" s="1">
        <v>-36871700000</v>
      </c>
      <c r="D13" s="1">
        <v>-29847940000</v>
      </c>
      <c r="E13" s="1">
        <v>-28046827000</v>
      </c>
      <c r="F13" s="1">
        <v>-55748914000</v>
      </c>
      <c r="G13" s="1">
        <v>-54372211000</v>
      </c>
      <c r="H13" s="1">
        <v>20249780000</v>
      </c>
      <c r="I13" s="1">
        <v>-29369975000</v>
      </c>
      <c r="J13" s="1">
        <v>-25229101000</v>
      </c>
      <c r="K13" s="1">
        <v>18370037000</v>
      </c>
      <c r="L13" s="1">
        <v>-655249000</v>
      </c>
      <c r="M13" s="1">
        <v>-28871597000</v>
      </c>
      <c r="N13" s="1">
        <v>122472000</v>
      </c>
      <c r="O13" s="1">
        <v>-12989916000</v>
      </c>
      <c r="P13" s="1">
        <v>2611297000</v>
      </c>
      <c r="Q13" s="1">
        <v>-7492233000</v>
      </c>
      <c r="R13" s="1">
        <v>-6037106000</v>
      </c>
      <c r="S13" s="1">
        <v>9010577000</v>
      </c>
      <c r="T13" s="1">
        <v>-2224817000</v>
      </c>
    </row>
    <row r="14" spans="1:20" x14ac:dyDescent="0.2">
      <c r="A14" s="1" t="s">
        <v>98</v>
      </c>
      <c r="B14" s="1">
        <v>0</v>
      </c>
      <c r="C14" s="1">
        <v>17073800000</v>
      </c>
      <c r="D14" s="1">
        <v>770712000</v>
      </c>
      <c r="E14" s="1">
        <v>7594105000</v>
      </c>
      <c r="F14" s="1">
        <v>8298319000</v>
      </c>
      <c r="G14" s="1">
        <v>404607000</v>
      </c>
      <c r="H14" s="1">
        <v>5860068000</v>
      </c>
      <c r="I14" s="1">
        <v>4540583000</v>
      </c>
      <c r="J14" s="1">
        <v>2572072000</v>
      </c>
      <c r="K14" s="1">
        <v>7295491000</v>
      </c>
      <c r="L14" s="1">
        <v>-2693358000</v>
      </c>
      <c r="M14" s="1">
        <v>6634198000</v>
      </c>
      <c r="N14" s="1">
        <v>346401000</v>
      </c>
      <c r="O14" s="1">
        <v>1395907000</v>
      </c>
      <c r="P14" s="1">
        <v>-1968820000</v>
      </c>
      <c r="Q14" s="1">
        <v>933894000</v>
      </c>
      <c r="R14" s="1">
        <v>4916885000</v>
      </c>
      <c r="S14" s="1">
        <v>0</v>
      </c>
      <c r="T14" s="1">
        <v>0</v>
      </c>
    </row>
    <row r="15" spans="1:20" x14ac:dyDescent="0.2">
      <c r="A15" s="1" t="s">
        <v>97</v>
      </c>
      <c r="B15" s="1">
        <v>-183611481000</v>
      </c>
      <c r="C15" s="1">
        <v>103226600000</v>
      </c>
      <c r="D15" s="1">
        <v>-57173370000</v>
      </c>
      <c r="E15" s="1">
        <v>175131221000</v>
      </c>
      <c r="F15" s="1">
        <v>2857823000</v>
      </c>
      <c r="G15" s="1">
        <v>33713658000</v>
      </c>
      <c r="H15" s="1">
        <v>2831789000</v>
      </c>
      <c r="I15" s="1">
        <v>-23564122000</v>
      </c>
      <c r="J15" s="1">
        <v>31573808000</v>
      </c>
      <c r="K15" s="1">
        <v>8617403000</v>
      </c>
      <c r="L15" s="1">
        <v>-56445000</v>
      </c>
      <c r="M15" s="1">
        <v>15658808000</v>
      </c>
      <c r="N15" s="1">
        <v>7943059000</v>
      </c>
      <c r="O15" s="1">
        <v>-2423610000</v>
      </c>
      <c r="P15" s="1">
        <v>2147100000</v>
      </c>
      <c r="Q15" s="1">
        <v>-740619000</v>
      </c>
      <c r="R15" s="1">
        <v>7364589000</v>
      </c>
      <c r="S15" s="1">
        <v>26453582000</v>
      </c>
      <c r="T15" s="1">
        <v>-1984822000</v>
      </c>
    </row>
    <row r="16" spans="1:20" x14ac:dyDescent="0.2">
      <c r="A16" s="1" t="s">
        <v>96</v>
      </c>
      <c r="B16" s="1">
        <v>135885167000</v>
      </c>
      <c r="C16" s="1">
        <v>-24884105000</v>
      </c>
      <c r="D16" s="1">
        <v>-72413664000</v>
      </c>
      <c r="E16" s="1">
        <v>-93656802000</v>
      </c>
      <c r="F16" s="1">
        <v>-708778000</v>
      </c>
      <c r="G16" s="1">
        <v>-6939761000</v>
      </c>
      <c r="H16" s="1">
        <v>-12940602000</v>
      </c>
      <c r="I16" s="1">
        <v>-54437475000</v>
      </c>
      <c r="J16" s="1">
        <v>-80936145000</v>
      </c>
      <c r="K16" s="1">
        <v>-54893425000</v>
      </c>
      <c r="L16" s="1">
        <v>-66280113000</v>
      </c>
      <c r="M16" s="1">
        <v>-31156691000</v>
      </c>
      <c r="N16" s="1">
        <v>810796000</v>
      </c>
      <c r="O16" s="1">
        <v>4223769000</v>
      </c>
      <c r="P16" s="1">
        <v>2269453000</v>
      </c>
      <c r="Q16" s="1">
        <v>-4653288000</v>
      </c>
      <c r="R16" s="1">
        <v>2315113000</v>
      </c>
      <c r="S16" s="1">
        <v>2404572000</v>
      </c>
      <c r="T16" s="1">
        <v>-2030226000</v>
      </c>
    </row>
    <row r="17" spans="1:20" x14ac:dyDescent="0.2">
      <c r="A17" s="6" t="s">
        <v>95</v>
      </c>
      <c r="B17" s="4">
        <v>2383175564000</v>
      </c>
      <c r="C17" s="4">
        <v>1826177000000</v>
      </c>
      <c r="D17" s="4">
        <v>1241967300000</v>
      </c>
      <c r="E17" s="4">
        <v>1610599188000</v>
      </c>
      <c r="F17" s="4">
        <v>1112160722000</v>
      </c>
      <c r="G17" s="4">
        <v>822666212000</v>
      </c>
      <c r="H17" s="4">
        <v>615138744000</v>
      </c>
      <c r="I17" s="4">
        <v>573954308000</v>
      </c>
      <c r="J17" s="4">
        <v>585318167000</v>
      </c>
      <c r="K17" s="4">
        <v>539834592000</v>
      </c>
      <c r="L17" s="4">
        <v>529879438000</v>
      </c>
      <c r="M17" s="4">
        <v>421523731000</v>
      </c>
      <c r="N17" s="4">
        <v>347383537000</v>
      </c>
      <c r="O17" s="4">
        <v>289063801000</v>
      </c>
      <c r="P17" s="4">
        <v>247587051000</v>
      </c>
      <c r="Q17" s="4">
        <v>229475766000</v>
      </c>
      <c r="R17" s="4">
        <v>159966465000</v>
      </c>
      <c r="S17" s="4">
        <v>222097740000</v>
      </c>
      <c r="T17" s="4">
        <v>183777641000</v>
      </c>
    </row>
    <row r="19" spans="1:20" x14ac:dyDescent="0.2">
      <c r="A19" s="1" t="s">
        <v>94</v>
      </c>
      <c r="B19" s="1">
        <v>-1285591558000</v>
      </c>
      <c r="C19" s="1">
        <v>-956006536000</v>
      </c>
      <c r="D19" s="1">
        <v>-949816825000</v>
      </c>
      <c r="E19" s="1">
        <v>-1089626456000</v>
      </c>
      <c r="F19" s="1">
        <v>-849436459000</v>
      </c>
      <c r="G19" s="1">
        <v>-521474525000</v>
      </c>
      <c r="H19" s="1">
        <v>-469752019000</v>
      </c>
      <c r="I19" s="1">
        <v>-322682187000</v>
      </c>
      <c r="J19" s="1">
        <v>-335888470000</v>
      </c>
      <c r="K19" s="1">
        <v>-333093675000</v>
      </c>
      <c r="L19" s="1">
        <v>-261800705000</v>
      </c>
      <c r="M19" s="1">
        <v>-292399514000</v>
      </c>
      <c r="N19" s="1">
        <v>-290345134000</v>
      </c>
      <c r="O19" s="1">
        <v>-246137361000</v>
      </c>
      <c r="P19" s="1">
        <v>-213962521000</v>
      </c>
      <c r="Q19" s="1">
        <v>-188745931000</v>
      </c>
      <c r="R19" s="1">
        <v>-87784906000</v>
      </c>
      <c r="S19" s="1">
        <v>-59385055000</v>
      </c>
      <c r="T19" s="1">
        <v>-84004667000</v>
      </c>
    </row>
    <row r="20" spans="1:20" x14ac:dyDescent="0.2">
      <c r="A20" s="1" t="s">
        <v>93</v>
      </c>
      <c r="B20" s="1">
        <v>805256000</v>
      </c>
      <c r="C20" s="1">
        <v>-3738800000</v>
      </c>
      <c r="D20" s="1">
        <v>11752685000</v>
      </c>
      <c r="E20" s="1">
        <v>17246906000</v>
      </c>
      <c r="F20" s="1">
        <v>-160703000</v>
      </c>
      <c r="G20" s="1">
        <v>4326589000</v>
      </c>
      <c r="H20" s="1">
        <v>9871630000</v>
      </c>
      <c r="I20" s="1">
        <v>7100300000</v>
      </c>
      <c r="J20" s="1">
        <v>-4080000</v>
      </c>
      <c r="K20" s="1">
        <v>7824387000</v>
      </c>
      <c r="L20" s="1">
        <v>549446000</v>
      </c>
      <c r="M20" s="1">
        <v>2788115000</v>
      </c>
      <c r="N20" s="1">
        <v>-979910000</v>
      </c>
      <c r="O20" s="1">
        <v>157484000</v>
      </c>
      <c r="P20" s="1">
        <v>698055000</v>
      </c>
      <c r="Q20" s="1">
        <v>-6242400000</v>
      </c>
      <c r="R20" s="1">
        <v>24241000</v>
      </c>
      <c r="S20" s="1">
        <v>197096000</v>
      </c>
      <c r="T20" s="1">
        <v>61620000</v>
      </c>
    </row>
    <row r="21" spans="1:20" x14ac:dyDescent="0.2">
      <c r="A21" s="1" t="s">
        <v>92</v>
      </c>
      <c r="B21" s="1">
        <v>-258017329000</v>
      </c>
      <c r="C21" s="1">
        <v>-240622700000</v>
      </c>
      <c r="D21" s="1">
        <v>-226281972000</v>
      </c>
      <c r="E21" s="1">
        <v>-237818185000</v>
      </c>
      <c r="F21" s="1">
        <v>-259688416000</v>
      </c>
      <c r="G21" s="1">
        <v>-267249042000</v>
      </c>
      <c r="H21" s="1">
        <v>-257996946000</v>
      </c>
      <c r="I21" s="1">
        <v>-99017362000</v>
      </c>
      <c r="J21" s="1">
        <v>-103788097000</v>
      </c>
      <c r="K21" s="1">
        <v>-117425803000</v>
      </c>
      <c r="L21" s="1">
        <v>-44655762000</v>
      </c>
      <c r="M21" s="1">
        <v>-6518232000</v>
      </c>
      <c r="N21" s="1">
        <v>-1988399000</v>
      </c>
      <c r="O21" s="1">
        <v>-31582388000</v>
      </c>
      <c r="P21" s="1">
        <v>-35088394000</v>
      </c>
      <c r="Q21" s="1">
        <v>-60497113000</v>
      </c>
      <c r="R21" s="1">
        <v>-31219919000</v>
      </c>
      <c r="S21" s="1">
        <v>-102595090000</v>
      </c>
      <c r="T21" s="1">
        <v>-93361221000</v>
      </c>
    </row>
    <row r="22" spans="1:20" x14ac:dyDescent="0.2">
      <c r="A22" s="1" t="s">
        <v>91</v>
      </c>
      <c r="B22" s="1">
        <v>220516854000</v>
      </c>
      <c r="C22" s="1">
        <v>186479600000</v>
      </c>
      <c r="D22" s="1">
        <v>170500597000</v>
      </c>
      <c r="E22" s="1">
        <v>108980409000</v>
      </c>
      <c r="F22" s="1">
        <v>264364700000</v>
      </c>
      <c r="G22" s="1">
        <v>267298227000</v>
      </c>
      <c r="H22" s="1">
        <v>246776330000</v>
      </c>
      <c r="I22" s="1">
        <v>89537396000</v>
      </c>
      <c r="J22" s="1">
        <v>87534380000</v>
      </c>
      <c r="K22" s="1">
        <v>40743564000</v>
      </c>
      <c r="L22" s="1">
        <v>79836450000</v>
      </c>
      <c r="M22" s="1">
        <v>7448804000</v>
      </c>
      <c r="N22" s="1">
        <v>7632414000</v>
      </c>
      <c r="O22" s="1">
        <v>4029463000</v>
      </c>
      <c r="P22" s="1">
        <v>59531249000</v>
      </c>
      <c r="Q22" s="1">
        <v>54001623000</v>
      </c>
      <c r="R22" s="1">
        <v>23980756000</v>
      </c>
      <c r="S22" s="1">
        <v>154769713000</v>
      </c>
      <c r="T22" s="1">
        <v>112239731000</v>
      </c>
    </row>
    <row r="23" spans="1:20" x14ac:dyDescent="0.2">
      <c r="A23" s="1" t="s">
        <v>90</v>
      </c>
      <c r="B23" s="1">
        <v>62077451000</v>
      </c>
      <c r="C23" s="1">
        <v>149045636000</v>
      </c>
      <c r="D23" s="1">
        <v>87724915000</v>
      </c>
      <c r="E23" s="1">
        <v>10289091000</v>
      </c>
      <c r="F23" s="1">
        <v>8555015000</v>
      </c>
      <c r="G23" s="1">
        <v>11317037000</v>
      </c>
      <c r="H23" s="1">
        <v>12299358000</v>
      </c>
      <c r="I23" s="1">
        <v>10792945000</v>
      </c>
      <c r="J23" s="1">
        <v>15981364000</v>
      </c>
      <c r="K23" s="1">
        <v>6511847000</v>
      </c>
      <c r="L23" s="1">
        <v>8824734000</v>
      </c>
      <c r="M23" s="1">
        <v>6260270000</v>
      </c>
      <c r="N23" s="1">
        <v>4626814000</v>
      </c>
      <c r="O23" s="1">
        <v>336540000</v>
      </c>
      <c r="P23" s="1">
        <v>6298186000</v>
      </c>
      <c r="Q23" s="1">
        <v>-602361000</v>
      </c>
      <c r="R23" s="1">
        <v>-1468655000</v>
      </c>
      <c r="S23" s="1">
        <v>-1051179000</v>
      </c>
      <c r="T23" s="1">
        <v>-5626905000</v>
      </c>
    </row>
    <row r="24" spans="1:20" x14ac:dyDescent="0.2">
      <c r="A24" s="6" t="s">
        <v>89</v>
      </c>
      <c r="B24" s="4">
        <v>-1260209326000</v>
      </c>
      <c r="C24" s="4">
        <v>-864842800000</v>
      </c>
      <c r="D24" s="4">
        <v>-906120600000</v>
      </c>
      <c r="E24" s="4">
        <v>-1190928235000</v>
      </c>
      <c r="F24" s="4">
        <v>-836365863000</v>
      </c>
      <c r="G24" s="4">
        <v>-505781714000</v>
      </c>
      <c r="H24" s="4">
        <v>-458801647000</v>
      </c>
      <c r="I24" s="4">
        <v>-314268908000</v>
      </c>
      <c r="J24" s="4">
        <v>-336164903000</v>
      </c>
      <c r="K24" s="4">
        <v>-395439680000</v>
      </c>
      <c r="L24" s="4">
        <v>-217245837000</v>
      </c>
      <c r="M24" s="4">
        <v>-282420557000</v>
      </c>
      <c r="N24" s="4">
        <v>-281054215000</v>
      </c>
      <c r="O24" s="4">
        <v>-273196262000</v>
      </c>
      <c r="P24" s="4">
        <v>-182523425000</v>
      </c>
      <c r="Q24" s="4">
        <v>-202086182000</v>
      </c>
      <c r="R24" s="4">
        <v>-96468483000</v>
      </c>
      <c r="S24" s="4">
        <v>-8064515000</v>
      </c>
      <c r="T24" s="4">
        <v>-70691442000</v>
      </c>
    </row>
    <row r="26" spans="1:20" x14ac:dyDescent="0.2">
      <c r="A26" s="1" t="s">
        <v>88</v>
      </c>
      <c r="B26" s="1">
        <v>41296392000</v>
      </c>
      <c r="C26" s="1">
        <v>29405000000</v>
      </c>
      <c r="D26" s="1">
        <v>93347400000</v>
      </c>
      <c r="E26" s="1">
        <v>82008600000</v>
      </c>
      <c r="F26" s="1">
        <v>397185900000</v>
      </c>
      <c r="G26" s="1">
        <v>172723700000</v>
      </c>
      <c r="H26" s="1">
        <v>-3061121000</v>
      </c>
      <c r="I26" s="1">
        <v>-58024900000</v>
      </c>
      <c r="J26" s="1">
        <v>-38131400000</v>
      </c>
      <c r="K26" s="1">
        <v>-23480100000</v>
      </c>
      <c r="L26" s="1">
        <v>-29100000</v>
      </c>
      <c r="M26" s="1">
        <v>-28400000</v>
      </c>
      <c r="N26" s="1">
        <v>111808300000</v>
      </c>
      <c r="O26" s="1">
        <v>66975800000</v>
      </c>
      <c r="P26" s="1">
        <v>13819600000</v>
      </c>
      <c r="Q26" s="1">
        <v>30246900000</v>
      </c>
      <c r="R26" s="1">
        <v>-8092100000</v>
      </c>
      <c r="S26" s="1">
        <v>-369913000</v>
      </c>
      <c r="T26" s="1">
        <v>-6648505000</v>
      </c>
    </row>
    <row r="27" spans="1:20" x14ac:dyDescent="0.2">
      <c r="A27" s="1" t="s">
        <v>87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7269000</v>
      </c>
      <c r="H27" s="1">
        <v>4006000</v>
      </c>
      <c r="I27" s="1">
        <v>10331000</v>
      </c>
      <c r="J27" s="1">
        <v>20666000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226661000</v>
      </c>
      <c r="T27" s="1">
        <v>454044000</v>
      </c>
    </row>
    <row r="28" spans="1:20" x14ac:dyDescent="0.2">
      <c r="A28" s="1" t="s">
        <v>86</v>
      </c>
      <c r="B28" s="1">
        <v>0</v>
      </c>
      <c r="C28" s="1">
        <v>-3089177000</v>
      </c>
      <c r="D28" s="1">
        <v>0</v>
      </c>
      <c r="E28" s="1">
        <v>-871566000</v>
      </c>
      <c r="F28" s="1">
        <v>0</v>
      </c>
      <c r="G28" s="1">
        <v>-7269000</v>
      </c>
      <c r="H28" s="1">
        <v>-4006000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-71600000</v>
      </c>
      <c r="Q28" s="1">
        <v>0</v>
      </c>
      <c r="R28" s="1">
        <v>0</v>
      </c>
      <c r="S28" s="1">
        <v>-33572036000</v>
      </c>
      <c r="T28" s="1">
        <v>-45404422000</v>
      </c>
    </row>
    <row r="29" spans="1:20" x14ac:dyDescent="0.2">
      <c r="A29" s="1" t="s">
        <v>85</v>
      </c>
      <c r="B29" s="1">
        <v>-471614236000</v>
      </c>
      <c r="C29" s="1">
        <v>-363055000000</v>
      </c>
      <c r="D29" s="1">
        <v>-291721852000</v>
      </c>
      <c r="E29" s="1">
        <v>-285234185000</v>
      </c>
      <c r="F29" s="1">
        <v>-265786399000</v>
      </c>
      <c r="G29" s="1">
        <v>-259303805000</v>
      </c>
      <c r="H29" s="1">
        <v>-259303805000</v>
      </c>
      <c r="I29" s="1">
        <v>-207443044000</v>
      </c>
      <c r="J29" s="1">
        <v>-181512663000</v>
      </c>
      <c r="K29" s="1">
        <v>-155582283000</v>
      </c>
      <c r="L29" s="1">
        <v>-116683481000</v>
      </c>
      <c r="M29" s="1">
        <v>-77785851000</v>
      </c>
      <c r="N29" s="1">
        <v>-77773307000</v>
      </c>
      <c r="O29" s="1">
        <v>-77748668000</v>
      </c>
      <c r="P29" s="1">
        <v>-77730236000</v>
      </c>
      <c r="Q29" s="1">
        <v>-77708120000</v>
      </c>
      <c r="R29" s="1">
        <v>-76876312000</v>
      </c>
      <c r="S29" s="1">
        <v>-76989022000</v>
      </c>
      <c r="T29" s="1">
        <v>-77391837000</v>
      </c>
    </row>
    <row r="30" spans="1:20" x14ac:dyDescent="0.2">
      <c r="A30" s="1" t="s">
        <v>84</v>
      </c>
      <c r="B30" s="1">
        <v>4738583000</v>
      </c>
      <c r="C30" s="1">
        <v>-9561800000</v>
      </c>
      <c r="D30" s="1">
        <v>-6519748000</v>
      </c>
      <c r="E30" s="1">
        <v>3853153000</v>
      </c>
      <c r="F30" s="1">
        <v>5208937000</v>
      </c>
      <c r="G30" s="1">
        <v>-2034982000</v>
      </c>
      <c r="H30" s="1">
        <v>-7277202000</v>
      </c>
      <c r="I30" s="1">
        <v>20332822000</v>
      </c>
      <c r="J30" s="1">
        <v>3925768000</v>
      </c>
      <c r="K30" s="1">
        <v>21262186000</v>
      </c>
      <c r="L30" s="1">
        <v>-21448000</v>
      </c>
      <c r="M30" s="1">
        <v>45485967000</v>
      </c>
      <c r="N30" s="1">
        <v>-1929068000</v>
      </c>
      <c r="O30" s="1">
        <v>-3038033000</v>
      </c>
      <c r="P30" s="1">
        <v>-3875805000</v>
      </c>
      <c r="Q30" s="1">
        <v>-1176486000</v>
      </c>
      <c r="R30" s="1">
        <v>-502712000</v>
      </c>
      <c r="S30" s="1">
        <v>-4868616000</v>
      </c>
      <c r="T30" s="1">
        <v>-6427969000</v>
      </c>
    </row>
    <row r="31" spans="1:20" x14ac:dyDescent="0.2">
      <c r="A31" s="6" t="s">
        <v>83</v>
      </c>
      <c r="B31" s="4">
        <v>-425579261000</v>
      </c>
      <c r="C31" s="4">
        <v>-346301000000</v>
      </c>
      <c r="D31" s="4">
        <v>-204894200000</v>
      </c>
      <c r="E31" s="4">
        <v>-200244032000</v>
      </c>
      <c r="F31" s="4">
        <v>136608438000</v>
      </c>
      <c r="G31" s="4">
        <v>-88615087000</v>
      </c>
      <c r="H31" s="4">
        <v>-269638166000</v>
      </c>
      <c r="I31" s="4">
        <v>-245124791000</v>
      </c>
      <c r="J31" s="4">
        <v>-215697629000</v>
      </c>
      <c r="K31" s="4">
        <v>-157800197000</v>
      </c>
      <c r="L31" s="4">
        <v>-116734029000</v>
      </c>
      <c r="M31" s="4">
        <v>-32328284000</v>
      </c>
      <c r="N31" s="4">
        <v>32105925000</v>
      </c>
      <c r="O31" s="4">
        <v>-13810901000</v>
      </c>
      <c r="P31" s="4">
        <v>-67858041000</v>
      </c>
      <c r="Q31" s="4">
        <v>-48637706000</v>
      </c>
      <c r="R31" s="4">
        <v>-85471124000</v>
      </c>
      <c r="S31" s="4">
        <v>-115708550000</v>
      </c>
      <c r="T31" s="4">
        <v>-135418689000</v>
      </c>
    </row>
    <row r="33" spans="1:20" x14ac:dyDescent="0.2">
      <c r="A33" s="1" t="s">
        <v>82</v>
      </c>
      <c r="B33" s="1">
        <v>29309343000</v>
      </c>
      <c r="C33" s="1">
        <v>47165901000</v>
      </c>
      <c r="D33" s="1">
        <v>-8338800000</v>
      </c>
      <c r="E33" s="1">
        <v>58396970000</v>
      </c>
      <c r="F33" s="1">
        <v>-7583752000</v>
      </c>
      <c r="G33" s="1">
        <v>-23498100000</v>
      </c>
      <c r="H33" s="1">
        <v>-9114196000</v>
      </c>
      <c r="I33" s="1">
        <v>9862296000</v>
      </c>
      <c r="J33" s="1">
        <v>-21317772000</v>
      </c>
      <c r="K33" s="1">
        <v>-8029812000</v>
      </c>
      <c r="L33" s="1">
        <v>8258851000</v>
      </c>
      <c r="M33" s="1">
        <v>9060170000</v>
      </c>
      <c r="N33" s="1">
        <v>849612000</v>
      </c>
      <c r="O33" s="1">
        <v>-2118327000</v>
      </c>
      <c r="P33" s="1">
        <v>-1620263000</v>
      </c>
      <c r="Q33" s="1">
        <v>-2141264000</v>
      </c>
      <c r="R33" s="1">
        <v>-1364269000</v>
      </c>
      <c r="S33" s="1">
        <v>1573484000</v>
      </c>
      <c r="T33" s="1">
        <v>-518908000</v>
      </c>
    </row>
    <row r="34" spans="1:20" x14ac:dyDescent="0.2">
      <c r="A34" s="1" t="s">
        <v>81</v>
      </c>
      <c r="B34" s="1">
        <v>726696319000</v>
      </c>
      <c r="C34" s="1">
        <v>662199247000</v>
      </c>
      <c r="D34" s="1">
        <v>122613670000</v>
      </c>
      <c r="E34" s="1">
        <v>277823891000</v>
      </c>
      <c r="F34" s="1">
        <v>404819553000</v>
      </c>
      <c r="G34" s="1">
        <v>204771311000</v>
      </c>
      <c r="H34" s="1">
        <v>-122415265000</v>
      </c>
      <c r="I34" s="1">
        <v>24422905000</v>
      </c>
      <c r="J34" s="1">
        <v>12137863000</v>
      </c>
      <c r="K34" s="1">
        <v>-21435097000</v>
      </c>
      <c r="L34" s="1">
        <v>204239901000</v>
      </c>
      <c r="M34" s="1">
        <v>115753582000</v>
      </c>
      <c r="N34" s="1">
        <v>99284859000</v>
      </c>
      <c r="O34" s="1">
        <v>-61689000</v>
      </c>
      <c r="P34" s="1">
        <v>-4414678000</v>
      </c>
      <c r="Q34" s="1">
        <v>-23389386000</v>
      </c>
      <c r="R34" s="1">
        <v>-23337411000</v>
      </c>
      <c r="S34" s="1">
        <v>99898158000</v>
      </c>
      <c r="T34" s="1">
        <v>-22851397000</v>
      </c>
    </row>
    <row r="35" spans="1:20" x14ac:dyDescent="0.2">
      <c r="A35" s="1" t="s">
        <v>80</v>
      </c>
      <c r="B35" s="1">
        <v>2760059967000</v>
      </c>
      <c r="C35" s="1">
        <v>2127627000000</v>
      </c>
      <c r="D35" s="1">
        <v>1465427753000</v>
      </c>
      <c r="E35" s="1">
        <v>1342814083000</v>
      </c>
      <c r="F35" s="1">
        <v>1064990200000</v>
      </c>
      <c r="G35" s="1">
        <v>660170647000</v>
      </c>
      <c r="H35" s="1">
        <v>455399336000</v>
      </c>
      <c r="I35" s="1">
        <v>577814601000</v>
      </c>
      <c r="J35" s="1">
        <v>553391696000</v>
      </c>
      <c r="K35" s="1">
        <v>541253833000</v>
      </c>
      <c r="L35" s="1">
        <v>562688930000</v>
      </c>
      <c r="M35" s="1">
        <v>358449029000</v>
      </c>
      <c r="N35" s="1">
        <v>242695447000</v>
      </c>
      <c r="O35" s="1">
        <v>143410588000</v>
      </c>
      <c r="P35" s="1">
        <v>143472277000</v>
      </c>
      <c r="Q35" s="1">
        <v>147886955000</v>
      </c>
      <c r="R35" s="1">
        <v>171276341000</v>
      </c>
      <c r="S35" s="1">
        <v>195144849000</v>
      </c>
      <c r="T35" s="1">
        <v>94992537000</v>
      </c>
    </row>
    <row r="36" spans="1:20" x14ac:dyDescent="0.2">
      <c r="A36" s="1" t="s">
        <v>79</v>
      </c>
      <c r="B36" s="1">
        <v>2033363648000</v>
      </c>
      <c r="C36" s="1">
        <v>1465428000000</v>
      </c>
      <c r="D36" s="1">
        <v>1342814083000</v>
      </c>
      <c r="E36" s="1">
        <v>1064990192000</v>
      </c>
      <c r="F36" s="1">
        <v>660170647000</v>
      </c>
      <c r="G36" s="1">
        <v>455399336000</v>
      </c>
      <c r="H36" s="1">
        <v>577814601000</v>
      </c>
      <c r="I36" s="1">
        <v>553391696000</v>
      </c>
      <c r="J36" s="1">
        <v>541253833000</v>
      </c>
      <c r="K36" s="1">
        <v>562688930000</v>
      </c>
      <c r="L36" s="1">
        <v>358449029000</v>
      </c>
      <c r="M36" s="1">
        <v>242695447000</v>
      </c>
      <c r="N36" s="1">
        <v>143410588000</v>
      </c>
      <c r="O36" s="1">
        <v>143472277000</v>
      </c>
      <c r="P36" s="1">
        <v>147886955000</v>
      </c>
      <c r="Q36" s="1">
        <v>171276341000</v>
      </c>
      <c r="R36" s="1">
        <v>194613752000</v>
      </c>
      <c r="S36" s="1">
        <v>95246690000</v>
      </c>
      <c r="T36" s="1">
        <v>117843934000</v>
      </c>
    </row>
    <row r="37" spans="1:20" x14ac:dyDescent="0.2">
      <c r="A37" s="1" t="s">
        <v>78</v>
      </c>
      <c r="B37" s="1">
        <v>2383175564000</v>
      </c>
      <c r="C37" s="1">
        <v>1826177000000</v>
      </c>
      <c r="D37" s="1">
        <v>1241967300000</v>
      </c>
      <c r="E37" s="1">
        <v>1610599188000</v>
      </c>
      <c r="F37" s="1">
        <v>1112160722000</v>
      </c>
      <c r="G37" s="1">
        <v>822666212000</v>
      </c>
      <c r="H37" s="1">
        <v>615138744000</v>
      </c>
      <c r="I37" s="1">
        <v>573954308000</v>
      </c>
      <c r="J37" s="1">
        <v>585318167000</v>
      </c>
      <c r="K37" s="1">
        <v>539834592000</v>
      </c>
      <c r="L37" s="1">
        <v>529879438000</v>
      </c>
      <c r="M37" s="1">
        <v>421523731000</v>
      </c>
      <c r="N37" s="1">
        <v>347383537000</v>
      </c>
      <c r="O37" s="1">
        <v>289063801000</v>
      </c>
      <c r="P37" s="1">
        <v>247587051000</v>
      </c>
      <c r="Q37" s="1">
        <v>229475766000</v>
      </c>
      <c r="R37" s="1">
        <v>159966465000</v>
      </c>
      <c r="S37" s="1">
        <v>222097740000</v>
      </c>
      <c r="T37" s="1">
        <v>183777641000</v>
      </c>
    </row>
    <row r="38" spans="1:20" x14ac:dyDescent="0.2">
      <c r="A38" s="1" t="s">
        <v>77</v>
      </c>
      <c r="B38" s="1">
        <v>-1285591558000</v>
      </c>
      <c r="C38" s="1">
        <v>-956007000000</v>
      </c>
      <c r="D38" s="1">
        <v>-955398400000</v>
      </c>
      <c r="E38" s="1">
        <v>-1089626456000</v>
      </c>
      <c r="F38" s="1">
        <v>-849436459000</v>
      </c>
      <c r="G38" s="1">
        <v>-521474525000</v>
      </c>
      <c r="H38" s="1">
        <v>-469752019000</v>
      </c>
      <c r="I38" s="1">
        <v>-322682187000</v>
      </c>
      <c r="J38" s="1">
        <v>-335888470000</v>
      </c>
      <c r="K38" s="1">
        <v>-333093675000</v>
      </c>
      <c r="L38" s="1">
        <v>-261800705000</v>
      </c>
      <c r="M38" s="1">
        <v>-292399514000</v>
      </c>
      <c r="N38" s="1">
        <v>-290345134000</v>
      </c>
      <c r="O38" s="1">
        <v>-246137361000</v>
      </c>
      <c r="P38" s="1">
        <v>-213962521000</v>
      </c>
      <c r="Q38" s="1">
        <v>-188745931000</v>
      </c>
      <c r="R38" s="1">
        <v>-87784906000</v>
      </c>
      <c r="S38" s="1">
        <v>-59385055000</v>
      </c>
      <c r="T38" s="1">
        <v>-84004667000</v>
      </c>
    </row>
    <row r="39" spans="1:20" x14ac:dyDescent="0.2">
      <c r="A39" s="6" t="s">
        <v>76</v>
      </c>
      <c r="B39" s="5">
        <v>1097584006000</v>
      </c>
      <c r="C39" s="5">
        <v>870170000000</v>
      </c>
      <c r="D39" s="5">
        <v>286568900000</v>
      </c>
      <c r="E39" s="5">
        <v>520972732000</v>
      </c>
      <c r="F39" s="5">
        <v>262724263000</v>
      </c>
      <c r="G39" s="5">
        <v>301191687000</v>
      </c>
      <c r="H39" s="5">
        <v>145386725000</v>
      </c>
      <c r="I39" s="5">
        <v>251272121000</v>
      </c>
      <c r="J39" s="5">
        <v>249429697000</v>
      </c>
      <c r="K39" s="5">
        <v>206740917000</v>
      </c>
      <c r="L39" s="5">
        <v>268078733000</v>
      </c>
      <c r="M39" s="5">
        <v>129124217000</v>
      </c>
      <c r="N39" s="5">
        <v>57038403000</v>
      </c>
      <c r="O39" s="5">
        <v>42926440000</v>
      </c>
      <c r="P39" s="5">
        <v>33624530000</v>
      </c>
      <c r="Q39" s="5">
        <v>40729835000</v>
      </c>
      <c r="R39" s="5">
        <v>72181559000</v>
      </c>
      <c r="S39" s="5">
        <v>162712685000</v>
      </c>
      <c r="T39" s="5">
        <v>99772974000</v>
      </c>
    </row>
  </sheetData>
  <mergeCells count="1">
    <mergeCell ref="B4:T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877E-1490-0A4C-BF57-99A207A143E7}">
  <dimension ref="A1:T61"/>
  <sheetViews>
    <sheetView workbookViewId="0"/>
  </sheetViews>
  <sheetFormatPr baseColWidth="10" defaultRowHeight="16" x14ac:dyDescent="0.2"/>
  <cols>
    <col min="1" max="1" width="38" bestFit="1" customWidth="1"/>
    <col min="2" max="7" width="20.5" bestFit="1" customWidth="1"/>
    <col min="8" max="20" width="19.5" bestFit="1" customWidth="1"/>
  </cols>
  <sheetData>
    <row r="1" spans="1:20" x14ac:dyDescent="0.2">
      <c r="A1" s="10" t="s">
        <v>103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x14ac:dyDescent="0.2">
      <c r="A2" t="s">
        <v>1</v>
      </c>
      <c r="B2" t="s">
        <v>2</v>
      </c>
    </row>
    <row r="3" spans="1:20" x14ac:dyDescent="0.2">
      <c r="A3" t="s">
        <v>3</v>
      </c>
      <c r="B3" t="str">
        <f>'TSM - Income Statement FY'!B3</f>
        <v>TWD</v>
      </c>
    </row>
    <row r="4" spans="1:20" x14ac:dyDescent="0.2">
      <c r="A4" t="s">
        <v>32</v>
      </c>
      <c r="B4" s="8" t="s">
        <v>33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2">
      <c r="A5" t="s">
        <v>34</v>
      </c>
      <c r="B5" s="9">
        <v>46022</v>
      </c>
      <c r="C5" s="9">
        <v>45657</v>
      </c>
      <c r="D5" s="9">
        <v>45291</v>
      </c>
      <c r="E5" s="9">
        <v>44926</v>
      </c>
      <c r="F5" s="9">
        <v>44561</v>
      </c>
      <c r="G5" s="9">
        <v>44196</v>
      </c>
      <c r="H5" s="9">
        <v>43830</v>
      </c>
      <c r="I5" s="9">
        <v>43465</v>
      </c>
      <c r="J5" s="9">
        <v>43100</v>
      </c>
      <c r="K5" s="9">
        <v>42735</v>
      </c>
      <c r="L5" s="9">
        <v>42369</v>
      </c>
      <c r="M5" s="9">
        <v>42004</v>
      </c>
      <c r="N5" s="9">
        <v>41639</v>
      </c>
      <c r="O5" s="9">
        <v>41274</v>
      </c>
      <c r="P5" s="9">
        <v>40908</v>
      </c>
      <c r="Q5" s="9">
        <v>40543</v>
      </c>
      <c r="R5" s="9">
        <v>40178</v>
      </c>
      <c r="S5" s="9">
        <v>39813</v>
      </c>
      <c r="T5" s="9">
        <v>39447</v>
      </c>
    </row>
    <row r="6" spans="1:20" x14ac:dyDescent="0.2">
      <c r="A6" s="2" t="s">
        <v>159</v>
      </c>
      <c r="B6" s="2">
        <v>146.87067713169992</v>
      </c>
      <c r="C6" s="2">
        <v>111.63057559301001</v>
      </c>
      <c r="D6" s="2">
        <v>83.370643231384136</v>
      </c>
      <c r="E6" s="2">
        <v>87.310529175805343</v>
      </c>
      <c r="F6" s="2">
        <v>61.2183469737042</v>
      </c>
      <c r="G6" s="2">
        <v>51.6480977139556</v>
      </c>
      <c r="H6" s="2">
        <v>41.26377631180106</v>
      </c>
      <c r="I6" s="2">
        <v>39.774264781310571</v>
      </c>
      <c r="J6" s="2">
        <v>37.69488144793867</v>
      </c>
      <c r="K6" s="2">
        <v>36.555931690935495</v>
      </c>
      <c r="L6" s="2">
        <v>32.530008922384511</v>
      </c>
      <c r="M6" s="2">
        <v>29.419837571226928</v>
      </c>
      <c r="N6" s="2">
        <v>23.025625257976213</v>
      </c>
      <c r="O6" s="2">
        <v>19.548839953805324</v>
      </c>
      <c r="P6" s="2">
        <v>16.477786049558549</v>
      </c>
      <c r="Q6" s="2">
        <v>16.194727889843492</v>
      </c>
      <c r="R6" s="2">
        <v>11.446991272034056</v>
      </c>
      <c r="S6" s="2">
        <v>12.794474450929457</v>
      </c>
      <c r="T6" s="2">
        <v>11.948262902583693</v>
      </c>
    </row>
    <row r="7" spans="1:20" x14ac:dyDescent="0.2">
      <c r="A7" s="2" t="s">
        <v>158</v>
      </c>
      <c r="B7" s="2">
        <v>66.238661736755645</v>
      </c>
      <c r="C7" s="2">
        <v>44.677570072551383</v>
      </c>
      <c r="D7" s="2">
        <v>32.337953204382558</v>
      </c>
      <c r="E7" s="2">
        <v>38.293652829108815</v>
      </c>
      <c r="F7" s="2">
        <v>22.844215935130915</v>
      </c>
      <c r="G7" s="2">
        <v>19.696741814042063</v>
      </c>
      <c r="H7" s="2">
        <v>13.649934941177106</v>
      </c>
      <c r="I7" s="2">
        <v>14.001055904309926</v>
      </c>
      <c r="J7" s="2">
        <v>13.304791522530715</v>
      </c>
      <c r="K7" s="2">
        <v>12.792473538760326</v>
      </c>
      <c r="L7" s="2">
        <v>11.679426776902748</v>
      </c>
      <c r="M7" s="2">
        <v>9.8075021231794661</v>
      </c>
      <c r="N7" s="2">
        <v>7.0957719554679928</v>
      </c>
      <c r="O7" s="2">
        <v>6.1526341749182656</v>
      </c>
      <c r="P7" s="2">
        <v>5.1787028794698298</v>
      </c>
      <c r="Q7" s="2">
        <v>6.2381706173343519</v>
      </c>
      <c r="R7" s="2">
        <v>3.4532622598671407</v>
      </c>
      <c r="S7" s="2">
        <v>3.8378004596610662</v>
      </c>
      <c r="T7" s="2">
        <v>4.0436024920091755</v>
      </c>
    </row>
    <row r="8" spans="1:20" x14ac:dyDescent="0.2">
      <c r="A8" s="2" t="s">
        <v>157</v>
      </c>
      <c r="B8" s="2">
        <v>90.949100411540527</v>
      </c>
      <c r="C8" s="2">
        <v>70.433831094608379</v>
      </c>
      <c r="D8" s="2">
        <v>47.898361628499245</v>
      </c>
      <c r="E8" s="2">
        <v>62.115291684776885</v>
      </c>
      <c r="F8" s="2">
        <v>42.890258453597674</v>
      </c>
      <c r="G8" s="2">
        <v>31.725960051491725</v>
      </c>
      <c r="H8" s="2">
        <v>23.722702868218668</v>
      </c>
      <c r="I8" s="2">
        <v>22.13443458985175</v>
      </c>
      <c r="J8" s="2">
        <v>22.572681156234502</v>
      </c>
      <c r="K8" s="2">
        <v>20.818615076215622</v>
      </c>
      <c r="L8" s="2">
        <v>20.434767249789125</v>
      </c>
      <c r="M8" s="2">
        <v>16.256672526067351</v>
      </c>
      <c r="N8" s="2">
        <v>13.398120733677988</v>
      </c>
      <c r="O8" s="2">
        <v>10.993635018451444</v>
      </c>
      <c r="P8" s="2">
        <v>9.5541511879489747</v>
      </c>
      <c r="Q8" s="2">
        <v>8.8580748921709986</v>
      </c>
      <c r="R8" s="2">
        <v>6.1916560592932246</v>
      </c>
      <c r="S8" s="2">
        <v>8.5061645168170763</v>
      </c>
      <c r="T8" s="2">
        <v>6.8045891586817673</v>
      </c>
    </row>
    <row r="9" spans="1:20" x14ac:dyDescent="0.2">
      <c r="A9" s="2" t="s">
        <v>156</v>
      </c>
      <c r="B9" s="2">
        <v>41.887085234065125</v>
      </c>
      <c r="C9" s="2">
        <v>33.215452316446644</v>
      </c>
      <c r="D9" s="2">
        <v>11.051966347005461</v>
      </c>
      <c r="E9" s="2">
        <v>20.092135542992281</v>
      </c>
      <c r="F9" s="2">
        <v>10.131910909134382</v>
      </c>
      <c r="G9" s="2">
        <v>11.796398664423737</v>
      </c>
      <c r="H9" s="2">
        <v>5.6068056079394131</v>
      </c>
      <c r="I9" s="2">
        <v>9.6902590706345215</v>
      </c>
      <c r="J9" s="2">
        <v>9.6192072773326114</v>
      </c>
      <c r="K9" s="2">
        <v>7.9729221091245099</v>
      </c>
      <c r="L9" s="2">
        <v>10.338438971445285</v>
      </c>
      <c r="M9" s="2">
        <v>4.9798619498510428</v>
      </c>
      <c r="N9" s="2">
        <v>2.1998915603180498</v>
      </c>
      <c r="O9" s="2">
        <v>1.4291029941859288</v>
      </c>
      <c r="P9" s="2">
        <v>1.2975380638692269</v>
      </c>
      <c r="Q9" s="2">
        <v>1.6417770330634429</v>
      </c>
      <c r="R9" s="2">
        <v>2.7938555961994136</v>
      </c>
      <c r="S9" s="2">
        <v>6.2318000263141871</v>
      </c>
      <c r="T9" s="2">
        <v>3.6941256921810548</v>
      </c>
    </row>
    <row r="10" spans="1:20" x14ac:dyDescent="0.2">
      <c r="A10" s="2" t="s">
        <v>155</v>
      </c>
      <c r="B10" s="2">
        <v>118.31979242674731</v>
      </c>
      <c r="C10" s="2">
        <v>95.849643522127579</v>
      </c>
      <c r="D10" s="2">
        <v>66.13399869328903</v>
      </c>
      <c r="E10" s="2">
        <v>61.185871984431444</v>
      </c>
      <c r="F10" s="2">
        <v>46.467259639079721</v>
      </c>
      <c r="G10" s="2">
        <v>30.847723789624371</v>
      </c>
      <c r="H10" s="2">
        <v>22.919124208746652</v>
      </c>
      <c r="I10" s="2">
        <v>27.525859628744353</v>
      </c>
      <c r="J10" s="2">
        <v>25.320770463063017</v>
      </c>
      <c r="K10" s="2">
        <v>24.535093585207775</v>
      </c>
      <c r="L10" s="2">
        <v>22.7712935544719</v>
      </c>
      <c r="M10" s="2">
        <v>16.98470296486909</v>
      </c>
      <c r="N10" s="2">
        <v>9.4818923549869947</v>
      </c>
      <c r="O10" s="2">
        <v>5.8405558330039637</v>
      </c>
      <c r="P10" s="2">
        <v>5.8361833931489588</v>
      </c>
      <c r="Q10" s="2">
        <v>7.0484437635510027</v>
      </c>
      <c r="R10" s="2">
        <v>7.6501244281094891</v>
      </c>
      <c r="S10" s="2">
        <v>8.193877489104306</v>
      </c>
      <c r="T10" s="2">
        <v>6.4142800470889929</v>
      </c>
    </row>
    <row r="11" spans="1:20" x14ac:dyDescent="0.2">
      <c r="A11" s="2" t="s">
        <v>154</v>
      </c>
      <c r="B11" s="2">
        <v>210.55901526400027</v>
      </c>
      <c r="C11" s="2">
        <v>165.04724162971627</v>
      </c>
      <c r="D11" s="2">
        <v>133.2036251144124</v>
      </c>
      <c r="E11" s="2">
        <v>112.53079637273667</v>
      </c>
      <c r="F11" s="2">
        <v>82.979212028516358</v>
      </c>
      <c r="G11" s="2">
        <v>70.795869555324686</v>
      </c>
      <c r="H11" s="2">
        <v>62.25852841339001</v>
      </c>
      <c r="I11" s="2">
        <v>64.060191173442121</v>
      </c>
      <c r="J11" s="2">
        <v>57.633035073145862</v>
      </c>
      <c r="K11" s="2">
        <v>52.442185575375291</v>
      </c>
      <c r="L11" s="2">
        <v>46.0839501666931</v>
      </c>
      <c r="M11" s="2">
        <v>39.428822396987371</v>
      </c>
      <c r="N11" s="2">
        <v>32.170631821978731</v>
      </c>
      <c r="O11" s="2">
        <v>27.529863640054959</v>
      </c>
      <c r="P11" s="2">
        <v>24.205323778474678</v>
      </c>
      <c r="Q11" s="2">
        <v>22.338769123493119</v>
      </c>
      <c r="R11" s="2">
        <v>19.316160574384337</v>
      </c>
      <c r="S11" s="2">
        <v>18.448061318045809</v>
      </c>
      <c r="T11" s="2">
        <v>18.171591729350343</v>
      </c>
    </row>
    <row r="12" spans="1:20" x14ac:dyDescent="0.2">
      <c r="A12" s="2" t="s">
        <v>153</v>
      </c>
      <c r="B12" s="2">
        <v>209.5968846506625</v>
      </c>
      <c r="C12" s="2">
        <v>164.03355179331211</v>
      </c>
      <c r="D12" s="2">
        <v>132.32559263345453</v>
      </c>
      <c r="E12" s="2">
        <v>111.52809632695815</v>
      </c>
      <c r="F12" s="2">
        <v>81.944838448183177</v>
      </c>
      <c r="G12" s="2">
        <v>69.80212785157795</v>
      </c>
      <c r="H12" s="2">
        <v>61.46204953417574</v>
      </c>
      <c r="I12" s="2">
        <v>63.404508534005288</v>
      </c>
      <c r="J12" s="2">
        <v>57.08637127570055</v>
      </c>
      <c r="K12" s="2">
        <v>51.878568690470409</v>
      </c>
      <c r="L12" s="2">
        <v>45.541499577636777</v>
      </c>
      <c r="M12" s="2">
        <v>38.906960484391519</v>
      </c>
      <c r="N12" s="2">
        <v>31.727462337883331</v>
      </c>
      <c r="O12" s="2">
        <v>27.107051555443935</v>
      </c>
      <c r="P12" s="2">
        <v>23.786184774637537</v>
      </c>
      <c r="Q12" s="2">
        <v>21.885898125178919</v>
      </c>
      <c r="R12" s="2">
        <v>18.836597369804892</v>
      </c>
      <c r="S12" s="2">
        <v>17.942277458289212</v>
      </c>
      <c r="T12" s="2">
        <v>17.656383696123061</v>
      </c>
    </row>
    <row r="13" spans="1:20" x14ac:dyDescent="0.2">
      <c r="A13" s="2" t="s">
        <v>152</v>
      </c>
      <c r="B13" s="2">
        <v>208.97045153475176</v>
      </c>
      <c r="C13" s="2">
        <v>163.69712980274733</v>
      </c>
      <c r="D13" s="2">
        <v>132.26475779856574</v>
      </c>
      <c r="E13" s="2">
        <v>111.9595212962688</v>
      </c>
      <c r="F13" s="2">
        <v>82.885781079953318</v>
      </c>
      <c r="G13" s="2">
        <v>70.759136580335493</v>
      </c>
      <c r="H13" s="2">
        <v>62.232238787090665</v>
      </c>
      <c r="I13" s="2">
        <v>64.034109797079722</v>
      </c>
      <c r="J13" s="2">
        <v>57.606051280390027</v>
      </c>
      <c r="K13" s="2">
        <v>52.41152270040007</v>
      </c>
      <c r="L13" s="2">
        <v>46.046835268470602</v>
      </c>
      <c r="M13" s="2">
        <v>39.423916744599822</v>
      </c>
      <c r="N13" s="2">
        <v>32.160345556800124</v>
      </c>
      <c r="O13" s="2">
        <v>27.431749138286396</v>
      </c>
      <c r="P13" s="2">
        <v>24.111297659233539</v>
      </c>
      <c r="Q13" s="2">
        <v>22.162766283669253</v>
      </c>
      <c r="R13" s="2">
        <v>19.162660404348973</v>
      </c>
      <c r="S13" s="2">
        <v>18.294623341912455</v>
      </c>
      <c r="T13" s="2">
        <v>18.038286153801604</v>
      </c>
    </row>
    <row r="14" spans="1:20" x14ac:dyDescent="0.2">
      <c r="A14" s="2" t="s">
        <v>151</v>
      </c>
      <c r="B14" s="2">
        <v>41.525489316495381</v>
      </c>
      <c r="C14" s="2">
        <v>40.788167615952695</v>
      </c>
      <c r="D14" s="2">
        <v>37.342318356396568</v>
      </c>
      <c r="E14" s="2">
        <v>34.707000102972749</v>
      </c>
      <c r="F14" s="2">
        <v>29.272463419355983</v>
      </c>
      <c r="G14" s="2">
        <v>14.264110282996239</v>
      </c>
      <c r="H14" s="2">
        <v>7.4705808399259865</v>
      </c>
      <c r="I14" s="2">
        <v>7.0807253885211088</v>
      </c>
      <c r="J14" s="2">
        <v>8.3800623052959509</v>
      </c>
      <c r="K14" s="2">
        <v>9.7368299269042726</v>
      </c>
      <c r="L14" s="2">
        <v>9.9563876806921705</v>
      </c>
      <c r="M14" s="2">
        <v>9.7924342113255545</v>
      </c>
      <c r="N14" s="2">
        <v>8.8659969242254384</v>
      </c>
      <c r="O14" s="2">
        <v>4.5512096782749412</v>
      </c>
      <c r="P14" s="2">
        <v>1.990200229404282</v>
      </c>
      <c r="Q14" s="2">
        <v>1.4428141122817442</v>
      </c>
      <c r="R14" s="2">
        <v>0.27585363907031024</v>
      </c>
      <c r="S14" s="2">
        <v>0.96445411158397965</v>
      </c>
      <c r="T14" s="2">
        <v>0.56204514735528788</v>
      </c>
    </row>
    <row r="15" spans="1:20" x14ac:dyDescent="0.2">
      <c r="A15" s="1" t="s">
        <v>150</v>
      </c>
      <c r="B15" s="1">
        <v>40198859400000</v>
      </c>
      <c r="C15" s="1">
        <v>27872122700000</v>
      </c>
      <c r="D15" s="1">
        <v>15376029239000</v>
      </c>
      <c r="E15" s="1">
        <v>11629241715000</v>
      </c>
      <c r="F15" s="1">
        <v>15947183700000</v>
      </c>
      <c r="G15" s="1">
        <v>13743101400000</v>
      </c>
      <c r="H15" s="1">
        <v>8582955780000</v>
      </c>
      <c r="I15" s="1">
        <v>5691718410000</v>
      </c>
      <c r="J15" s="1">
        <v>6028813350000</v>
      </c>
      <c r="K15" s="1">
        <v>4706363970000</v>
      </c>
      <c r="L15" s="1">
        <v>3708031184000</v>
      </c>
      <c r="M15" s="1">
        <v>3656027493000</v>
      </c>
      <c r="N15" s="1">
        <v>2735380579000</v>
      </c>
      <c r="O15" s="1">
        <v>2581705206000</v>
      </c>
      <c r="P15" s="1">
        <v>1964286960800</v>
      </c>
      <c r="Q15" s="1">
        <v>1839314072000</v>
      </c>
      <c r="R15" s="1">
        <v>1666409229000</v>
      </c>
      <c r="S15" s="1">
        <v>1150411237480</v>
      </c>
      <c r="T15" s="1">
        <v>1657569171060</v>
      </c>
    </row>
    <row r="16" spans="1:20" x14ac:dyDescent="0.2">
      <c r="A16" s="1" t="s">
        <v>149</v>
      </c>
      <c r="B16" s="1">
        <v>38495586101000</v>
      </c>
      <c r="C16" s="1">
        <v>26791537800000</v>
      </c>
      <c r="D16" s="1">
        <v>14866859339000</v>
      </c>
      <c r="E16" s="1">
        <v>11174602015000</v>
      </c>
      <c r="F16" s="1">
        <v>15635825400000</v>
      </c>
      <c r="G16" s="1">
        <v>13450723100000</v>
      </c>
      <c r="H16" s="1">
        <v>8318020580000</v>
      </c>
      <c r="I16" s="1">
        <v>5294458510000</v>
      </c>
      <c r="J16" s="1">
        <v>5689389550000</v>
      </c>
      <c r="K16" s="1">
        <v>4414283770000</v>
      </c>
      <c r="L16" s="1">
        <v>3400323984000</v>
      </c>
      <c r="M16" s="1">
        <v>3548252893000</v>
      </c>
      <c r="N16" s="1">
        <v>2719913979000</v>
      </c>
      <c r="O16" s="1">
        <v>2555245106000</v>
      </c>
      <c r="P16" s="1">
        <v>1871762160800</v>
      </c>
      <c r="Q16" s="1">
        <v>1728378972000</v>
      </c>
      <c r="R16" s="1">
        <v>1501868329000</v>
      </c>
      <c r="S16" s="1">
        <v>980296037480</v>
      </c>
      <c r="T16" s="1">
        <v>1577754684060</v>
      </c>
    </row>
    <row r="17" spans="1:20" x14ac:dyDescent="0.2">
      <c r="A17" s="2" t="s">
        <v>148</v>
      </c>
      <c r="B17" s="2">
        <v>23.40023121481498</v>
      </c>
      <c r="C17" s="2">
        <v>24.061290671232122</v>
      </c>
      <c r="D17" s="2">
        <v>18.33758606341339</v>
      </c>
      <c r="E17" s="2">
        <v>11.712123729786205</v>
      </c>
      <c r="F17" s="2">
        <v>26.921475516882325</v>
      </c>
      <c r="G17" s="2">
        <v>26.908003618251019</v>
      </c>
      <c r="H17" s="2">
        <v>24.249199825963135</v>
      </c>
      <c r="I17" s="2">
        <v>15.67738901266951</v>
      </c>
      <c r="J17" s="2">
        <v>17.47490741258725</v>
      </c>
      <c r="K17" s="2">
        <v>14.188030129596697</v>
      </c>
      <c r="L17" s="2">
        <v>12.243751575445211</v>
      </c>
      <c r="M17" s="2">
        <v>14.376749372988115</v>
      </c>
      <c r="N17" s="2">
        <v>14.868008817377767</v>
      </c>
      <c r="O17" s="2">
        <v>16.188188208235722</v>
      </c>
      <c r="P17" s="2">
        <v>14.636869842542508</v>
      </c>
      <c r="Q17" s="2">
        <v>11.381541858234584</v>
      </c>
      <c r="R17" s="2">
        <v>18.677990591563567</v>
      </c>
      <c r="S17" s="2">
        <v>11.511802258708817</v>
      </c>
      <c r="T17" s="2">
        <v>15.179533626585945</v>
      </c>
    </row>
    <row r="18" spans="1:20" x14ac:dyDescent="0.2">
      <c r="A18" s="2" t="s">
        <v>147</v>
      </c>
      <c r="B18" s="2">
        <v>10.553502103146871</v>
      </c>
      <c r="C18" s="2">
        <v>9.6299781156670257</v>
      </c>
      <c r="D18" s="2">
        <v>7.1128154589644623</v>
      </c>
      <c r="E18" s="2">
        <v>5.136837495245465</v>
      </c>
      <c r="F18" s="2">
        <v>10.04600794373242</v>
      </c>
      <c r="G18" s="2">
        <v>10.261752580614234</v>
      </c>
      <c r="H18" s="2">
        <v>8.0215634531087989</v>
      </c>
      <c r="I18" s="2">
        <v>5.5186438066641603</v>
      </c>
      <c r="J18" s="2">
        <v>6.1679461791413637</v>
      </c>
      <c r="K18" s="2">
        <v>4.9649945058028768</v>
      </c>
      <c r="L18" s="2">
        <v>4.3959410014670794</v>
      </c>
      <c r="M18" s="2">
        <v>4.7926845163108664</v>
      </c>
      <c r="N18" s="2">
        <v>4.5818516899320318</v>
      </c>
      <c r="O18" s="2">
        <v>5.0949314760036257</v>
      </c>
      <c r="P18" s="2">
        <v>4.6001325525179233</v>
      </c>
      <c r="Q18" s="2">
        <v>4.3841428199931398</v>
      </c>
      <c r="R18" s="2">
        <v>5.6346684003838474</v>
      </c>
      <c r="S18" s="2">
        <v>3.4530531261321591</v>
      </c>
      <c r="T18" s="2">
        <v>5.1371484290596916</v>
      </c>
    </row>
    <row r="19" spans="1:20" x14ac:dyDescent="0.2">
      <c r="A19" s="2" t="s">
        <v>146</v>
      </c>
      <c r="B19" s="2">
        <v>17.042499518811301</v>
      </c>
      <c r="C19" s="2">
        <v>15.262551863124337</v>
      </c>
      <c r="D19" s="2">
        <v>12.380381704896738</v>
      </c>
      <c r="E19" s="2">
        <v>7.2204442390136538</v>
      </c>
      <c r="F19" s="2">
        <v>14.338920355664428</v>
      </c>
      <c r="G19" s="2">
        <v>16.705562231680357</v>
      </c>
      <c r="H19" s="2">
        <v>13.952878887314357</v>
      </c>
      <c r="I19" s="2">
        <v>9.9166752649122056</v>
      </c>
      <c r="J19" s="2">
        <v>10.300061317075054</v>
      </c>
      <c r="K19" s="2">
        <v>8.7181591731986057</v>
      </c>
      <c r="L19" s="2">
        <v>6.9978776000727718</v>
      </c>
      <c r="M19" s="2">
        <v>8.6733616472810429</v>
      </c>
      <c r="N19" s="2">
        <v>7.874238641155956</v>
      </c>
      <c r="O19" s="2">
        <v>9.059787761994448</v>
      </c>
      <c r="P19" s="2">
        <v>7.9337241486830887</v>
      </c>
      <c r="Q19" s="2">
        <v>8.0152855856696004</v>
      </c>
      <c r="R19" s="2">
        <v>10.417245302763579</v>
      </c>
      <c r="S19" s="2">
        <v>5.193880263267201</v>
      </c>
      <c r="T19" s="2">
        <v>9.0203829457781648</v>
      </c>
    </row>
    <row r="20" spans="1:20" x14ac:dyDescent="0.2">
      <c r="A20" s="2" t="s">
        <v>145</v>
      </c>
      <c r="B20" s="2">
        <v>37.004245851402565</v>
      </c>
      <c r="C20" s="2">
        <v>32.36445464473514</v>
      </c>
      <c r="D20" s="2">
        <v>53.655610357578929</v>
      </c>
      <c r="E20" s="2">
        <v>22.322166752275741</v>
      </c>
      <c r="F20" s="2">
        <v>60.699309884924993</v>
      </c>
      <c r="G20" s="2">
        <v>44.928966464858867</v>
      </c>
      <c r="H20" s="2">
        <v>59.035397897742982</v>
      </c>
      <c r="I20" s="2">
        <v>22.651613171537946</v>
      </c>
      <c r="J20" s="2">
        <v>24.170390895711297</v>
      </c>
      <c r="K20" s="2">
        <v>22.764552006883978</v>
      </c>
      <c r="L20" s="2">
        <v>13.831875430610488</v>
      </c>
      <c r="M20" s="2">
        <v>28.314037903042188</v>
      </c>
      <c r="N20" s="2">
        <v>47.956909287268381</v>
      </c>
      <c r="O20" s="2">
        <v>69.69406712126856</v>
      </c>
      <c r="P20" s="2">
        <v>58.418324757245458</v>
      </c>
      <c r="Q20" s="2">
        <v>43.245823622906265</v>
      </c>
      <c r="R20" s="2">
        <v>23.086375719540325</v>
      </c>
      <c r="S20" s="2">
        <v>7.0894444323384951</v>
      </c>
      <c r="T20" s="2">
        <v>16.615568909827896</v>
      </c>
    </row>
    <row r="21" spans="1:20" x14ac:dyDescent="0.2">
      <c r="A21" s="2" t="s">
        <v>144</v>
      </c>
      <c r="B21" s="2">
        <v>7.4173166044111039</v>
      </c>
      <c r="C21" s="2">
        <v>6.5670057947586464</v>
      </c>
      <c r="D21" s="2">
        <v>4.4834316402190577</v>
      </c>
      <c r="E21" s="2">
        <v>4.0059120904346601</v>
      </c>
      <c r="F21" s="2">
        <v>7.4198492429812353</v>
      </c>
      <c r="G21" s="2">
        <v>7.490198801369929</v>
      </c>
      <c r="H21" s="2">
        <v>5.3187866361745284</v>
      </c>
      <c r="I21" s="2">
        <v>3.4278605683062109</v>
      </c>
      <c r="J21" s="2">
        <v>4.0360343198726856</v>
      </c>
      <c r="K21" s="2">
        <v>3.4629789528823318</v>
      </c>
      <c r="L21" s="2">
        <v>3.1055337281325741</v>
      </c>
      <c r="M21" s="2">
        <v>3.5765091762302839</v>
      </c>
      <c r="N21" s="2">
        <v>3.2804373887609741</v>
      </c>
      <c r="O21" s="2">
        <v>3.6308293538959435</v>
      </c>
      <c r="P21" s="2">
        <v>3.1437544785554925</v>
      </c>
      <c r="Q21" s="2">
        <v>3.2035712099854932</v>
      </c>
      <c r="R21" s="2">
        <v>3.365920944117013</v>
      </c>
      <c r="S21" s="2">
        <v>2.4149171685204851</v>
      </c>
      <c r="T21" s="2">
        <v>3.4027622955224075</v>
      </c>
    </row>
    <row r="22" spans="1:20" x14ac:dyDescent="0.2">
      <c r="A22" s="2" t="s">
        <v>143</v>
      </c>
      <c r="B22" s="2">
        <v>7.4173166044111039</v>
      </c>
      <c r="C22" s="2">
        <v>6.5670057947586464</v>
      </c>
      <c r="D22" s="2">
        <v>4.4834316402190577</v>
      </c>
      <c r="E22" s="2">
        <v>4.0059120904346601</v>
      </c>
      <c r="F22" s="2">
        <v>7.4198492429812353</v>
      </c>
      <c r="G22" s="2">
        <v>7.490198801369929</v>
      </c>
      <c r="H22" s="2">
        <v>5.3187866361745284</v>
      </c>
      <c r="I22" s="2">
        <v>3.4278605683062109</v>
      </c>
      <c r="J22" s="2">
        <v>4.0360343198726856</v>
      </c>
      <c r="K22" s="2">
        <v>3.4629789528823318</v>
      </c>
      <c r="L22" s="2">
        <v>3.1055337281325741</v>
      </c>
      <c r="M22" s="2">
        <v>3.5765091762302839</v>
      </c>
      <c r="N22" s="2">
        <v>3.2804373887609741</v>
      </c>
      <c r="O22" s="2">
        <v>3.6308293538959435</v>
      </c>
      <c r="P22" s="2">
        <v>3.1437544785554925</v>
      </c>
      <c r="Q22" s="2">
        <v>3.2035712099854932</v>
      </c>
      <c r="R22" s="2">
        <v>3.365920944117013</v>
      </c>
      <c r="S22" s="2">
        <v>2.4149171685204851</v>
      </c>
      <c r="T22" s="2">
        <v>3.4027622955224075</v>
      </c>
    </row>
    <row r="23" spans="1:20" x14ac:dyDescent="0.2">
      <c r="A23" s="2" t="s">
        <v>142</v>
      </c>
      <c r="B23" s="2">
        <v>10.106337715611279</v>
      </c>
      <c r="C23" s="2">
        <v>9.2566298403625318</v>
      </c>
      <c r="D23" s="2">
        <v>6.8772779557725832</v>
      </c>
      <c r="E23" s="2">
        <v>4.9360152649555218</v>
      </c>
      <c r="F23" s="2">
        <v>9.849866229057934</v>
      </c>
      <c r="G23" s="2">
        <v>10.043438410674353</v>
      </c>
      <c r="H23" s="2">
        <v>7.7739570839003971</v>
      </c>
      <c r="I23" s="2">
        <v>5.1334638436288795</v>
      </c>
      <c r="J23" s="2">
        <v>5.8206891637421982</v>
      </c>
      <c r="K23" s="2">
        <v>4.65686351604141</v>
      </c>
      <c r="L23" s="2">
        <v>4.0311483042634224</v>
      </c>
      <c r="M23" s="2">
        <v>4.6514028498954554</v>
      </c>
      <c r="N23" s="2">
        <v>4.5559446304568167</v>
      </c>
      <c r="O23" s="2">
        <v>5.0427131220122821</v>
      </c>
      <c r="P23" s="2">
        <v>4.3834501874209906</v>
      </c>
      <c r="Q23" s="2">
        <v>4.1197207022297624</v>
      </c>
      <c r="R23" s="2">
        <v>5.0783024167670359</v>
      </c>
      <c r="S23" s="2">
        <v>2.9424384832768387</v>
      </c>
      <c r="T23" s="2">
        <v>4.8897868868285146</v>
      </c>
    </row>
    <row r="24" spans="1:20" x14ac:dyDescent="0.2">
      <c r="A24" s="2" t="s">
        <v>141</v>
      </c>
      <c r="B24" s="2">
        <v>14.130647529863134</v>
      </c>
      <c r="C24" s="2">
        <v>12.885924414611482</v>
      </c>
      <c r="D24" s="2">
        <v>9.7583150524828639</v>
      </c>
      <c r="E24" s="2">
        <v>7.0144792262016296</v>
      </c>
      <c r="F24" s="2">
        <v>14.33368073982273</v>
      </c>
      <c r="G24" s="2">
        <v>14.64339225503085</v>
      </c>
      <c r="H24" s="2">
        <v>12.232433574726484</v>
      </c>
      <c r="I24" s="2">
        <v>7.6383615531971438</v>
      </c>
      <c r="J24" s="2">
        <v>8.6250584224697633</v>
      </c>
      <c r="K24" s="2">
        <v>7.2004553089912475</v>
      </c>
      <c r="L24" s="2">
        <v>5.9015626091793534</v>
      </c>
      <c r="M24" s="2">
        <v>7.0184424579175664</v>
      </c>
      <c r="N24" s="2">
        <v>7.2571660217278948</v>
      </c>
      <c r="O24" s="2">
        <v>8.136930305517998</v>
      </c>
      <c r="P24" s="2">
        <v>7.3849618840989697</v>
      </c>
      <c r="Q24" s="2">
        <v>6.6860329764233617</v>
      </c>
      <c r="R24" s="2">
        <v>8.5010388308518543</v>
      </c>
      <c r="S24" s="2">
        <v>5.0635282830421993</v>
      </c>
      <c r="T24" s="2">
        <v>8.232948000855794</v>
      </c>
    </row>
    <row r="25" spans="1:20" x14ac:dyDescent="0.2">
      <c r="A25" s="2" t="s">
        <v>140</v>
      </c>
      <c r="B25" s="2">
        <v>16.320388622833697</v>
      </c>
      <c r="C25" s="2">
        <v>14.67083219913337</v>
      </c>
      <c r="D25" s="2">
        <v>11.970411249152857</v>
      </c>
      <c r="E25" s="2">
        <v>6.938164389377568</v>
      </c>
      <c r="F25" s="2">
        <v>14.058962342402497</v>
      </c>
      <c r="G25" s="2">
        <v>16.350158910138767</v>
      </c>
      <c r="H25" s="2">
        <v>13.522187077483501</v>
      </c>
      <c r="I25" s="2">
        <v>9.2245297404340381</v>
      </c>
      <c r="J25" s="2">
        <v>9.7201651170252354</v>
      </c>
      <c r="K25" s="2">
        <v>8.1771041908021456</v>
      </c>
      <c r="L25" s="2">
        <v>6.4171658381133518</v>
      </c>
      <c r="M25" s="2">
        <v>8.4176830223306549</v>
      </c>
      <c r="N25" s="2">
        <v>7.8297155132584013</v>
      </c>
      <c r="O25" s="2">
        <v>8.9669332836426889</v>
      </c>
      <c r="P25" s="2">
        <v>7.5600179363213735</v>
      </c>
      <c r="Q25" s="2">
        <v>7.5318572677380358</v>
      </c>
      <c r="R25" s="2">
        <v>9.3886486724712181</v>
      </c>
      <c r="S25" s="2">
        <v>4.4258436247367872</v>
      </c>
      <c r="T25" s="2">
        <v>8.5860377311525635</v>
      </c>
    </row>
    <row r="26" spans="1:20" x14ac:dyDescent="0.2">
      <c r="A26" s="2" t="s">
        <v>139</v>
      </c>
      <c r="B26" s="2">
        <v>35.436332113324575</v>
      </c>
      <c r="C26" s="2">
        <v>31.109704823120882</v>
      </c>
      <c r="D26" s="2">
        <v>51.878830323178825</v>
      </c>
      <c r="E26" s="2">
        <v>21.449492209574089</v>
      </c>
      <c r="F26" s="2">
        <v>59.51419567965354</v>
      </c>
      <c r="G26" s="2">
        <v>43.973122914453825</v>
      </c>
      <c r="H26" s="2">
        <v>57.213117164855632</v>
      </c>
      <c r="I26" s="2">
        <v>21.070618305812701</v>
      </c>
      <c r="J26" s="2">
        <v>22.809591439992911</v>
      </c>
      <c r="K26" s="2">
        <v>21.351768179397496</v>
      </c>
      <c r="L26" s="2">
        <v>12.684051302845022</v>
      </c>
      <c r="M26" s="2">
        <v>27.479379488895187</v>
      </c>
      <c r="N26" s="2">
        <v>47.685747629224572</v>
      </c>
      <c r="O26" s="2">
        <v>68.979767138005684</v>
      </c>
      <c r="P26" s="2">
        <v>55.666616925158742</v>
      </c>
      <c r="Q26" s="2">
        <v>40.637525322348559</v>
      </c>
      <c r="R26" s="2">
        <v>20.806831792079688</v>
      </c>
      <c r="S26" s="2">
        <v>6.0411043099506383</v>
      </c>
      <c r="T26" s="2">
        <v>15.815503891785246</v>
      </c>
    </row>
    <row r="27" spans="1:20" x14ac:dyDescent="0.2">
      <c r="A27" s="3" t="s">
        <v>138</v>
      </c>
      <c r="B27" s="3">
        <v>4.2734620475326224E-2</v>
      </c>
      <c r="C27" s="3">
        <v>4.1560530300047797E-2</v>
      </c>
      <c r="D27" s="3">
        <v>5.4532804729144277E-2</v>
      </c>
      <c r="E27" s="3">
        <v>8.5381611659105502E-2</v>
      </c>
      <c r="F27" s="3">
        <v>3.7145066561188482E-2</v>
      </c>
      <c r="G27" s="3">
        <v>3.7163663800079363E-2</v>
      </c>
      <c r="H27" s="3">
        <v>4.123847414252902E-2</v>
      </c>
      <c r="I27" s="3">
        <v>6.3786131682505354E-2</v>
      </c>
      <c r="J27" s="3">
        <v>5.7224909774325657E-2</v>
      </c>
      <c r="K27" s="3">
        <v>7.0481947871957717E-2</v>
      </c>
      <c r="L27" s="3">
        <v>8.1674313125194034E-2</v>
      </c>
      <c r="M27" s="3">
        <v>6.9556752646662875E-2</v>
      </c>
      <c r="N27" s="3">
        <v>6.7258501947563915E-2</v>
      </c>
      <c r="O27" s="3">
        <v>6.1773435491147249E-2</v>
      </c>
      <c r="P27" s="3">
        <v>6.8320618462662658E-2</v>
      </c>
      <c r="Q27" s="3">
        <v>8.7861557990624672E-2</v>
      </c>
      <c r="R27" s="3">
        <v>5.3538949765382024E-2</v>
      </c>
      <c r="S27" s="3">
        <v>8.686737120102006E-2</v>
      </c>
      <c r="T27" s="3">
        <v>6.5878176800410151E-2</v>
      </c>
    </row>
    <row r="28" spans="1:20" x14ac:dyDescent="0.2">
      <c r="A28" s="3" t="s">
        <v>137</v>
      </c>
      <c r="B28" s="3">
        <v>2.7023925957461371E-2</v>
      </c>
      <c r="C28" s="3">
        <v>3.0898095178089897E-2</v>
      </c>
      <c r="D28" s="3">
        <v>1.8637380011813594E-2</v>
      </c>
      <c r="E28" s="3">
        <v>4.4798518490506756E-2</v>
      </c>
      <c r="F28" s="3">
        <v>1.6474651884771353E-2</v>
      </c>
      <c r="G28" s="3">
        <v>2.2257355970610827E-2</v>
      </c>
      <c r="H28" s="3">
        <v>1.6938989752082818E-2</v>
      </c>
      <c r="I28" s="3">
        <v>4.414696615323245E-2</v>
      </c>
      <c r="J28" s="3">
        <v>4.1372934526161767E-2</v>
      </c>
      <c r="K28" s="3">
        <v>4.3927945504818232E-2</v>
      </c>
      <c r="L28" s="3">
        <v>7.2296776024092901E-2</v>
      </c>
      <c r="M28" s="3">
        <v>3.5318169857099596E-2</v>
      </c>
      <c r="N28" s="3">
        <v>2.0852052704436488E-2</v>
      </c>
      <c r="O28" s="3">
        <v>1.4348423636404907E-2</v>
      </c>
      <c r="P28" s="3">
        <v>1.7117916409884259E-2</v>
      </c>
      <c r="Q28" s="3">
        <v>2.3123620183992156E-2</v>
      </c>
      <c r="R28" s="3">
        <v>4.3315590638750595E-2</v>
      </c>
      <c r="S28" s="3">
        <v>0.14105477651231749</v>
      </c>
      <c r="T28" s="3">
        <v>6.0184517630841559E-2</v>
      </c>
    </row>
    <row r="29" spans="1:20" x14ac:dyDescent="0.2">
      <c r="A29" s="2" t="s">
        <v>136</v>
      </c>
      <c r="B29" s="2">
        <v>0.19643211431257976</v>
      </c>
      <c r="C29" s="2">
        <v>0.24669565400758883</v>
      </c>
      <c r="D29" s="2">
        <v>0.27883121568181041</v>
      </c>
      <c r="E29" s="2">
        <v>0.30594845773867813</v>
      </c>
      <c r="F29" s="2">
        <v>0.35064718560315511</v>
      </c>
      <c r="G29" s="2">
        <v>0.20045238439506013</v>
      </c>
      <c r="H29" s="2">
        <v>0.11802902586444516</v>
      </c>
      <c r="I29" s="2">
        <v>0.10873980263411476</v>
      </c>
      <c r="J29" s="2">
        <v>0.14324241564902432</v>
      </c>
      <c r="K29" s="2">
        <v>0.18334385906280024</v>
      </c>
      <c r="L29" s="2">
        <v>0.21355113539050041</v>
      </c>
      <c r="M29" s="2">
        <v>0.2452222510805995</v>
      </c>
      <c r="N29" s="2">
        <v>0.2725068157045249</v>
      </c>
      <c r="O29" s="2">
        <v>0.16447552081699895</v>
      </c>
      <c r="P29" s="2">
        <v>8.1539222370531128E-2</v>
      </c>
      <c r="Q29" s="2">
        <v>6.4359885457486429E-2</v>
      </c>
      <c r="R29" s="2">
        <v>1.3604595757436081E-2</v>
      </c>
      <c r="S29" s="2">
        <v>5.1426905281551111E-2</v>
      </c>
      <c r="T29" s="2">
        <v>3.1158456106254624E-2</v>
      </c>
    </row>
    <row r="30" spans="1:20" x14ac:dyDescent="0.2">
      <c r="A30" s="3" t="s">
        <v>135</v>
      </c>
      <c r="B30" s="3">
        <v>0.13419632929384809</v>
      </c>
      <c r="C30" s="3">
        <v>0.1564672619167258</v>
      </c>
      <c r="D30" s="3">
        <v>0.17285320265010104</v>
      </c>
      <c r="E30" s="3">
        <v>0.17890658017506883</v>
      </c>
      <c r="F30" s="3">
        <v>0.20230087642285771</v>
      </c>
      <c r="G30" s="3">
        <v>0.13322909272819447</v>
      </c>
      <c r="H30" s="3">
        <v>8.4100321231054542E-2</v>
      </c>
      <c r="I30" s="3">
        <v>8.6388518984788359E-2</v>
      </c>
      <c r="J30" s="3">
        <v>0.10742805759007738</v>
      </c>
      <c r="K30" s="3">
        <v>0.13209671628010589</v>
      </c>
      <c r="L30" s="3">
        <v>0.15384463617476413</v>
      </c>
      <c r="M30" s="3">
        <v>0.16769167269290025</v>
      </c>
      <c r="N30" s="3">
        <v>0.17994035004890321</v>
      </c>
      <c r="O30" s="3">
        <v>0.12165316109108532</v>
      </c>
      <c r="P30" s="3">
        <v>6.5355716744302031E-2</v>
      </c>
      <c r="Q30" s="3">
        <v>5.1398545808911004E-2</v>
      </c>
      <c r="R30" s="3">
        <v>1.1325782811459028E-2</v>
      </c>
      <c r="S30" s="3">
        <v>4.3832299845808838E-2</v>
      </c>
      <c r="T30" s="3">
        <v>2.658486770249165E-2</v>
      </c>
    </row>
    <row r="31" spans="1:20" x14ac:dyDescent="0.2">
      <c r="A31" s="3" t="s">
        <v>134</v>
      </c>
      <c r="B31" s="3">
        <v>-0.62522374830321015</v>
      </c>
      <c r="C31" s="3">
        <v>-0.51972885800420565</v>
      </c>
      <c r="D31" s="3">
        <v>-0.33420914169861271</v>
      </c>
      <c r="E31" s="3">
        <v>-0.28538472571781709</v>
      </c>
      <c r="F31" s="3">
        <v>-0.28542851776113765</v>
      </c>
      <c r="G31" s="3">
        <v>-0.31830334339118815</v>
      </c>
      <c r="H31" s="3">
        <v>-0.38961219252079271</v>
      </c>
      <c r="I31" s="3">
        <v>-0.57313032882506088</v>
      </c>
      <c r="J31" s="3">
        <v>-0.51456313181731284</v>
      </c>
      <c r="K31" s="3">
        <v>-0.47643299260328825</v>
      </c>
      <c r="L31" s="3">
        <v>-0.53405302395892906</v>
      </c>
      <c r="M31" s="3">
        <v>-0.21317810520702435</v>
      </c>
      <c r="N31" s="3">
        <v>-4.1267365386652426E-2</v>
      </c>
      <c r="O31" s="3">
        <v>-8.4259623106792775E-2</v>
      </c>
      <c r="P31" s="3">
        <v>-0.36505285534880033</v>
      </c>
      <c r="Q31" s="3">
        <v>-0.42913952834345365</v>
      </c>
      <c r="R31" s="3">
        <v>-0.93135233838685727</v>
      </c>
      <c r="S31" s="3">
        <v>-0.87869693811034544</v>
      </c>
      <c r="T31" s="3">
        <v>-0.41648332774716185</v>
      </c>
    </row>
    <row r="32" spans="1:20" x14ac:dyDescent="0.2">
      <c r="A32" s="2" t="s">
        <v>133</v>
      </c>
      <c r="B32" s="2">
        <v>2.6180255538508073</v>
      </c>
      <c r="C32" s="2">
        <v>2.3599420596353862</v>
      </c>
      <c r="D32" s="2">
        <v>2.3271330416010692</v>
      </c>
      <c r="E32" s="2">
        <v>2.0808559123811174</v>
      </c>
      <c r="F32" s="2">
        <v>2.1191626113861517</v>
      </c>
      <c r="G32" s="2">
        <v>1.7284191572569261</v>
      </c>
      <c r="H32" s="2">
        <v>1.37477217037528</v>
      </c>
      <c r="I32" s="2">
        <v>2.6669864204142448</v>
      </c>
      <c r="J32" s="2">
        <v>2.2156237092591127</v>
      </c>
      <c r="K32" s="2">
        <v>2.3478666957615295</v>
      </c>
      <c r="L32" s="2">
        <v>3.1143907068420389</v>
      </c>
      <c r="M32" s="2">
        <v>2.7873970350361144</v>
      </c>
      <c r="N32" s="2">
        <v>1.7575117416925687</v>
      </c>
      <c r="O32" s="2">
        <v>1.5833038167475422</v>
      </c>
      <c r="P32" s="2">
        <v>1.7968151065835063</v>
      </c>
      <c r="Q32" s="2">
        <v>2.1228749479467268</v>
      </c>
      <c r="R32" s="2">
        <v>3.2831146938141087</v>
      </c>
      <c r="S32" s="2">
        <v>4.4469746579634837</v>
      </c>
      <c r="T32" s="2">
        <v>5.1291611685864833</v>
      </c>
    </row>
    <row r="33" spans="1:20" x14ac:dyDescent="0.2">
      <c r="A33" s="2" t="s">
        <v>132</v>
      </c>
      <c r="B33" s="2">
        <v>156.47392161934943</v>
      </c>
      <c r="C33" s="2">
        <v>125.96499418792995</v>
      </c>
      <c r="D33" s="2">
        <v>76.792672966981684</v>
      </c>
      <c r="E33" s="2">
        <v>95.427991489361702</v>
      </c>
      <c r="F33" s="2">
        <v>120.05114328986738</v>
      </c>
      <c r="G33" s="2">
        <v>272.29579630074466</v>
      </c>
      <c r="H33" s="2">
        <v>114.64551355009382</v>
      </c>
      <c r="I33" s="2">
        <v>125.72872968012585</v>
      </c>
      <c r="J33" s="2">
        <v>115.77311353331531</v>
      </c>
      <c r="K33" s="2">
        <v>114.32134539185142</v>
      </c>
      <c r="L33" s="2">
        <v>100.31902955834875</v>
      </c>
      <c r="M33" s="2">
        <v>91.422395945987702</v>
      </c>
      <c r="N33" s="2">
        <v>79.367122563095052</v>
      </c>
      <c r="O33" s="2">
        <v>177.57508331699665</v>
      </c>
      <c r="P33" s="2">
        <v>225.8774533269507</v>
      </c>
      <c r="Q33" s="2">
        <v>374.17795016455102</v>
      </c>
      <c r="R33" s="2">
        <v>234.8962962962963</v>
      </c>
      <c r="S33" s="2">
        <v>169.81365853658536</v>
      </c>
      <c r="T33" s="2">
        <v>0</v>
      </c>
    </row>
    <row r="34" spans="1:20" x14ac:dyDescent="0.2">
      <c r="A34" s="2" t="s">
        <v>131</v>
      </c>
      <c r="B34" s="2">
        <v>1.3730515989738532</v>
      </c>
      <c r="C34" s="2">
        <v>1.2989935554543903</v>
      </c>
      <c r="D34" s="2">
        <v>1.268198074881818</v>
      </c>
      <c r="E34" s="2">
        <v>1.4077775860649353</v>
      </c>
      <c r="F34" s="2">
        <v>1.6773760399133681</v>
      </c>
      <c r="G34" s="2">
        <v>1.4068771362897037</v>
      </c>
      <c r="H34" s="2">
        <v>1.5778366247963063</v>
      </c>
      <c r="I34" s="2">
        <v>1.4437536458311062</v>
      </c>
      <c r="J34" s="2">
        <v>1.477472215273604</v>
      </c>
      <c r="K34" s="2">
        <v>1.3988189832289815</v>
      </c>
      <c r="L34" s="2">
        <v>1.511878077229472</v>
      </c>
      <c r="M34" s="2">
        <v>1.3954342237899053</v>
      </c>
      <c r="N34" s="2">
        <v>1.6085436524565722</v>
      </c>
      <c r="O34" s="2">
        <v>1.5686522871434776</v>
      </c>
      <c r="P34" s="2">
        <v>1.8414349071387612</v>
      </c>
      <c r="Q34" s="2">
        <v>1.4140566508033243</v>
      </c>
      <c r="R34" s="2">
        <v>1.7929874980104867</v>
      </c>
      <c r="S34" s="2">
        <v>2.216416566266266</v>
      </c>
      <c r="T34" s="2">
        <v>1.6828036797683392</v>
      </c>
    </row>
    <row r="35" spans="1:20" x14ac:dyDescent="0.2">
      <c r="A35" s="3" t="s">
        <v>130</v>
      </c>
      <c r="B35" s="3">
        <v>1.1611747372115736E-2</v>
      </c>
      <c r="C35" s="3">
        <v>1.3025746331118153E-2</v>
      </c>
      <c r="D35" s="3">
        <v>1.8972512048824153E-2</v>
      </c>
      <c r="E35" s="3">
        <v>2.4527325769838466E-2</v>
      </c>
      <c r="F35" s="3">
        <v>1.6666666980201653E-2</v>
      </c>
      <c r="G35" s="3">
        <v>1.8867924528301886E-2</v>
      </c>
      <c r="H35" s="3">
        <v>3.0211480362537766E-2</v>
      </c>
      <c r="I35" s="3">
        <v>3.6446462220537018E-2</v>
      </c>
      <c r="J35" s="3">
        <v>3.0107533516525269E-2</v>
      </c>
      <c r="K35" s="3">
        <v>3.3057855489234504E-2</v>
      </c>
      <c r="L35" s="3">
        <v>3.1467777429565441E-2</v>
      </c>
      <c r="M35" s="3">
        <v>2.1276070858037174E-2</v>
      </c>
      <c r="N35" s="3">
        <v>2.8432350729210906E-2</v>
      </c>
      <c r="O35" s="3">
        <v>3.0115250888950642E-2</v>
      </c>
      <c r="P35" s="3">
        <v>3.9571713070040759E-2</v>
      </c>
      <c r="Q35" s="3">
        <v>4.2248412700666815E-2</v>
      </c>
      <c r="R35" s="3">
        <v>4.6132905808576749E-2</v>
      </c>
      <c r="S35" s="3">
        <v>6.6740481576124042E-2</v>
      </c>
      <c r="T35" s="3">
        <v>4.6684089781010386E-2</v>
      </c>
    </row>
    <row r="36" spans="1:20" x14ac:dyDescent="0.2">
      <c r="A36" s="3" t="s">
        <v>129</v>
      </c>
      <c r="B36" s="3">
        <v>0.27171757331552848</v>
      </c>
      <c r="C36" s="3">
        <v>0.31341626868276928</v>
      </c>
      <c r="D36" s="3">
        <v>0.34791007253446044</v>
      </c>
      <c r="E36" s="3">
        <v>0.28726707417712183</v>
      </c>
      <c r="F36" s="3">
        <v>0.44869126705552981</v>
      </c>
      <c r="G36" s="3">
        <v>0.50769818147643442</v>
      </c>
      <c r="H36" s="3">
        <v>0.73260422434933947</v>
      </c>
      <c r="I36" s="3">
        <v>0.57138536636692139</v>
      </c>
      <c r="J36" s="3">
        <v>0.52612636062264651</v>
      </c>
      <c r="K36" s="3">
        <v>0.46902584970111272</v>
      </c>
      <c r="L36" s="3">
        <v>0.38528364947900107</v>
      </c>
      <c r="M36" s="3">
        <v>0.30588073836793661</v>
      </c>
      <c r="N36" s="3">
        <v>0.42273244134068494</v>
      </c>
      <c r="O36" s="3">
        <v>0.48751134932857121</v>
      </c>
      <c r="P36" s="3">
        <v>0.57920601365262481</v>
      </c>
      <c r="Q36" s="3">
        <v>0.48085207759660903</v>
      </c>
      <c r="R36" s="3">
        <v>0.86166998065408473</v>
      </c>
      <c r="S36" s="3">
        <v>0.768303226555339</v>
      </c>
      <c r="T36" s="3">
        <v>0.70864271065740425</v>
      </c>
    </row>
    <row r="37" spans="1:20" x14ac:dyDescent="0.2">
      <c r="A37" s="3" t="s">
        <v>128</v>
      </c>
      <c r="B37" s="3">
        <v>2.6048987491382375E-2</v>
      </c>
      <c r="C37" s="3">
        <v>3.3475704728038617E-2</v>
      </c>
      <c r="D37" s="3">
        <v>3.3058615853184661E-2</v>
      </c>
      <c r="E37" s="3">
        <v>2.8024887944045722E-2</v>
      </c>
      <c r="F37" s="3">
        <v>2.8025563573482674E-2</v>
      </c>
      <c r="G37" s="3">
        <v>2.6559845072050517E-2</v>
      </c>
      <c r="H37" s="3">
        <v>2.624876937573167E-2</v>
      </c>
      <c r="I37" s="3">
        <v>2.5455373662278357E-2</v>
      </c>
      <c r="J37" s="3">
        <v>2.7796210232703178E-2</v>
      </c>
      <c r="K37" s="3">
        <v>2.7108503641488025E-2</v>
      </c>
      <c r="L37" s="3">
        <v>2.7174345371289696E-2</v>
      </c>
      <c r="M37" s="3">
        <v>3.1488854077225091E-2</v>
      </c>
      <c r="N37" s="3">
        <v>3.9173987815477734E-2</v>
      </c>
      <c r="O37" s="3">
        <v>4.3671429780887012E-2</v>
      </c>
      <c r="P37" s="3">
        <v>4.3750846005658928E-2</v>
      </c>
      <c r="Q37" s="3">
        <v>4.3313369304656388E-2</v>
      </c>
      <c r="R37" s="3">
        <v>5.333462725306027E-2</v>
      </c>
      <c r="S37" s="3">
        <v>4.7524940891355658E-2</v>
      </c>
      <c r="T37" s="3">
        <v>3.9300432204241634E-2</v>
      </c>
    </row>
    <row r="38" spans="1:20" x14ac:dyDescent="0.2">
      <c r="A38" s="3" t="s">
        <v>127</v>
      </c>
      <c r="B38" s="3">
        <v>6.4695066019016798E-2</v>
      </c>
      <c r="C38" s="3">
        <v>7.054605107680316E-2</v>
      </c>
      <c r="D38" s="3">
        <v>8.4362752898596308E-2</v>
      </c>
      <c r="E38" s="3">
        <v>7.211574159943103E-2</v>
      </c>
      <c r="F38" s="3">
        <v>7.8577309651225419E-2</v>
      </c>
      <c r="G38" s="3">
        <v>8.175143370776046E-2</v>
      </c>
      <c r="H38" s="3">
        <v>8.5439203189127622E-2</v>
      </c>
      <c r="I38" s="3">
        <v>8.3283674070534705E-2</v>
      </c>
      <c r="J38" s="3">
        <v>8.2595642956425269E-2</v>
      </c>
      <c r="K38" s="3">
        <v>7.5120802709795417E-2</v>
      </c>
      <c r="L38" s="3">
        <v>7.770436122760481E-2</v>
      </c>
      <c r="M38" s="3">
        <v>7.449684400951713E-2</v>
      </c>
      <c r="N38" s="3">
        <v>8.0321164053867036E-2</v>
      </c>
      <c r="O38" s="3">
        <v>7.9702944602771983E-2</v>
      </c>
      <c r="P38" s="3">
        <v>7.9225707518338129E-2</v>
      </c>
      <c r="Q38" s="3">
        <v>7.0808143912623869E-2</v>
      </c>
      <c r="R38" s="3">
        <v>7.3014267155651111E-2</v>
      </c>
      <c r="S38" s="3">
        <v>6.4476672758876655E-2</v>
      </c>
      <c r="T38" s="3">
        <v>5.5583475726203639E-2</v>
      </c>
    </row>
    <row r="39" spans="1:20" x14ac:dyDescent="0.2">
      <c r="A39" s="3" t="s">
        <v>126</v>
      </c>
      <c r="B39" s="3">
        <v>3.1454102496097326E-3</v>
      </c>
      <c r="C39" s="3">
        <v>3.9275887868561784E-3</v>
      </c>
      <c r="D39" s="3">
        <v>4.1153092787772584E-3</v>
      </c>
      <c r="E39" s="3">
        <v>5.2370660078557198E-3</v>
      </c>
      <c r="F39" s="3">
        <v>7.1998722680806943E-3</v>
      </c>
      <c r="G39" s="3">
        <v>9.334237242947685E-3</v>
      </c>
      <c r="H39" s="3">
        <v>9.1194295113093196E-3</v>
      </c>
      <c r="I39" s="3">
        <v>8.1348546375767019E-3</v>
      </c>
      <c r="J39" s="3">
        <v>7.1170217679888664E-3</v>
      </c>
      <c r="K39" s="3">
        <v>7.7478797476558166E-3</v>
      </c>
      <c r="L39" s="3">
        <v>8.4867395109947674E-3</v>
      </c>
      <c r="M39" s="3">
        <v>9.0520606374004664E-3</v>
      </c>
      <c r="N39" s="3">
        <v>9.0991397138123226E-3</v>
      </c>
      <c r="O39" s="3">
        <v>1.140029315217856E-2</v>
      </c>
      <c r="P39" s="3">
        <v>1.3933316708178243E-2</v>
      </c>
      <c r="Q39" s="3">
        <v>1.6318720808135546E-2</v>
      </c>
      <c r="R39" s="3">
        <v>2.0833998939290346E-2</v>
      </c>
      <c r="S39" s="3">
        <v>2.3563801826605259E-2</v>
      </c>
      <c r="T39" s="3">
        <v>2.4369461184850442E-2</v>
      </c>
    </row>
    <row r="40" spans="1:20" x14ac:dyDescent="0.2">
      <c r="A40" s="2" t="s">
        <v>125</v>
      </c>
      <c r="B40" s="2">
        <v>0.53944475487357246</v>
      </c>
      <c r="C40" s="2">
        <v>0.52841621987265086</v>
      </c>
      <c r="D40" s="2">
        <v>0.76926212147453477</v>
      </c>
      <c r="E40" s="2">
        <v>0.67653479524887383</v>
      </c>
      <c r="F40" s="2">
        <v>0.76377127873696671</v>
      </c>
      <c r="G40" s="2">
        <v>0.62817835472029848</v>
      </c>
      <c r="H40" s="2">
        <v>0.76365232751572942</v>
      </c>
      <c r="I40" s="2">
        <v>0.56220887272732345</v>
      </c>
      <c r="J40" s="2">
        <v>0.57385623751320225</v>
      </c>
      <c r="K40" s="2">
        <v>0.6170291789374005</v>
      </c>
      <c r="L40" s="2">
        <v>0.49407601050352212</v>
      </c>
      <c r="M40" s="2">
        <v>0.69367274010927504</v>
      </c>
      <c r="N40" s="2">
        <v>0.83580596084730563</v>
      </c>
      <c r="O40" s="2">
        <v>0.87000632713498693</v>
      </c>
      <c r="P40" s="2">
        <v>0.86419117320376271</v>
      </c>
      <c r="Q40" s="2">
        <v>0.8146575804507491</v>
      </c>
      <c r="R40" s="2">
        <v>0.54877086688204524</v>
      </c>
      <c r="S40" s="2">
        <v>0.26737838023310834</v>
      </c>
      <c r="T40" s="2">
        <v>0.45711260356287153</v>
      </c>
    </row>
    <row r="41" spans="1:20" x14ac:dyDescent="0.2">
      <c r="A41" s="2" t="s">
        <v>124</v>
      </c>
      <c r="B41" s="2">
        <v>0.33404908410329703</v>
      </c>
      <c r="C41" s="2">
        <v>0.33340667268307311</v>
      </c>
      <c r="D41" s="2">
        <v>0.44195887009329538</v>
      </c>
      <c r="E41" s="2">
        <v>0.48130685426460185</v>
      </c>
      <c r="F41" s="2">
        <v>0.53510669862638316</v>
      </c>
      <c r="G41" s="2">
        <v>0.38587212829104661</v>
      </c>
      <c r="H41" s="2">
        <v>0.43902664466262808</v>
      </c>
      <c r="I41" s="2">
        <v>0.3128700326112524</v>
      </c>
      <c r="J41" s="2">
        <v>0.34364012781927039</v>
      </c>
      <c r="K41" s="2">
        <v>0.35139831958588441</v>
      </c>
      <c r="L41" s="2">
        <v>0.31036967442687569</v>
      </c>
      <c r="M41" s="2">
        <v>0.38330635065250024</v>
      </c>
      <c r="N41" s="2">
        <v>0.48633768021047791</v>
      </c>
      <c r="O41" s="2">
        <v>0.48926340626179771</v>
      </c>
      <c r="P41" s="2">
        <v>0.50107539321406269</v>
      </c>
      <c r="Q41" s="2">
        <v>0.44559549923856701</v>
      </c>
      <c r="R41" s="2">
        <v>0.29682913023572555</v>
      </c>
      <c r="S41" s="2">
        <v>0.17776146251459896</v>
      </c>
      <c r="T41" s="2">
        <v>0.26032767205248775</v>
      </c>
    </row>
    <row r="42" spans="1:20" x14ac:dyDescent="0.2">
      <c r="A42" s="2" t="s">
        <v>123</v>
      </c>
      <c r="B42" s="2">
        <v>1.8491765683858066</v>
      </c>
      <c r="C42" s="2">
        <v>1.4559241854891833</v>
      </c>
      <c r="D42" s="2">
        <v>1.7952174680175854</v>
      </c>
      <c r="E42" s="2">
        <v>2.4919741212379156</v>
      </c>
      <c r="F42" s="2">
        <v>2.0110006063046688</v>
      </c>
      <c r="G42" s="2">
        <v>1.5578618528743422</v>
      </c>
      <c r="H42" s="2">
        <v>1.6374275753073888</v>
      </c>
      <c r="I42" s="2">
        <v>1.1030124120523828</v>
      </c>
      <c r="J42" s="2">
        <v>1.2911701923598087</v>
      </c>
      <c r="K42" s="2">
        <v>1.4881654874895232</v>
      </c>
      <c r="L42" s="2">
        <v>1.1766027461780737</v>
      </c>
      <c r="M42" s="2">
        <v>1.4601613471060142</v>
      </c>
      <c r="N42" s="2">
        <v>1.8590207053574743</v>
      </c>
      <c r="O42" s="2">
        <v>1.8874839835461628</v>
      </c>
      <c r="P42" s="2">
        <v>1.986994051903066</v>
      </c>
      <c r="Q42" s="2">
        <v>2.1289601082335632</v>
      </c>
      <c r="R42" s="2">
        <v>1.0862491601156721</v>
      </c>
      <c r="S42" s="2">
        <v>0.7265489092430335</v>
      </c>
      <c r="T42" s="2">
        <v>1.0515631380129766</v>
      </c>
    </row>
    <row r="43" spans="1:20" x14ac:dyDescent="0.2">
      <c r="A43" s="3" t="s">
        <v>122</v>
      </c>
      <c r="B43" s="3">
        <v>0</v>
      </c>
      <c r="C43" s="3">
        <v>4.2935997136448503E-4</v>
      </c>
      <c r="D43" s="3">
        <v>2.2343153835621002E-4</v>
      </c>
      <c r="E43" s="3">
        <v>1.3357531786088847E-4</v>
      </c>
      <c r="F43" s="3">
        <v>4.9136489197846811E-6</v>
      </c>
      <c r="G43" s="3">
        <v>4.9281137540070795E-6</v>
      </c>
      <c r="H43" s="3">
        <v>2.6168581365689661E-6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8.8776728704849702E-6</v>
      </c>
      <c r="O43" s="3">
        <v>1.2235546908225307E-5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1:20" x14ac:dyDescent="0.2">
      <c r="A44" s="2" t="s">
        <v>121</v>
      </c>
      <c r="B44" s="2">
        <v>558.07102475779811</v>
      </c>
      <c r="C44" s="2">
        <v>405.65474817552683</v>
      </c>
      <c r="D44" s="2">
        <v>310.21985725655566</v>
      </c>
      <c r="E44" s="2">
        <v>310.5883584219344</v>
      </c>
      <c r="F44" s="2">
        <v>206.40461555208725</v>
      </c>
      <c r="G44" s="2">
        <v>177.08416076732178</v>
      </c>
      <c r="H44" s="2">
        <v>138.24972058008177</v>
      </c>
      <c r="I44" s="2">
        <v>142.02910229478235</v>
      </c>
      <c r="J44" s="2">
        <v>131.319538954569</v>
      </c>
      <c r="K44" s="2">
        <v>122.82362512398659</v>
      </c>
      <c r="L44" s="2">
        <v>110.00233824146476</v>
      </c>
      <c r="M44" s="2">
        <v>93.271798049978898</v>
      </c>
      <c r="N44" s="2">
        <v>71.655814535893001</v>
      </c>
      <c r="O44" s="2">
        <v>61.623811449675244</v>
      </c>
      <c r="P44" s="2">
        <v>53.004415371283976</v>
      </c>
      <c r="Q44" s="2">
        <v>55.774009557918326</v>
      </c>
      <c r="R44" s="2">
        <v>38.586371549968852</v>
      </c>
      <c r="S44" s="2">
        <v>39.746069769168976</v>
      </c>
      <c r="T44" s="2">
        <v>40.511014847439363</v>
      </c>
    </row>
    <row r="45" spans="1:20" x14ac:dyDescent="0.2">
      <c r="A45" s="3" t="s">
        <v>120</v>
      </c>
      <c r="B45" s="3">
        <v>0.24596764620427003</v>
      </c>
      <c r="C45" s="3">
        <v>0.19998949938806285</v>
      </c>
      <c r="D45" s="3">
        <v>0.17143950223022289</v>
      </c>
      <c r="E45" s="3">
        <v>0.2435462434079444</v>
      </c>
      <c r="F45" s="3">
        <v>0.18830994319988212</v>
      </c>
      <c r="G45" s="3">
        <v>0.22312681586003735</v>
      </c>
      <c r="H45" s="3">
        <v>0.18629738974082399</v>
      </c>
      <c r="I45" s="3">
        <v>0.18870269666538025</v>
      </c>
      <c r="J45" s="3">
        <v>0.19444275874231082</v>
      </c>
      <c r="K45" s="3">
        <v>0.19885961595323448</v>
      </c>
      <c r="L45" s="3">
        <v>0.18677430678564763</v>
      </c>
      <c r="M45" s="3">
        <v>0.19059778403510802</v>
      </c>
      <c r="N45" s="3">
        <v>0.16643833794371599</v>
      </c>
      <c r="O45" s="3">
        <v>0.18953822675534948</v>
      </c>
      <c r="P45" s="3">
        <v>0.19138589798490238</v>
      </c>
      <c r="Q45" s="3">
        <v>0.24188299238490507</v>
      </c>
      <c r="R45" s="3">
        <v>0.16686032472956863</v>
      </c>
      <c r="S45" s="3">
        <v>0.18451088688156719</v>
      </c>
      <c r="T45" s="3">
        <v>0.19324993650410902</v>
      </c>
    </row>
    <row r="46" spans="1:20" x14ac:dyDescent="0.2">
      <c r="A46" s="3" t="s">
        <v>119</v>
      </c>
      <c r="B46" s="3">
        <v>0.21723160001545685</v>
      </c>
      <c r="C46" s="3">
        <v>0.17378790689741846</v>
      </c>
      <c r="D46" s="3">
        <v>0.15219324235344206</v>
      </c>
      <c r="E46" s="3">
        <v>0.20105932215831093</v>
      </c>
      <c r="F46" s="3">
        <v>0.16016285607021585</v>
      </c>
      <c r="G46" s="3">
        <v>0.18675513717038017</v>
      </c>
      <c r="H46" s="3">
        <v>0.15772577706954144</v>
      </c>
      <c r="I46" s="3">
        <v>0.17513150201316519</v>
      </c>
      <c r="J46" s="3">
        <v>0.17445683481758906</v>
      </c>
      <c r="K46" s="3">
        <v>0.17722760475484642</v>
      </c>
      <c r="L46" s="3">
        <v>0.18429081411754111</v>
      </c>
      <c r="M46" s="3">
        <v>0.17167198342831047</v>
      </c>
      <c r="N46" s="3">
        <v>0.14702795941182614</v>
      </c>
      <c r="O46" s="3">
        <v>0.1678066794257185</v>
      </c>
      <c r="P46" s="3">
        <v>0.17458669407295624</v>
      </c>
      <c r="Q46" s="3">
        <v>0.22851485915732944</v>
      </c>
      <c r="R46" s="3">
        <v>0.15321455392119235</v>
      </c>
      <c r="S46" s="3">
        <v>0.18311288906349177</v>
      </c>
      <c r="T46" s="3">
        <v>0.19604075682613215</v>
      </c>
    </row>
    <row r="47" spans="1:20" x14ac:dyDescent="0.2">
      <c r="A47" s="2" t="s">
        <v>118</v>
      </c>
      <c r="B47" s="2">
        <v>36.698380489372788</v>
      </c>
      <c r="C47" s="2">
        <v>16.224214306971316</v>
      </c>
      <c r="D47" s="2">
        <v>-3.3368026492733702</v>
      </c>
      <c r="E47" s="2">
        <v>-6.7875384846190725</v>
      </c>
      <c r="F47" s="2">
        <v>-4.7582285720456081</v>
      </c>
      <c r="G47" s="2">
        <v>2.0555020790285372</v>
      </c>
      <c r="H47" s="2">
        <v>3.4832202613305321</v>
      </c>
      <c r="I47" s="2">
        <v>16.713696444093763</v>
      </c>
      <c r="J47" s="2">
        <v>11.110456152204479</v>
      </c>
      <c r="K47" s="2">
        <v>8.9155345968705433</v>
      </c>
      <c r="L47" s="2">
        <v>8.7092303024170032</v>
      </c>
      <c r="M47" s="2">
        <v>3.3744650303153505</v>
      </c>
      <c r="N47" s="2">
        <v>-4.2415300686391255</v>
      </c>
      <c r="O47" s="2">
        <v>-1.300306492080568</v>
      </c>
      <c r="P47" s="2">
        <v>1.7743378154791241</v>
      </c>
      <c r="Q47" s="2">
        <v>3.4318305237214539</v>
      </c>
      <c r="R47" s="2">
        <v>5.383382331231676</v>
      </c>
      <c r="S47" s="2">
        <v>5.9987963909470903</v>
      </c>
      <c r="T47" s="2">
        <v>5.0716166858056884</v>
      </c>
    </row>
    <row r="48" spans="1:20" x14ac:dyDescent="0.2">
      <c r="A48" s="1" t="s">
        <v>117</v>
      </c>
      <c r="B48" s="1">
        <v>2359112000000</v>
      </c>
      <c r="C48" s="1">
        <v>1779696200000</v>
      </c>
      <c r="D48" s="1">
        <v>1251227800000</v>
      </c>
      <c r="E48" s="1">
        <v>1066333100000</v>
      </c>
      <c r="F48" s="1">
        <v>848720100000</v>
      </c>
      <c r="G48" s="1">
        <v>460286900000</v>
      </c>
      <c r="H48" s="1">
        <v>224250100000</v>
      </c>
      <c r="I48" s="1">
        <v>594842600000</v>
      </c>
      <c r="J48" s="1">
        <v>470312900000</v>
      </c>
      <c r="K48" s="1">
        <v>469443100000</v>
      </c>
      <c r="L48" s="1">
        <v>506971900000</v>
      </c>
      <c r="M48" s="1">
        <v>401780400000</v>
      </c>
      <c r="N48" s="1">
        <v>154512700000</v>
      </c>
      <c r="O48" s="1">
        <v>92222200000</v>
      </c>
      <c r="P48" s="1">
        <v>99508900000</v>
      </c>
      <c r="Q48" s="1">
        <v>138328200000</v>
      </c>
      <c r="R48" s="1">
        <v>180670400000</v>
      </c>
      <c r="S48" s="1">
        <v>195811600000</v>
      </c>
      <c r="T48" s="1">
        <v>201141590000</v>
      </c>
    </row>
    <row r="49" spans="1:20" x14ac:dyDescent="0.2">
      <c r="A49" s="1" t="s">
        <v>116</v>
      </c>
      <c r="B49" s="1">
        <v>5435842385000</v>
      </c>
      <c r="C49" s="1">
        <v>4252989100000</v>
      </c>
      <c r="D49" s="1">
        <v>3431099800000</v>
      </c>
      <c r="E49" s="1">
        <v>2891833200000</v>
      </c>
      <c r="F49" s="1">
        <v>2124860800000</v>
      </c>
      <c r="G49" s="1">
        <v>1809995700000</v>
      </c>
      <c r="H49" s="1">
        <v>1593734300000</v>
      </c>
      <c r="I49" s="1">
        <v>1644103000000</v>
      </c>
      <c r="J49" s="1">
        <v>1480271300000</v>
      </c>
      <c r="K49" s="1">
        <v>1345231000000</v>
      </c>
      <c r="L49" s="1">
        <v>1180904200000</v>
      </c>
      <c r="M49" s="1">
        <v>1008829200000</v>
      </c>
      <c r="N49" s="1">
        <v>822622600000</v>
      </c>
      <c r="O49" s="1">
        <v>702634700000</v>
      </c>
      <c r="P49" s="1">
        <v>616397000000</v>
      </c>
      <c r="Q49" s="1">
        <v>566972400000</v>
      </c>
      <c r="R49" s="1">
        <v>486658600000</v>
      </c>
      <c r="S49" s="1">
        <v>467202300000</v>
      </c>
      <c r="T49" s="1">
        <v>476811295000</v>
      </c>
    </row>
    <row r="50" spans="1:20" x14ac:dyDescent="0.2">
      <c r="A50" s="1" t="s">
        <v>115</v>
      </c>
      <c r="B50" s="1">
        <v>1344902000000</v>
      </c>
      <c r="C50" s="1">
        <v>675859000000</v>
      </c>
      <c r="D50" s="1">
        <v>115702800000</v>
      </c>
      <c r="E50" s="1">
        <v>6270000000</v>
      </c>
      <c r="F50" s="1">
        <v>33453200000</v>
      </c>
      <c r="G50" s="1">
        <v>167348600000</v>
      </c>
      <c r="H50" s="1">
        <v>172276200000</v>
      </c>
      <c r="I50" s="1">
        <v>522753600000</v>
      </c>
      <c r="J50" s="1">
        <v>359917600000</v>
      </c>
      <c r="K50" s="1">
        <v>291278200000</v>
      </c>
      <c r="L50" s="1">
        <v>284316700000</v>
      </c>
      <c r="M50" s="1">
        <v>154073300000</v>
      </c>
      <c r="N50" s="1">
        <v>-70201000000</v>
      </c>
      <c r="O50" s="1">
        <v>2576000000</v>
      </c>
      <c r="P50" s="1">
        <v>72109200000</v>
      </c>
      <c r="Q50" s="1">
        <v>121294800000</v>
      </c>
      <c r="R50" s="1">
        <v>164156000000</v>
      </c>
      <c r="S50" s="1">
        <v>174074300000</v>
      </c>
      <c r="T50" s="1">
        <v>169650380000</v>
      </c>
    </row>
    <row r="51" spans="1:20" x14ac:dyDescent="0.2">
      <c r="A51" s="1" t="s">
        <v>114</v>
      </c>
      <c r="B51" s="1">
        <v>276939450000</v>
      </c>
      <c r="C51" s="1">
        <v>237049050000</v>
      </c>
      <c r="D51" s="1">
        <v>216709550000</v>
      </c>
      <c r="E51" s="1">
        <v>214885900000</v>
      </c>
      <c r="F51" s="1">
        <v>172225950000</v>
      </c>
      <c r="G51" s="1">
        <v>142955650000</v>
      </c>
      <c r="H51" s="1">
        <v>134542550000</v>
      </c>
      <c r="I51" s="1">
        <v>125875600000</v>
      </c>
      <c r="J51" s="1">
        <v>125970000000</v>
      </c>
      <c r="K51" s="1">
        <v>107571000000</v>
      </c>
      <c r="L51" s="1">
        <v>100458350000</v>
      </c>
      <c r="M51" s="1">
        <v>93694750000</v>
      </c>
      <c r="N51" s="1">
        <v>65240100000</v>
      </c>
      <c r="O51" s="1">
        <v>52227650000</v>
      </c>
      <c r="P51" s="1">
        <v>44622600000</v>
      </c>
      <c r="Q51" s="1">
        <v>39305250000</v>
      </c>
      <c r="R51" s="1">
        <v>27050250000</v>
      </c>
      <c r="S51" s="1">
        <v>30638528500</v>
      </c>
      <c r="T51" s="1">
        <v>40730921500</v>
      </c>
    </row>
    <row r="52" spans="1:20" x14ac:dyDescent="0.2">
      <c r="A52" s="1" t="s">
        <v>113</v>
      </c>
      <c r="B52" s="1">
        <v>174882900000</v>
      </c>
      <c r="C52" s="1">
        <v>246323600000</v>
      </c>
      <c r="D52" s="1">
        <v>247795350000</v>
      </c>
      <c r="E52" s="1">
        <v>230703550000</v>
      </c>
      <c r="F52" s="1">
        <v>194910050000</v>
      </c>
      <c r="G52" s="1">
        <v>188187050000</v>
      </c>
      <c r="H52" s="1">
        <v>127848200000</v>
      </c>
      <c r="I52" s="1">
        <v>80125600000</v>
      </c>
      <c r="J52" s="1">
        <v>86676700000</v>
      </c>
      <c r="K52" s="1">
        <v>66902150000</v>
      </c>
      <c r="L52" s="1">
        <v>46723400000</v>
      </c>
      <c r="M52" s="1">
        <v>76669900000</v>
      </c>
      <c r="N52" s="1">
        <v>81901350000</v>
      </c>
      <c r="O52" s="1">
        <v>52696600000</v>
      </c>
      <c r="P52" s="1">
        <v>29087600000</v>
      </c>
      <c r="Q52" s="1">
        <v>25967200000</v>
      </c>
      <c r="R52" s="1">
        <v>22691700000</v>
      </c>
      <c r="S52" s="1">
        <v>8565664000</v>
      </c>
      <c r="T52" s="1">
        <v>10128697500</v>
      </c>
    </row>
    <row r="53" spans="1:20" x14ac:dyDescent="0.2">
      <c r="A53" s="1" t="s">
        <v>112</v>
      </c>
      <c r="B53" s="1">
        <v>287989400000</v>
      </c>
      <c r="C53" s="1">
        <v>269432950000</v>
      </c>
      <c r="D53" s="1">
        <v>236073100000</v>
      </c>
      <c r="E53" s="1">
        <v>207125700000</v>
      </c>
      <c r="F53" s="1">
        <v>165227850000</v>
      </c>
      <c r="G53" s="1">
        <v>110167300000</v>
      </c>
      <c r="H53" s="1">
        <v>93106100000</v>
      </c>
      <c r="I53" s="1">
        <v>88555850000</v>
      </c>
      <c r="J53" s="1">
        <v>61281450000</v>
      </c>
      <c r="K53" s="1">
        <v>57867250000</v>
      </c>
      <c r="L53" s="1">
        <v>66695150000</v>
      </c>
      <c r="M53" s="1">
        <v>51916450000</v>
      </c>
      <c r="N53" s="1">
        <v>37662700000</v>
      </c>
      <c r="O53" s="1">
        <v>31335550000</v>
      </c>
      <c r="P53" s="1">
        <v>26623250000</v>
      </c>
      <c r="Q53" s="1">
        <v>24659850000</v>
      </c>
      <c r="R53" s="1">
        <v>17895200000</v>
      </c>
      <c r="S53" s="1">
        <v>19373176500</v>
      </c>
      <c r="T53" s="1">
        <v>21964058000</v>
      </c>
    </row>
    <row r="54" spans="1:20" x14ac:dyDescent="0.2">
      <c r="A54" s="2" t="s">
        <v>111</v>
      </c>
      <c r="B54" s="2">
        <v>27.002430262212087</v>
      </c>
      <c r="C54" s="2">
        <v>34.312893962909264</v>
      </c>
      <c r="D54" s="2">
        <v>34.108569686585227</v>
      </c>
      <c r="E54" s="2">
        <v>37.309321565041571</v>
      </c>
      <c r="F54" s="2">
        <v>45.610289999779518</v>
      </c>
      <c r="G54" s="2">
        <v>39.815041170656997</v>
      </c>
      <c r="H54" s="2">
        <v>47.697042875538301</v>
      </c>
      <c r="I54" s="2">
        <v>45.746237644248602</v>
      </c>
      <c r="J54" s="2">
        <v>45.740042433182268</v>
      </c>
      <c r="K54" s="2">
        <v>49.846371361307597</v>
      </c>
      <c r="L54" s="2">
        <v>37.079469480298158</v>
      </c>
      <c r="M54" s="2">
        <v>55.133285048536052</v>
      </c>
      <c r="N54" s="2">
        <v>44.11963551960266</v>
      </c>
      <c r="O54" s="2">
        <v>42.006813226152573</v>
      </c>
      <c r="P54" s="2">
        <v>39.438452473568326</v>
      </c>
      <c r="Q54" s="2">
        <v>37.503211271258209</v>
      </c>
      <c r="R54" s="2">
        <v>43.817940084303153</v>
      </c>
      <c r="S54" s="2">
        <v>20.374340740135978</v>
      </c>
      <c r="T54" s="2">
        <v>48.280229530747945</v>
      </c>
    </row>
    <row r="55" spans="1:20" x14ac:dyDescent="0.2">
      <c r="A55" s="2" t="s">
        <v>110</v>
      </c>
      <c r="B55" s="2">
        <v>20.147438079279468</v>
      </c>
      <c r="C55" s="2">
        <v>76.289430168336807</v>
      </c>
      <c r="D55" s="2">
        <v>84.056415558089455</v>
      </c>
      <c r="E55" s="2">
        <v>106.99567357500219</v>
      </c>
      <c r="F55" s="2">
        <v>91.753083856973575</v>
      </c>
      <c r="G55" s="2">
        <v>114.35498317451932</v>
      </c>
      <c r="H55" s="2">
        <v>113.5444837761689</v>
      </c>
      <c r="I55" s="2">
        <v>52.075876192038237</v>
      </c>
      <c r="J55" s="2">
        <v>63.632051721429988</v>
      </c>
      <c r="K55" s="2">
        <v>68.834724826037871</v>
      </c>
      <c r="L55" s="2">
        <v>37.575100850207889</v>
      </c>
      <c r="M55" s="2">
        <v>46.307562975022911</v>
      </c>
      <c r="N55" s="2">
        <v>120.81827542235283</v>
      </c>
      <c r="O55" s="2">
        <v>82.457050372725803</v>
      </c>
      <c r="P55" s="2">
        <v>72.190704455360105</v>
      </c>
      <c r="Q55" s="2">
        <v>20.792279711959896</v>
      </c>
      <c r="R55" s="2">
        <v>87.360786618401377</v>
      </c>
      <c r="S55" s="2">
        <v>10.589510057306875</v>
      </c>
      <c r="T55" s="2">
        <v>23.440367762047142</v>
      </c>
    </row>
    <row r="56" spans="1:20" x14ac:dyDescent="0.2">
      <c r="A56" s="2" t="s">
        <v>109</v>
      </c>
      <c r="B56" s="2">
        <v>68.832899146462793</v>
      </c>
      <c r="C56" s="2">
        <v>82.736943227864941</v>
      </c>
      <c r="D56" s="2">
        <v>92.855889015583429</v>
      </c>
      <c r="E56" s="2">
        <v>88.166251700505654</v>
      </c>
      <c r="F56" s="2">
        <v>91.788496397277839</v>
      </c>
      <c r="G56" s="2">
        <v>79.815347175489194</v>
      </c>
      <c r="H56" s="2">
        <v>52.466661527654956</v>
      </c>
      <c r="I56" s="2">
        <v>70.628299632137583</v>
      </c>
      <c r="J56" s="2">
        <v>55.875570484372467</v>
      </c>
      <c r="K56" s="2">
        <v>37.560480099332651</v>
      </c>
      <c r="L56" s="2">
        <v>56.506799769854659</v>
      </c>
      <c r="M56" s="2">
        <v>62.873416373895452</v>
      </c>
      <c r="N56" s="2">
        <v>43.35803480203078</v>
      </c>
      <c r="O56" s="2">
        <v>52.583879966107183</v>
      </c>
      <c r="P56" s="2">
        <v>38.923843916863504</v>
      </c>
      <c r="Q56" s="2">
        <v>48.794915671416668</v>
      </c>
      <c r="R56" s="2">
        <v>45.870872332549744</v>
      </c>
      <c r="S56" s="2">
        <v>28.368491197603447</v>
      </c>
      <c r="T56" s="2">
        <v>48.325237785350794</v>
      </c>
    </row>
    <row r="57" spans="1:20" x14ac:dyDescent="0.2">
      <c r="A57" s="2" t="s">
        <v>108</v>
      </c>
      <c r="B57" s="2">
        <v>13.51730183007974</v>
      </c>
      <c r="C57" s="2">
        <v>10.637400634133307</v>
      </c>
      <c r="D57" s="2">
        <v>10.701123012600354</v>
      </c>
      <c r="E57" s="2">
        <v>9.7830779196478606</v>
      </c>
      <c r="F57" s="2">
        <v>8.0025801195687301</v>
      </c>
      <c r="G57" s="2">
        <v>9.1673897418696821</v>
      </c>
      <c r="H57" s="2">
        <v>7.6524660229448376</v>
      </c>
      <c r="I57" s="2">
        <v>7.9787982312003143</v>
      </c>
      <c r="J57" s="2">
        <v>7.9798789109825909</v>
      </c>
      <c r="K57" s="2">
        <v>7.3224989107898244</v>
      </c>
      <c r="L57" s="2">
        <v>9.8437222839431247</v>
      </c>
      <c r="M57" s="2">
        <v>6.6203201873183462</v>
      </c>
      <c r="N57" s="2">
        <v>8.2729604562990549</v>
      </c>
      <c r="O57" s="2">
        <v>8.6890666529485401</v>
      </c>
      <c r="P57" s="2">
        <v>9.2549270345894836</v>
      </c>
      <c r="Q57" s="2">
        <v>9.7324999014078948</v>
      </c>
      <c r="R57" s="2">
        <v>8.3299214727520585</v>
      </c>
      <c r="S57" s="2">
        <v>17.91469008275573</v>
      </c>
      <c r="T57" s="2">
        <v>7.5600303384544718</v>
      </c>
    </row>
    <row r="58" spans="1:20" x14ac:dyDescent="0.2">
      <c r="A58" s="2" t="s">
        <v>107</v>
      </c>
      <c r="B58" s="2">
        <v>18.116447290406736</v>
      </c>
      <c r="C58" s="2">
        <v>4.7844111457459766</v>
      </c>
      <c r="D58" s="2">
        <v>4.3423217320961891</v>
      </c>
      <c r="E58" s="2">
        <v>3.4113528874991474</v>
      </c>
      <c r="F58" s="2">
        <v>3.9780679259671405</v>
      </c>
      <c r="G58" s="2">
        <v>3.1918154318029721</v>
      </c>
      <c r="H58" s="2">
        <v>3.2145991408928967</v>
      </c>
      <c r="I58" s="2">
        <v>7.0090035288893331</v>
      </c>
      <c r="J58" s="2">
        <v>5.736102956382835</v>
      </c>
      <c r="K58" s="2">
        <v>5.3025562450121502</v>
      </c>
      <c r="L58" s="2">
        <v>9.7138794505186432</v>
      </c>
      <c r="M58" s="2">
        <v>7.8820818145163765</v>
      </c>
      <c r="N58" s="2">
        <v>3.021066131957638</v>
      </c>
      <c r="O58" s="2">
        <v>4.4265468913829897</v>
      </c>
      <c r="P58" s="2">
        <v>5.0560526144429252</v>
      </c>
      <c r="Q58" s="2">
        <v>17.554592620743215</v>
      </c>
      <c r="R58" s="2">
        <v>4.1780759323327521</v>
      </c>
      <c r="S58" s="2">
        <v>34.468072462724194</v>
      </c>
      <c r="T58" s="2">
        <v>15.571428046917429</v>
      </c>
    </row>
    <row r="59" spans="1:20" x14ac:dyDescent="0.2">
      <c r="A59" s="2" t="s">
        <v>106</v>
      </c>
      <c r="B59" s="2">
        <v>5.3026968866058102</v>
      </c>
      <c r="C59" s="2">
        <v>4.4115722162318391</v>
      </c>
      <c r="D59" s="2">
        <v>3.930822308305554</v>
      </c>
      <c r="E59" s="2">
        <v>4.1399060633753431</v>
      </c>
      <c r="F59" s="2">
        <v>3.9765331640275647</v>
      </c>
      <c r="G59" s="2">
        <v>4.5730553448258284</v>
      </c>
      <c r="H59" s="2">
        <v>6.9567986483685464</v>
      </c>
      <c r="I59" s="2">
        <v>5.1679001462738903</v>
      </c>
      <c r="J59" s="2">
        <v>6.5323717831585242</v>
      </c>
      <c r="K59" s="2">
        <v>9.7176606644728469</v>
      </c>
      <c r="L59" s="2">
        <v>6.4593996029964673</v>
      </c>
      <c r="M59" s="2">
        <v>5.8053152039555007</v>
      </c>
      <c r="N59" s="2">
        <v>8.4182782191711407</v>
      </c>
      <c r="O59" s="2">
        <v>6.9412907574576073</v>
      </c>
      <c r="P59" s="2">
        <v>9.3772855728122515</v>
      </c>
      <c r="Q59" s="2">
        <v>7.4802875458971556</v>
      </c>
      <c r="R59" s="2">
        <v>7.9571192227141889</v>
      </c>
      <c r="S59" s="2">
        <v>12.866387481010445</v>
      </c>
      <c r="T59" s="2">
        <v>7.5529892190338126</v>
      </c>
    </row>
    <row r="60" spans="1:20" x14ac:dyDescent="0.2">
      <c r="A60" s="3" t="s">
        <v>105</v>
      </c>
      <c r="B60" s="3">
        <v>0.31697621003484394</v>
      </c>
      <c r="C60" s="3">
        <v>0.27292824331365623</v>
      </c>
      <c r="D60" s="3">
        <v>0.24449410215253295</v>
      </c>
      <c r="E60" s="3">
        <v>0.34203123044600764</v>
      </c>
      <c r="F60" s="3">
        <v>0.27561079400452193</v>
      </c>
      <c r="G60" s="3">
        <v>0.27836323004986946</v>
      </c>
      <c r="H60" s="3">
        <v>0.21933864516551221</v>
      </c>
      <c r="I60" s="3">
        <v>0.21864996559924763</v>
      </c>
      <c r="J60" s="3">
        <v>0.23096169980079623</v>
      </c>
      <c r="K60" s="3">
        <v>0.24407750203873924</v>
      </c>
      <c r="L60" s="3">
        <v>0.2536423341323511</v>
      </c>
      <c r="M60" s="3">
        <v>0.24877036410956987</v>
      </c>
      <c r="N60" s="3">
        <v>0.22063730450084146</v>
      </c>
      <c r="O60" s="3">
        <v>0.22428880287225489</v>
      </c>
      <c r="P60" s="3">
        <v>0.21478325026967682</v>
      </c>
      <c r="Q60" s="3">
        <v>0.28147075764323604</v>
      </c>
      <c r="R60" s="3">
        <v>0.18020787234132801</v>
      </c>
      <c r="S60" s="3">
        <v>0.2097775060975853</v>
      </c>
      <c r="T60" s="3">
        <v>0.22416777611419469</v>
      </c>
    </row>
    <row r="61" spans="1:20" x14ac:dyDescent="0.2">
      <c r="A61" s="2" t="s">
        <v>104</v>
      </c>
      <c r="B61" s="2">
        <v>49.062015177475409</v>
      </c>
      <c r="C61" s="2">
        <v>37.218378778161735</v>
      </c>
      <c r="D61" s="2">
        <v>36.846395281493777</v>
      </c>
      <c r="E61" s="2">
        <v>42.023156141784604</v>
      </c>
      <c r="F61" s="2">
        <v>32.758347544463291</v>
      </c>
      <c r="G61" s="2">
        <v>19.929561387067988</v>
      </c>
      <c r="H61" s="2">
        <v>18.115897260279255</v>
      </c>
      <c r="I61" s="2">
        <v>12.444175519217227</v>
      </c>
      <c r="J61" s="2">
        <v>12.953473878901891</v>
      </c>
      <c r="K61" s="2">
        <v>12.845692967091111</v>
      </c>
      <c r="L61" s="2">
        <v>10.096328278343842</v>
      </c>
      <c r="M61" s="2">
        <v>11.27681057621631</v>
      </c>
      <c r="N61" s="2">
        <v>11.198229173359939</v>
      </c>
      <c r="O61" s="2">
        <v>9.5645320242655156</v>
      </c>
      <c r="P61" s="2">
        <v>8.2566131240797471</v>
      </c>
      <c r="Q61" s="2">
        <v>7.2162978591075557</v>
      </c>
      <c r="R61" s="2">
        <v>3.3978004630938106</v>
      </c>
      <c r="S61" s="2">
        <v>2.2743644905028906</v>
      </c>
      <c r="T61" s="2">
        <v>3.1104634665007125</v>
      </c>
    </row>
  </sheetData>
  <mergeCells count="1">
    <mergeCell ref="B4:T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5A5F8-197E-5048-9D24-7D8571EE8E30}">
  <dimension ref="A1:T40"/>
  <sheetViews>
    <sheetView workbookViewId="0"/>
  </sheetViews>
  <sheetFormatPr baseColWidth="10" defaultRowHeight="16" x14ac:dyDescent="0.2"/>
  <cols>
    <col min="1" max="1" width="38.1640625" bestFit="1" customWidth="1"/>
    <col min="2" max="2" width="10.5" bestFit="1" customWidth="1"/>
    <col min="3" max="13" width="8.5" bestFit="1" customWidth="1"/>
    <col min="14" max="15" width="10.1640625" bestFit="1" customWidth="1"/>
    <col min="16" max="16" width="11.1640625" bestFit="1" customWidth="1"/>
    <col min="17" max="18" width="8.5" bestFit="1" customWidth="1"/>
    <col min="19" max="20" width="10.1640625" bestFit="1" customWidth="1"/>
  </cols>
  <sheetData>
    <row r="1" spans="1:20" x14ac:dyDescent="0.2">
      <c r="A1" s="10" t="s">
        <v>160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x14ac:dyDescent="0.2">
      <c r="A2" t="s">
        <v>1</v>
      </c>
      <c r="B2" t="s">
        <v>2</v>
      </c>
    </row>
    <row r="3" spans="1:20" x14ac:dyDescent="0.2">
      <c r="A3" t="s">
        <v>3</v>
      </c>
      <c r="B3" t="str">
        <f>'TSM - Income Statement FY'!B3</f>
        <v>TWD</v>
      </c>
    </row>
    <row r="4" spans="1:20" x14ac:dyDescent="0.2">
      <c r="A4" t="s">
        <v>32</v>
      </c>
      <c r="B4" s="8" t="s">
        <v>33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2">
      <c r="A5" t="s">
        <v>34</v>
      </c>
      <c r="B5" s="9">
        <v>46022</v>
      </c>
      <c r="C5" s="9">
        <v>45657</v>
      </c>
      <c r="D5" s="9">
        <v>45291</v>
      </c>
      <c r="E5" s="9">
        <v>44926</v>
      </c>
      <c r="F5" s="9">
        <v>44561</v>
      </c>
      <c r="G5" s="9">
        <v>44196</v>
      </c>
      <c r="H5" s="9">
        <v>43830</v>
      </c>
      <c r="I5" s="9">
        <v>43465</v>
      </c>
      <c r="J5" s="9">
        <v>43100</v>
      </c>
      <c r="K5" s="9">
        <v>42735</v>
      </c>
      <c r="L5" s="9">
        <v>42369</v>
      </c>
      <c r="M5" s="9">
        <v>42004</v>
      </c>
      <c r="N5" s="9">
        <v>41639</v>
      </c>
      <c r="O5" s="9">
        <v>41274</v>
      </c>
      <c r="P5" s="9">
        <v>40908</v>
      </c>
      <c r="Q5" s="9">
        <v>40543</v>
      </c>
      <c r="R5" s="9">
        <v>40178</v>
      </c>
      <c r="S5" s="9">
        <v>39813</v>
      </c>
      <c r="T5" s="9">
        <v>39447</v>
      </c>
    </row>
    <row r="7" spans="1:20" x14ac:dyDescent="0.2">
      <c r="A7" s="3" t="s">
        <v>194</v>
      </c>
      <c r="B7" s="3">
        <v>0.32968258699488789</v>
      </c>
      <c r="C7" s="3">
        <v>0.33888134351280635</v>
      </c>
      <c r="D7" s="3">
        <v>-4.512376543873816E-2</v>
      </c>
      <c r="E7" s="3">
        <v>0.42614962060960743</v>
      </c>
      <c r="F7" s="3">
        <v>0.18529722648744659</v>
      </c>
      <c r="G7" s="3">
        <v>0.25165707868537274</v>
      </c>
      <c r="H7" s="3">
        <v>3.7449127939390425E-2</v>
      </c>
      <c r="I7" s="3">
        <v>5.5163546176522284E-2</v>
      </c>
      <c r="J7" s="3">
        <v>3.1156359701963014E-2</v>
      </c>
      <c r="K7" s="3">
        <v>0.12376425956936027</v>
      </c>
      <c r="L7" s="3">
        <v>0.10576009228732294</v>
      </c>
      <c r="M7" s="3">
        <v>0.27777350644460425</v>
      </c>
      <c r="N7" s="3">
        <v>0.17817127121214604</v>
      </c>
      <c r="O7" s="3">
        <v>0.18668025271740529</v>
      </c>
      <c r="P7" s="3">
        <v>1.7802205712523229E-2</v>
      </c>
      <c r="Q7" s="3">
        <v>0.41859328834369935</v>
      </c>
      <c r="R7" s="3">
        <v>-0.1123056738595566</v>
      </c>
      <c r="S7" s="3">
        <v>3.2524363897098153E-2</v>
      </c>
      <c r="T7" s="3">
        <v>1.6758602198087728E-2</v>
      </c>
    </row>
    <row r="8" spans="1:20" x14ac:dyDescent="0.2">
      <c r="A8" s="3" t="s">
        <v>193</v>
      </c>
      <c r="B8" s="3">
        <v>0.41897966884065913</v>
      </c>
      <c r="C8" s="3">
        <v>0.38229835309175048</v>
      </c>
      <c r="D8" s="3">
        <v>-0.12848532151923217</v>
      </c>
      <c r="E8" s="3">
        <v>0.6452634919728486</v>
      </c>
      <c r="F8" s="3">
        <v>0.1524435542807146</v>
      </c>
      <c r="G8" s="3">
        <v>0.44332729384644143</v>
      </c>
      <c r="H8" s="3">
        <v>-1.0388967657097384E-2</v>
      </c>
      <c r="I8" s="3">
        <v>6.1595339294750646E-3</v>
      </c>
      <c r="J8" s="3">
        <v>4.2108147279849024E-2</v>
      </c>
      <c r="K8" s="3">
        <v>0.15701267242843417</v>
      </c>
      <c r="L8" s="3">
        <v>8.6499859685165284E-2</v>
      </c>
      <c r="M8" s="3">
        <v>0.34248267704669594</v>
      </c>
      <c r="N8" s="3">
        <v>0.15251437976338622</v>
      </c>
      <c r="O8" s="3">
        <v>0.25794201243680087</v>
      </c>
      <c r="P8" s="3">
        <v>-6.2710332010648448E-2</v>
      </c>
      <c r="Q8" s="3">
        <v>0.60098848978493546</v>
      </c>
      <c r="R8" s="3">
        <v>-8.7626349562891184E-2</v>
      </c>
      <c r="S8" s="3">
        <v>-4.3946879969590227E-3</v>
      </c>
      <c r="T8" s="3">
        <v>-8.5909040501044212E-2</v>
      </c>
    </row>
    <row r="9" spans="1:20" x14ac:dyDescent="0.2">
      <c r="A9" s="3" t="s">
        <v>192</v>
      </c>
      <c r="B9" s="3">
        <v>0.55610863331500326</v>
      </c>
      <c r="C9" s="3">
        <v>0.33363441462000154</v>
      </c>
      <c r="D9" s="3">
        <v>-0.14232837888041949</v>
      </c>
      <c r="E9" s="3">
        <v>0.72910741892215758</v>
      </c>
      <c r="F9" s="3">
        <v>0.13909088833214786</v>
      </c>
      <c r="G9" s="3">
        <v>0.49277128968006656</v>
      </c>
      <c r="H9" s="3">
        <v>-1.8675502871608508E-2</v>
      </c>
      <c r="I9" s="3">
        <v>2.7587522359635557E-3</v>
      </c>
      <c r="J9" s="3">
        <v>2.6371189313815713E-2</v>
      </c>
      <c r="K9" s="3">
        <v>0.10054602071604463</v>
      </c>
      <c r="L9" s="3">
        <v>0.15839026457716063</v>
      </c>
      <c r="M9" s="3">
        <v>0.39660662472559366</v>
      </c>
      <c r="N9" s="3">
        <v>0.19666490220947627</v>
      </c>
      <c r="O9" s="3">
        <v>0.25317819864118801</v>
      </c>
      <c r="P9" s="3">
        <v>-0.14599890565555801</v>
      </c>
      <c r="Q9" s="3">
        <v>0.78078767627049861</v>
      </c>
      <c r="R9" s="3">
        <v>-0.14482563575501931</v>
      </c>
      <c r="S9" s="3">
        <v>2.9300175012930865E-3</v>
      </c>
      <c r="T9" s="3">
        <v>-0.12146664344763257</v>
      </c>
    </row>
    <row r="10" spans="1:20" x14ac:dyDescent="0.2">
      <c r="A10" s="3" t="s">
        <v>191</v>
      </c>
      <c r="B10" s="3">
        <v>0.47928700059679907</v>
      </c>
      <c r="C10" s="3">
        <v>0.43472792267972993</v>
      </c>
      <c r="D10" s="3">
        <v>-0.17820089185661123</v>
      </c>
      <c r="E10" s="3">
        <v>0.72509515279602832</v>
      </c>
      <c r="F10" s="3">
        <v>0.14678827213979512</v>
      </c>
      <c r="G10" s="3">
        <v>0.52074598116292115</v>
      </c>
      <c r="H10" s="3">
        <v>-2.8471665578360034E-2</v>
      </c>
      <c r="I10" s="3">
        <v>-5.0205000944083299E-3</v>
      </c>
      <c r="J10" s="3">
        <v>2.0111769091681664E-2</v>
      </c>
      <c r="K10" s="3">
        <v>0.18094172183030161</v>
      </c>
      <c r="L10" s="3">
        <v>8.1716549447511291E-2</v>
      </c>
      <c r="M10" s="3">
        <v>0.40844408667822796</v>
      </c>
      <c r="N10" s="3">
        <v>0.15956317574150444</v>
      </c>
      <c r="O10" s="3">
        <v>0.2797783796537659</v>
      </c>
      <c r="P10" s="3">
        <v>-0.11068237345869616</v>
      </c>
      <c r="Q10" s="3">
        <v>0.73088311572509923</v>
      </c>
      <c r="R10" s="3">
        <v>-0.11943747043626969</v>
      </c>
      <c r="S10" s="3">
        <v>-5.496605315510774E-2</v>
      </c>
      <c r="T10" s="3">
        <v>-0.13151572170913925</v>
      </c>
    </row>
    <row r="11" spans="1:20" x14ac:dyDescent="0.2">
      <c r="A11" s="3" t="s">
        <v>190</v>
      </c>
      <c r="B11" s="3">
        <v>0.49836649486930112</v>
      </c>
      <c r="C11" s="3">
        <v>0.36001620212740976</v>
      </c>
      <c r="D11" s="3">
        <v>-0.14218961905822744</v>
      </c>
      <c r="E11" s="3">
        <v>0.67621841612319011</v>
      </c>
      <c r="F11" s="3">
        <v>0.15979668875209499</v>
      </c>
      <c r="G11" s="3">
        <v>0.44299162588854862</v>
      </c>
      <c r="H11" s="3">
        <v>-2.507817735551891E-2</v>
      </c>
      <c r="I11" s="3">
        <v>5.2331852069995709E-2</v>
      </c>
      <c r="J11" s="3">
        <v>4.0048391127650136E-2</v>
      </c>
      <c r="K11" s="3">
        <v>9.5303662627385294E-2</v>
      </c>
      <c r="L11" s="3">
        <v>0.1909132234427337</v>
      </c>
      <c r="M11" s="3">
        <v>0.3822410989163898</v>
      </c>
      <c r="N11" s="3">
        <v>0.15360344317309671</v>
      </c>
      <c r="O11" s="3">
        <v>0.18837000833822026</v>
      </c>
      <c r="P11" s="3">
        <v>-0.16957210482348936</v>
      </c>
      <c r="Q11" s="3">
        <v>0.81135378814541492</v>
      </c>
      <c r="R11" s="3">
        <v>-0.10722562671864806</v>
      </c>
      <c r="S11" s="3">
        <v>-8.4840985796075158E-2</v>
      </c>
      <c r="T11" s="3">
        <v>-0.14006524526138125</v>
      </c>
    </row>
    <row r="12" spans="1:20" x14ac:dyDescent="0.2">
      <c r="A12" s="3" t="s">
        <v>189</v>
      </c>
      <c r="B12" s="3">
        <v>0.44302426343154255</v>
      </c>
      <c r="C12" s="3">
        <v>0.4456623864704039</v>
      </c>
      <c r="D12" s="3">
        <v>-0.19612286002014098</v>
      </c>
      <c r="E12" s="3">
        <v>0.74286967968407203</v>
      </c>
      <c r="F12" s="3">
        <v>0.19632545931758522</v>
      </c>
      <c r="G12" s="3">
        <v>0.4497716894977169</v>
      </c>
      <c r="H12" s="3">
        <v>-4.9204052098408085E-2</v>
      </c>
      <c r="I12" s="3">
        <v>5.4961832061068749E-2</v>
      </c>
      <c r="J12" s="3">
        <v>1.3147718484145393E-2</v>
      </c>
      <c r="K12" s="3">
        <v>5.5510204081632632E-2</v>
      </c>
      <c r="L12" s="3">
        <v>0.18701550387596896</v>
      </c>
      <c r="M12" s="3">
        <v>0.44740532959326795</v>
      </c>
      <c r="N12" s="3">
        <v>0.11930926216640499</v>
      </c>
      <c r="O12" s="3">
        <v>0.20415879017013233</v>
      </c>
      <c r="P12" s="3">
        <v>-8.4775086505190347E-2</v>
      </c>
      <c r="Q12" s="3">
        <v>0.73053892215568872</v>
      </c>
      <c r="R12" s="3">
        <v>-0.15869017632241822</v>
      </c>
      <c r="S12" s="3">
        <v>-1.4888337468982642E-2</v>
      </c>
      <c r="T12" s="3">
        <v>-0.16563146997929604</v>
      </c>
    </row>
    <row r="13" spans="1:20" x14ac:dyDescent="0.2">
      <c r="A13" s="3" t="s">
        <v>188</v>
      </c>
      <c r="B13" s="3">
        <v>0.44302426343154255</v>
      </c>
      <c r="C13" s="3">
        <v>0.4456623864704039</v>
      </c>
      <c r="D13" s="3">
        <v>-0.19612286002014098</v>
      </c>
      <c r="E13" s="3">
        <v>0.74286967968407203</v>
      </c>
      <c r="F13" s="3">
        <v>0.19632545931758522</v>
      </c>
      <c r="G13" s="3">
        <v>0.4497716894977169</v>
      </c>
      <c r="H13" s="3">
        <v>-4.9204052098408085E-2</v>
      </c>
      <c r="I13" s="3">
        <v>5.4961832061068749E-2</v>
      </c>
      <c r="J13" s="3">
        <v>1.3147718484145393E-2</v>
      </c>
      <c r="K13" s="3">
        <v>5.5510204081632632E-2</v>
      </c>
      <c r="L13" s="3">
        <v>0.18701550387596896</v>
      </c>
      <c r="M13" s="3">
        <v>0.44740532959326795</v>
      </c>
      <c r="N13" s="3">
        <v>0.12995245641838357</v>
      </c>
      <c r="O13" s="3">
        <v>0.19281663516068046</v>
      </c>
      <c r="P13" s="3">
        <v>-8.4775086505190347E-2</v>
      </c>
      <c r="Q13" s="3">
        <v>0.73053892215568872</v>
      </c>
      <c r="R13" s="3">
        <v>-0.14578005115089521</v>
      </c>
      <c r="S13" s="3">
        <v>-2.9776674937965285E-2</v>
      </c>
      <c r="T13" s="3">
        <v>-0.16563146997929604</v>
      </c>
    </row>
    <row r="14" spans="1:20" x14ac:dyDescent="0.2">
      <c r="A14" s="3" t="s">
        <v>187</v>
      </c>
      <c r="B14" s="3">
        <v>2.7229716522452021E-5</v>
      </c>
      <c r="C14" s="3">
        <v>-6.4290395435297079E-5</v>
      </c>
      <c r="D14" s="3">
        <v>1.272696910316134E-6</v>
      </c>
      <c r="E14" s="3">
        <v>-4.5892115734516812E-5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3.5479744767971727E-6</v>
      </c>
      <c r="L14" s="3">
        <v>3.9144946331507253E-5</v>
      </c>
      <c r="M14" s="3">
        <v>5.766016663672452E-5</v>
      </c>
      <c r="N14" s="3">
        <v>2.7171297418842482E-4</v>
      </c>
      <c r="O14" s="3">
        <v>2.5696459329670873E-4</v>
      </c>
      <c r="P14" s="3">
        <v>3.1822950137250949E-4</v>
      </c>
      <c r="Q14" s="3">
        <v>2.7105796831853718E-3</v>
      </c>
      <c r="R14" s="3">
        <v>-7.8107658349407822E-3</v>
      </c>
      <c r="S14" s="3">
        <v>-2.1476774380230507E-2</v>
      </c>
      <c r="T14" s="3">
        <v>1.6556950675249579E-2</v>
      </c>
    </row>
    <row r="15" spans="1:20" x14ac:dyDescent="0.2">
      <c r="A15" s="3" t="s">
        <v>186</v>
      </c>
      <c r="B15" s="3">
        <v>3.5172097419767994E-5</v>
      </c>
      <c r="C15" s="3">
        <v>1.4578121317505814E-5</v>
      </c>
      <c r="D15" s="3">
        <v>-4.4736891733983796E-6</v>
      </c>
      <c r="E15" s="3">
        <v>-3.8449108728834669E-5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1.0643998959664797E-5</v>
      </c>
      <c r="M15" s="3">
        <v>1.932154533951021E-5</v>
      </c>
      <c r="N15" s="3">
        <v>6.4293586654950085E-5</v>
      </c>
      <c r="O15" s="3">
        <v>1.2551745089872269E-4</v>
      </c>
      <c r="P15" s="3">
        <v>1.7700553092129989E-4</v>
      </c>
      <c r="Q15" s="3">
        <v>2.5048620216957092E-4</v>
      </c>
      <c r="R15" s="3">
        <v>-1.2333744683027606E-2</v>
      </c>
      <c r="S15" s="3">
        <v>-1.4845686214837952E-2</v>
      </c>
      <c r="T15" s="3">
        <v>1.6422270669228682E-2</v>
      </c>
    </row>
    <row r="16" spans="1:20" x14ac:dyDescent="0.2">
      <c r="A16" s="3" t="s">
        <v>185</v>
      </c>
      <c r="B16" s="3">
        <v>0.29898057987830534</v>
      </c>
      <c r="C16" s="3">
        <v>0.24460454354379371</v>
      </c>
      <c r="D16" s="3">
        <v>2.2743752565888301E-2</v>
      </c>
      <c r="E16" s="3">
        <v>7.3219986704379153E-2</v>
      </c>
      <c r="F16" s="3">
        <v>2.4999995661459825E-2</v>
      </c>
      <c r="G16" s="3">
        <v>0</v>
      </c>
      <c r="H16" s="3">
        <v>0.24999999999999986</v>
      </c>
      <c r="I16" s="3">
        <v>0.14285714600529006</v>
      </c>
      <c r="J16" s="3">
        <v>0.16666666345293313</v>
      </c>
      <c r="K16" s="3">
        <v>0.3333655258364237</v>
      </c>
      <c r="L16" s="3">
        <v>0.50000176266232155</v>
      </c>
      <c r="M16" s="3">
        <v>1.0362312957414392E-4</v>
      </c>
      <c r="N16" s="3">
        <v>4.5180500403151435E-5</v>
      </c>
      <c r="O16" s="3">
        <v>-1.9831695402672621E-5</v>
      </c>
      <c r="P16" s="3">
        <v>-3.3615341689737474E-5</v>
      </c>
      <c r="Q16" s="3">
        <v>8.0875802899285001E-3</v>
      </c>
      <c r="R16" s="3">
        <v>6.3967544311390855E-3</v>
      </c>
      <c r="S16" s="3">
        <v>1.6629035321651432E-2</v>
      </c>
      <c r="T16" s="3">
        <v>0.2332510845640989</v>
      </c>
    </row>
    <row r="17" spans="1:20" x14ac:dyDescent="0.2">
      <c r="A17" s="3" t="s">
        <v>184</v>
      </c>
      <c r="B17" s="3">
        <v>0.30500798334444035</v>
      </c>
      <c r="C17" s="3">
        <v>0.47039056503339499</v>
      </c>
      <c r="D17" s="3">
        <v>-0.22887872460544167</v>
      </c>
      <c r="E17" s="3">
        <v>0.44817125451405754</v>
      </c>
      <c r="F17" s="3">
        <v>0.35189789707809221</v>
      </c>
      <c r="G17" s="3">
        <v>0.33736692741954816</v>
      </c>
      <c r="H17" s="3">
        <v>7.17556004475534E-2</v>
      </c>
      <c r="I17" s="3">
        <v>-1.9414840749338982E-2</v>
      </c>
      <c r="J17" s="3">
        <v>8.4254650728273442E-2</v>
      </c>
      <c r="K17" s="3">
        <v>1.8787583148300993E-2</v>
      </c>
      <c r="L17" s="3">
        <v>0.25705719282504641</v>
      </c>
      <c r="M17" s="3">
        <v>0.21342460451716802</v>
      </c>
      <c r="N17" s="3">
        <v>0.2017538543333553</v>
      </c>
      <c r="O17" s="3">
        <v>0.16752390657134972</v>
      </c>
      <c r="P17" s="3">
        <v>7.8924608535787616E-2</v>
      </c>
      <c r="Q17" s="3">
        <v>0.43452420480755138</v>
      </c>
      <c r="R17" s="3">
        <v>-0.2797474436254957</v>
      </c>
      <c r="S17" s="3">
        <v>0.2085133903748389</v>
      </c>
      <c r="T17" s="3">
        <v>-0.10337489894838928</v>
      </c>
    </row>
    <row r="18" spans="1:20" x14ac:dyDescent="0.2">
      <c r="A18" s="3" t="s">
        <v>183</v>
      </c>
      <c r="B18" s="3">
        <v>0.26134434191020145</v>
      </c>
      <c r="C18" s="3">
        <v>2.0365123361257975</v>
      </c>
      <c r="D18" s="3">
        <v>-0.44993493440650939</v>
      </c>
      <c r="E18" s="3">
        <v>0.98296391072186584</v>
      </c>
      <c r="F18" s="3">
        <v>-0.12771741605205725</v>
      </c>
      <c r="G18" s="3">
        <v>1.0716587914061617</v>
      </c>
      <c r="H18" s="3">
        <v>-0.4213973105277366</v>
      </c>
      <c r="I18" s="3">
        <v>7.3865462780079473E-3</v>
      </c>
      <c r="J18" s="3">
        <v>0.20648442804382067</v>
      </c>
      <c r="K18" s="3">
        <v>-0.22880522939505238</v>
      </c>
      <c r="L18" s="3">
        <v>1.0761305603889935</v>
      </c>
      <c r="M18" s="3">
        <v>1.2638119268521595</v>
      </c>
      <c r="N18" s="3">
        <v>0.32874757375640745</v>
      </c>
      <c r="O18" s="3">
        <v>0.27664059542244901</v>
      </c>
      <c r="P18" s="3">
        <v>-0.17444963869851179</v>
      </c>
      <c r="Q18" s="3">
        <v>-0.43573073837321802</v>
      </c>
      <c r="R18" s="3">
        <v>-0.55638640589084987</v>
      </c>
      <c r="S18" s="3">
        <v>0.63082925642769749</v>
      </c>
      <c r="T18" s="3">
        <v>-0.20966074101561538</v>
      </c>
    </row>
    <row r="19" spans="1:20" x14ac:dyDescent="0.2">
      <c r="A19" s="3" t="s">
        <v>182</v>
      </c>
      <c r="B19" s="3">
        <v>3.5628389224115558</v>
      </c>
      <c r="C19" s="3">
        <v>2.7943980935566581</v>
      </c>
      <c r="D19" s="3">
        <v>2.620776517350123</v>
      </c>
      <c r="E19" s="3">
        <v>3.4662767398026459</v>
      </c>
      <c r="F19" s="3">
        <v>2.7152046269798658</v>
      </c>
      <c r="G19" s="3">
        <v>2.1891920670273599</v>
      </c>
      <c r="H19" s="3">
        <v>2.6047704878234574</v>
      </c>
      <c r="I19" s="3">
        <v>2.1087066521419882</v>
      </c>
      <c r="J19" s="3">
        <v>2.1087738757540491</v>
      </c>
      <c r="K19" s="3">
        <v>2.0154404083980819</v>
      </c>
      <c r="L19" s="3">
        <v>2.1394827331718385</v>
      </c>
      <c r="M19" s="3">
        <v>1.9145616433538679</v>
      </c>
      <c r="N19" s="3">
        <v>1.9094835163066648</v>
      </c>
      <c r="O19" s="3">
        <v>2.0451074847758663</v>
      </c>
      <c r="P19" s="3">
        <v>1.8205455420336638</v>
      </c>
      <c r="Q19" s="3">
        <v>1.3801065569923396</v>
      </c>
      <c r="R19" s="3">
        <v>1.3659275719169541</v>
      </c>
      <c r="S19" s="3">
        <v>4.0432254698312597</v>
      </c>
      <c r="T19" s="3">
        <v>4.3420151456722289</v>
      </c>
    </row>
    <row r="20" spans="1:20" x14ac:dyDescent="0.2">
      <c r="A20" s="3" t="s">
        <v>181</v>
      </c>
      <c r="B20" s="3">
        <v>1.8738559100376091</v>
      </c>
      <c r="C20" s="3">
        <v>1.7052922822549492</v>
      </c>
      <c r="D20" s="3">
        <v>1.0960951431730541</v>
      </c>
      <c r="E20" s="3">
        <v>1.3162436336719099</v>
      </c>
      <c r="F20" s="3">
        <v>0.6746487954753474</v>
      </c>
      <c r="G20" s="3">
        <v>0.58770622649339566</v>
      </c>
      <c r="H20" s="3">
        <v>0.40258341712116369</v>
      </c>
      <c r="I20" s="3">
        <v>0.72739130146020803</v>
      </c>
      <c r="J20" s="3">
        <v>0.92824134511373368</v>
      </c>
      <c r="K20" s="3">
        <v>1.218497775185936</v>
      </c>
      <c r="L20" s="3">
        <v>1.0086789443857018</v>
      </c>
      <c r="M20" s="3">
        <v>1.5700934745274087</v>
      </c>
      <c r="N20" s="3">
        <v>0.79965399241857882</v>
      </c>
      <c r="O20" s="3">
        <v>0.61223276517322256</v>
      </c>
      <c r="P20" s="3">
        <v>0.35922624855702312</v>
      </c>
      <c r="Q20" s="3">
        <v>0.56295894968519289</v>
      </c>
      <c r="R20" s="3">
        <v>0.13402943209674509</v>
      </c>
      <c r="S20" s="3">
        <v>0.61669050193174724</v>
      </c>
      <c r="T20" s="3">
        <v>0.88875176745877127</v>
      </c>
    </row>
    <row r="21" spans="1:20" x14ac:dyDescent="0.2">
      <c r="A21" s="3" t="s">
        <v>180</v>
      </c>
      <c r="B21" s="3">
        <v>0.70001478926533089</v>
      </c>
      <c r="C21" s="3">
        <v>0.82348235637528611</v>
      </c>
      <c r="D21" s="3">
        <v>0.6142054968436319</v>
      </c>
      <c r="E21" s="3">
        <v>1.1159122353722948</v>
      </c>
      <c r="F21" s="3">
        <v>0.53914465321480798</v>
      </c>
      <c r="G21" s="3">
        <v>0.37016209442886977</v>
      </c>
      <c r="H21" s="3">
        <v>0.12878469794364286</v>
      </c>
      <c r="I21" s="3">
        <v>0.22269455493266568</v>
      </c>
      <c r="J21" s="3">
        <v>0.28127428836673346</v>
      </c>
      <c r="K21" s="3">
        <v>0.58761950137585528</v>
      </c>
      <c r="L21" s="3">
        <v>0.66403781499332948</v>
      </c>
      <c r="M21" s="3">
        <v>0.7854241754774518</v>
      </c>
      <c r="N21" s="3">
        <v>0.42179760071280437</v>
      </c>
      <c r="O21" s="3">
        <v>0.70777101940880749</v>
      </c>
      <c r="P21" s="3">
        <v>0.28788309190582234</v>
      </c>
      <c r="Q21" s="3">
        <v>0.33561229151031263</v>
      </c>
      <c r="R21" s="3">
        <v>-5.5755976127103916E-2</v>
      </c>
      <c r="S21" s="3">
        <v>0.23479918586380757</v>
      </c>
      <c r="T21" s="3">
        <v>0.20123014562563446</v>
      </c>
    </row>
    <row r="22" spans="1:20" x14ac:dyDescent="0.2">
      <c r="A22" s="3" t="s">
        <v>179</v>
      </c>
      <c r="B22" s="3">
        <v>3.4979321922233093</v>
      </c>
      <c r="C22" s="3">
        <v>3.332610006437259</v>
      </c>
      <c r="D22" s="3">
        <v>2.575005590628916</v>
      </c>
      <c r="E22" s="3">
        <v>4.5699606718058696</v>
      </c>
      <c r="F22" s="3">
        <v>3.4891743519023524</v>
      </c>
      <c r="G22" s="3">
        <v>2.5815869250493999</v>
      </c>
      <c r="H22" s="3">
        <v>2.8313973997465336</v>
      </c>
      <c r="I22" s="3">
        <v>1.5950858914297004</v>
      </c>
      <c r="J22" s="3">
        <v>2.2684869024867287</v>
      </c>
      <c r="K22" s="3">
        <v>1.6588548782417938</v>
      </c>
      <c r="L22" s="3">
        <v>2.348197176225673</v>
      </c>
      <c r="M22" s="3">
        <v>1.7045997048821857</v>
      </c>
      <c r="N22" s="3">
        <v>1.9620712290768612</v>
      </c>
      <c r="O22" s="3">
        <v>1.8619153955388015</v>
      </c>
      <c r="P22" s="3">
        <v>1.9713040965547641</v>
      </c>
      <c r="Q22" s="3">
        <v>1.3162286983768603</v>
      </c>
      <c r="R22" s="3">
        <v>1.4675157565196884</v>
      </c>
      <c r="S22" s="3">
        <v>4.2928816622299246</v>
      </c>
      <c r="T22" s="3">
        <v>5.5728755103423042</v>
      </c>
    </row>
    <row r="23" spans="1:20" x14ac:dyDescent="0.2">
      <c r="A23" s="3" t="s">
        <v>178</v>
      </c>
      <c r="B23" s="3">
        <v>1.8971291193422291</v>
      </c>
      <c r="C23" s="3">
        <v>1.9690471018813267</v>
      </c>
      <c r="D23" s="3">
        <v>1.1639749037381635</v>
      </c>
      <c r="E23" s="3">
        <v>1.7517907285398748</v>
      </c>
      <c r="F23" s="3">
        <v>1.0601879510529773</v>
      </c>
      <c r="G23" s="3">
        <v>0.55254805945429541</v>
      </c>
      <c r="H23" s="3">
        <v>0.45925943838745942</v>
      </c>
      <c r="I23" s="3">
        <v>0.65205501434109248</v>
      </c>
      <c r="J23" s="3">
        <v>1.0241221885217053</v>
      </c>
      <c r="K23" s="3">
        <v>1.1790120409198115</v>
      </c>
      <c r="L23" s="3">
        <v>1.3069088929255372</v>
      </c>
      <c r="M23" s="3">
        <v>1.6255765760065133</v>
      </c>
      <c r="N23" s="3">
        <v>0.57082292593308548</v>
      </c>
      <c r="O23" s="3">
        <v>0.6147675871651952</v>
      </c>
      <c r="P23" s="3">
        <v>0.22021119126970481</v>
      </c>
      <c r="Q23" s="3">
        <v>0.45137815649911184</v>
      </c>
      <c r="R23" s="3">
        <v>3.0097438253302047E-2</v>
      </c>
      <c r="S23" s="3">
        <v>0.88568118033887222</v>
      </c>
      <c r="T23" s="3">
        <v>0.77233889154478019</v>
      </c>
    </row>
    <row r="24" spans="1:20" x14ac:dyDescent="0.2">
      <c r="A24" s="3" t="s">
        <v>177</v>
      </c>
      <c r="B24" s="3">
        <v>0.47973554074668634</v>
      </c>
      <c r="C24" s="3">
        <v>0.64218702297249397</v>
      </c>
      <c r="D24" s="3">
        <v>0.50975292322374399</v>
      </c>
      <c r="E24" s="3">
        <v>1.6183899500834469</v>
      </c>
      <c r="F24" s="3">
        <v>0.9377164810826718</v>
      </c>
      <c r="G24" s="3">
        <v>0.40550261102693558</v>
      </c>
      <c r="H24" s="3">
        <v>0.1394948621595557</v>
      </c>
      <c r="I24" s="3">
        <v>8.3175210191849966E-2</v>
      </c>
      <c r="J24" s="3">
        <v>0.38851774170543418</v>
      </c>
      <c r="K24" s="3">
        <v>0.55384571941984251</v>
      </c>
      <c r="L24" s="3">
        <v>0.83241285426279688</v>
      </c>
      <c r="M24" s="3">
        <v>0.70152952922183465</v>
      </c>
      <c r="N24" s="3">
        <v>0.51253227241024146</v>
      </c>
      <c r="O24" s="3">
        <v>0.80110651356172158</v>
      </c>
      <c r="P24" s="3">
        <v>0.12014822937708593</v>
      </c>
      <c r="Q24" s="3">
        <v>0.28263447786879442</v>
      </c>
      <c r="R24" s="3">
        <v>-0.209230691343887</v>
      </c>
      <c r="S24" s="3">
        <v>0.39751990178790092</v>
      </c>
      <c r="T24" s="3">
        <v>0.14896733151447733</v>
      </c>
    </row>
    <row r="25" spans="1:20" x14ac:dyDescent="0.2">
      <c r="A25" s="3" t="s">
        <v>176</v>
      </c>
      <c r="B25" s="3">
        <v>4.7315784882358667</v>
      </c>
      <c r="C25" s="3">
        <v>3.5554484221786211</v>
      </c>
      <c r="D25" s="3">
        <v>3.6293273403889361</v>
      </c>
      <c r="E25" s="3">
        <v>5.2239443692615648</v>
      </c>
      <c r="F25" s="3">
        <v>3.411184898383202</v>
      </c>
      <c r="G25" s="3">
        <v>2.1574548088360439</v>
      </c>
      <c r="H25" s="3">
        <v>2.9527652156086939</v>
      </c>
      <c r="I25" s="3">
        <v>2.648198265349615</v>
      </c>
      <c r="J25" s="3">
        <v>2.2422846499249558</v>
      </c>
      <c r="K25" s="3">
        <v>1.6371290390806448</v>
      </c>
      <c r="L25" s="3">
        <v>2.2109891952943515</v>
      </c>
      <c r="M25" s="3">
        <v>1.7073141428651444</v>
      </c>
      <c r="N25" s="3">
        <v>2.8523938592056246</v>
      </c>
      <c r="O25" s="3">
        <v>6.201800067846313</v>
      </c>
      <c r="P25" s="3">
        <v>6.9694225991154912</v>
      </c>
      <c r="Q25" s="3">
        <v>1.3403590272984403</v>
      </c>
      <c r="R25" s="3">
        <v>1.3148715766307282</v>
      </c>
      <c r="S25" s="3">
        <v>3.9719775480705595</v>
      </c>
      <c r="T25" s="3">
        <v>3.4216963029555822</v>
      </c>
    </row>
    <row r="26" spans="1:20" x14ac:dyDescent="0.2">
      <c r="A26" s="3" t="s">
        <v>175</v>
      </c>
      <c r="B26" s="3">
        <v>2.3986103844696927</v>
      </c>
      <c r="C26" s="3">
        <v>2.2730976568814767</v>
      </c>
      <c r="D26" s="3">
        <v>1.3461552713678751</v>
      </c>
      <c r="E26" s="3">
        <v>1.8781851082943501</v>
      </c>
      <c r="F26" s="3">
        <v>0.78575440206418978</v>
      </c>
      <c r="G26" s="3">
        <v>0.6864476476700353</v>
      </c>
      <c r="H26" s="3">
        <v>0.3917850610418192</v>
      </c>
      <c r="I26" s="3">
        <v>0.97315471694672062</v>
      </c>
      <c r="J26" s="3">
        <v>1.1624545104223529</v>
      </c>
      <c r="K26" s="3">
        <v>1.4702080494855421</v>
      </c>
      <c r="L26" s="3">
        <v>0.87225189776766854</v>
      </c>
      <c r="M26" s="3">
        <v>1.8400687191238105</v>
      </c>
      <c r="N26" s="3">
        <v>0.84891647574138218</v>
      </c>
      <c r="O26" s="3">
        <v>0.49935392134177164</v>
      </c>
      <c r="P26" s="3">
        <v>6.7573656247240738E-2</v>
      </c>
      <c r="Q26" s="3">
        <v>0.71504122875927734</v>
      </c>
      <c r="R26" s="3">
        <v>-4.6743438060055958E-2</v>
      </c>
      <c r="S26" s="3">
        <v>1.0835953974940293</v>
      </c>
      <c r="T26" s="3">
        <v>3.8032689049170081</v>
      </c>
    </row>
    <row r="27" spans="1:20" x14ac:dyDescent="0.2">
      <c r="A27" s="3" t="s">
        <v>174</v>
      </c>
      <c r="B27" s="3">
        <v>0.74811088323588493</v>
      </c>
      <c r="C27" s="3">
        <v>0.95574977050729493</v>
      </c>
      <c r="D27" s="3">
        <v>0.66772004348428893</v>
      </c>
      <c r="E27" s="3">
        <v>1.8054091828372154</v>
      </c>
      <c r="F27" s="3">
        <v>0.63160665104542679</v>
      </c>
      <c r="G27" s="3">
        <v>0.48042468615062739</v>
      </c>
      <c r="H27" s="3">
        <v>6.7028585192592249E-2</v>
      </c>
      <c r="I27" s="3">
        <v>0.19877937263140633</v>
      </c>
      <c r="J27" s="3">
        <v>0.35659328495944004</v>
      </c>
      <c r="K27" s="3">
        <v>0.80283042057213561</v>
      </c>
      <c r="L27" s="3">
        <v>0.89828071113262697</v>
      </c>
      <c r="M27" s="3">
        <v>0.89381440709019999</v>
      </c>
      <c r="N27" s="3">
        <v>0.13747641588233839</v>
      </c>
      <c r="O27" s="3">
        <v>0.78168749197605947</v>
      </c>
      <c r="P27" s="3">
        <v>0.34939357365376306</v>
      </c>
      <c r="Q27" s="3">
        <v>0.52019855417838701</v>
      </c>
      <c r="R27" s="3">
        <v>-0.28812061580864623</v>
      </c>
      <c r="S27" s="3">
        <v>5.5114698568144424E-2</v>
      </c>
      <c r="T27" s="3">
        <v>0.1327580959221405</v>
      </c>
    </row>
    <row r="28" spans="1:20" x14ac:dyDescent="0.2">
      <c r="A28" s="3" t="s">
        <v>173</v>
      </c>
      <c r="B28" s="3">
        <v>3.4852785586062791</v>
      </c>
      <c r="C28" s="3">
        <v>3.1522289848374871</v>
      </c>
      <c r="D28" s="3">
        <v>3.1126659402637884</v>
      </c>
      <c r="E28" s="3">
        <v>3.081384702516373</v>
      </c>
      <c r="F28" s="3">
        <v>2.4376325261038705</v>
      </c>
      <c r="G28" s="3">
        <v>2.1927032787632981</v>
      </c>
      <c r="H28" s="3">
        <v>2.2475782315156532</v>
      </c>
      <c r="I28" s="3">
        <v>2.5001603213479417</v>
      </c>
      <c r="J28" s="3">
        <v>2.1469102484471709</v>
      </c>
      <c r="K28" s="3">
        <v>2.0693828190495864</v>
      </c>
      <c r="L28" s="3">
        <v>1.6582897017196361</v>
      </c>
      <c r="M28" s="3">
        <v>1.5178522272497075</v>
      </c>
      <c r="N28" s="3">
        <v>1.5056678395070602</v>
      </c>
      <c r="O28" s="3">
        <v>1.3441437986907065</v>
      </c>
      <c r="P28" s="3">
        <v>0.93870961499975536</v>
      </c>
      <c r="Q28" s="3">
        <v>1.0681339201526117</v>
      </c>
      <c r="R28" s="3">
        <v>0.98083792052866525</v>
      </c>
      <c r="S28" s="3">
        <v>3.3248564013316368</v>
      </c>
      <c r="T28" s="3">
        <v>4.1035701402468261</v>
      </c>
    </row>
    <row r="29" spans="1:20" x14ac:dyDescent="0.2">
      <c r="A29" s="3" t="s">
        <v>172</v>
      </c>
      <c r="B29" s="3">
        <v>1.9188157586810304</v>
      </c>
      <c r="C29" s="3">
        <v>1.6304232820996367</v>
      </c>
      <c r="D29" s="3">
        <v>1.0655359810217537</v>
      </c>
      <c r="E29" s="3">
        <v>0.94353750704626949</v>
      </c>
      <c r="F29" s="3">
        <v>0.58144195797846243</v>
      </c>
      <c r="G29" s="3">
        <v>0.53667751904735161</v>
      </c>
      <c r="H29" s="3">
        <v>0.57854023460555992</v>
      </c>
      <c r="I29" s="3">
        <v>0.99108898515986421</v>
      </c>
      <c r="J29" s="3">
        <v>1.0999773288240473</v>
      </c>
      <c r="K29" s="3">
        <v>1.1737329712044275</v>
      </c>
      <c r="L29" s="3">
        <v>1.0776664193946062</v>
      </c>
      <c r="M29" s="3">
        <v>1.0573300320895187</v>
      </c>
      <c r="N29" s="3">
        <v>0.7579125530981301</v>
      </c>
      <c r="O29" s="3">
        <v>0.49854486772454298</v>
      </c>
      <c r="P29" s="3">
        <v>0.4120330600445809</v>
      </c>
      <c r="Q29" s="3">
        <v>0.2794593380847985</v>
      </c>
      <c r="R29" s="3">
        <v>0.22384458884919953</v>
      </c>
      <c r="S29" s="3">
        <v>0.4253654626284411</v>
      </c>
      <c r="T29" s="3">
        <v>0.56428002202573935</v>
      </c>
    </row>
    <row r="30" spans="1:20" x14ac:dyDescent="0.2">
      <c r="A30" s="3" t="s">
        <v>171</v>
      </c>
      <c r="B30" s="3">
        <v>0.84471030717268347</v>
      </c>
      <c r="C30" s="3">
        <v>0.97497239779693601</v>
      </c>
      <c r="D30" s="3">
        <v>0.86922515155905844</v>
      </c>
      <c r="E30" s="3">
        <v>0.7990598358401575</v>
      </c>
      <c r="F30" s="3">
        <v>0.29440045848397728</v>
      </c>
      <c r="G30" s="3">
        <v>0.22832818788297976</v>
      </c>
      <c r="H30" s="3">
        <v>0.18737704193081225</v>
      </c>
      <c r="I30" s="3">
        <v>0.39062998409633248</v>
      </c>
      <c r="J30" s="3">
        <v>0.46119553908303018</v>
      </c>
      <c r="K30" s="3">
        <v>0.62969401581314632</v>
      </c>
      <c r="L30" s="3">
        <v>0.67859639705596431</v>
      </c>
      <c r="M30" s="3">
        <v>0.63508067055454565</v>
      </c>
      <c r="N30" s="3">
        <v>0.45109798773168669</v>
      </c>
      <c r="O30" s="3">
        <v>0.43152091408251192</v>
      </c>
      <c r="P30" s="3">
        <v>0.31794457095595496</v>
      </c>
      <c r="Q30" s="3">
        <v>0.21071024314003253</v>
      </c>
      <c r="R30" s="3">
        <v>0.12222537300832066</v>
      </c>
      <c r="S30" s="3">
        <v>5.615086916995625E-2</v>
      </c>
      <c r="T30" s="3">
        <v>0.16910688645885827</v>
      </c>
    </row>
    <row r="31" spans="1:20" x14ac:dyDescent="0.2">
      <c r="A31" s="3" t="s">
        <v>170</v>
      </c>
      <c r="B31" s="3">
        <v>3.0421410406056184</v>
      </c>
      <c r="C31" s="3">
        <v>3.6676746209756033</v>
      </c>
      <c r="D31" s="3">
        <v>2.7507161003413167</v>
      </c>
      <c r="E31" s="3">
        <v>2.667473450863203</v>
      </c>
      <c r="F31" s="3">
        <v>2.4171938317218666</v>
      </c>
      <c r="G31" s="3">
        <v>2.3337355863874527</v>
      </c>
      <c r="H31" s="3">
        <v>2.360697440607753</v>
      </c>
      <c r="I31" s="3">
        <v>1.705755997482143</v>
      </c>
      <c r="J31" s="3">
        <v>1.406906339213905</v>
      </c>
      <c r="K31" s="3">
        <v>1.5442741669626048</v>
      </c>
      <c r="L31" s="3">
        <v>1.4938823760068838</v>
      </c>
      <c r="M31" s="3">
        <v>5.2906529913825997</v>
      </c>
      <c r="N31" s="3">
        <v>173.00245408630474</v>
      </c>
      <c r="O31" s="3">
        <v>166.98579890970274</v>
      </c>
      <c r="P31" s="3">
        <v>1623.4774129883297</v>
      </c>
      <c r="Q31" s="3">
        <v>0</v>
      </c>
      <c r="R31" s="3">
        <v>0</v>
      </c>
      <c r="S31" s="3">
        <v>0</v>
      </c>
      <c r="T31" s="3">
        <v>0</v>
      </c>
    </row>
    <row r="32" spans="1:20" x14ac:dyDescent="0.2">
      <c r="A32" s="3" t="s">
        <v>169</v>
      </c>
      <c r="B32" s="3">
        <v>0.81891955159256391</v>
      </c>
      <c r="C32" s="3">
        <v>0.4002669322146209</v>
      </c>
      <c r="D32" s="3">
        <v>0.40633719710238803</v>
      </c>
      <c r="E32" s="3">
        <v>0.5715006924943018</v>
      </c>
      <c r="F32" s="3">
        <v>0.70833332610243294</v>
      </c>
      <c r="G32" s="3">
        <v>1.2222758763940393</v>
      </c>
      <c r="H32" s="3">
        <v>2.3334177317130149</v>
      </c>
      <c r="I32" s="3">
        <v>1.6670105207124424</v>
      </c>
      <c r="J32" s="3">
        <v>1.3337396339559686</v>
      </c>
      <c r="K32" s="3">
        <v>1.0003085928893065</v>
      </c>
      <c r="L32" s="3">
        <v>0.50014479381242061</v>
      </c>
      <c r="M32" s="3">
        <v>8.1837054609773304E-3</v>
      </c>
      <c r="N32" s="3">
        <v>1.4527680512992707E-2</v>
      </c>
      <c r="O32" s="3">
        <v>3.1351700161131438E-2</v>
      </c>
      <c r="P32" s="3">
        <v>0.27194082753380455</v>
      </c>
      <c r="Q32" s="3">
        <v>0.66242777783403817</v>
      </c>
      <c r="R32" s="3">
        <v>5.2395900244254499</v>
      </c>
      <c r="S32" s="3">
        <v>170.51079997967227</v>
      </c>
      <c r="T32" s="3">
        <v>161.87925727320541</v>
      </c>
    </row>
    <row r="33" spans="1:20" x14ac:dyDescent="0.2">
      <c r="A33" s="3" t="s">
        <v>168</v>
      </c>
      <c r="B33" s="3">
        <v>0.65348734610391912</v>
      </c>
      <c r="C33" s="3">
        <v>0.36611408599176753</v>
      </c>
      <c r="D33" s="3">
        <v>0.12506975768191053</v>
      </c>
      <c r="E33" s="3">
        <v>0.1000504817157806</v>
      </c>
      <c r="F33" s="3">
        <v>0.28124999457682465</v>
      </c>
      <c r="G33" s="3">
        <v>0.42857143250661245</v>
      </c>
      <c r="H33" s="3">
        <v>0.66666666666666663</v>
      </c>
      <c r="I33" s="3">
        <v>0.77782070111523172</v>
      </c>
      <c r="J33" s="3">
        <v>1.3333924057714805</v>
      </c>
      <c r="K33" s="3">
        <v>1.0002578905343316</v>
      </c>
      <c r="L33" s="3">
        <v>0.50022497539220356</v>
      </c>
      <c r="M33" s="3">
        <v>1.2897366519835877E-4</v>
      </c>
      <c r="N33" s="3">
        <v>-8.2682847738027728E-6</v>
      </c>
      <c r="O33" s="3">
        <v>8.0337016676731415E-3</v>
      </c>
      <c r="P33" s="3">
        <v>1.4501965009508847E-2</v>
      </c>
      <c r="Q33" s="3">
        <v>3.1406825112384032E-2</v>
      </c>
      <c r="R33" s="3">
        <v>0.2617788479556864</v>
      </c>
      <c r="S33" s="3">
        <v>0.63860884659860717</v>
      </c>
      <c r="T33" s="3">
        <v>5.0985181177551846</v>
      </c>
    </row>
    <row r="34" spans="1:20" x14ac:dyDescent="0.2">
      <c r="A34" s="3" t="s">
        <v>167</v>
      </c>
      <c r="B34" s="3">
        <v>3.6647348154769104E-2</v>
      </c>
      <c r="C34" s="3">
        <v>0.34690179010762823</v>
      </c>
      <c r="D34" s="3">
        <v>-0.12704221834164545</v>
      </c>
      <c r="E34" s="3">
        <v>0.16659365234123921</v>
      </c>
      <c r="F34" s="3">
        <v>0.35782228641444597</v>
      </c>
      <c r="G34" s="3">
        <v>4.4819031012935703E-2</v>
      </c>
      <c r="H34" s="3">
        <v>8.1690169174735497E-2</v>
      </c>
      <c r="I34" s="3">
        <v>5.5306461673105371E-2</v>
      </c>
      <c r="J34" s="3">
        <v>-5.3789987918264434E-2</v>
      </c>
      <c r="K34" s="3">
        <v>0.51068964551455009</v>
      </c>
      <c r="L34" s="3">
        <v>-0.25632950116423076</v>
      </c>
      <c r="M34" s="3">
        <v>0.59674598687419622</v>
      </c>
      <c r="N34" s="3">
        <v>0.23742990894593344</v>
      </c>
      <c r="O34" s="3">
        <v>0.26396074411064124</v>
      </c>
      <c r="P34" s="3">
        <v>7.0322848546288411E-2</v>
      </c>
      <c r="Q34" s="3">
        <v>0.21415574758616027</v>
      </c>
      <c r="R34" s="3">
        <v>0.31262261840919986</v>
      </c>
      <c r="S34" s="3">
        <v>-0.36626674077136129</v>
      </c>
      <c r="T34" s="3">
        <v>0.22794807007149981</v>
      </c>
    </row>
    <row r="35" spans="1:20" x14ac:dyDescent="0.2">
      <c r="A35" s="3" t="s">
        <v>165</v>
      </c>
      <c r="B35" s="3">
        <v>0.18546345480438067</v>
      </c>
      <c r="C35" s="3">
        <v>0.20960355964211394</v>
      </c>
      <c r="D35" s="3">
        <v>0.1143603942673231</v>
      </c>
      <c r="E35" s="3">
        <v>0.33263258481419306</v>
      </c>
      <c r="F35" s="3">
        <v>0.34945356997508331</v>
      </c>
      <c r="G35" s="3">
        <v>0.21895616465575291</v>
      </c>
      <c r="H35" s="3">
        <v>8.3584302473570724E-2</v>
      </c>
      <c r="I35" s="3">
        <v>4.9353627897729214E-2</v>
      </c>
      <c r="J35" s="3">
        <v>5.5895395459261525E-2</v>
      </c>
      <c r="K35" s="3">
        <v>0.1381076741160569</v>
      </c>
      <c r="L35" s="3">
        <v>0.10873604294201504</v>
      </c>
      <c r="M35" s="3">
        <v>0.1837600343427114</v>
      </c>
      <c r="N35" s="3">
        <v>0.31357879601228988</v>
      </c>
      <c r="O35" s="3">
        <v>0.23321667503055643</v>
      </c>
      <c r="P35" s="3">
        <v>8.4309727985618602E-2</v>
      </c>
      <c r="Q35" s="3">
        <v>0.20890111623380139</v>
      </c>
      <c r="R35" s="3">
        <v>6.401599093675156E-2</v>
      </c>
      <c r="S35" s="3">
        <v>-2.1038679690313058E-2</v>
      </c>
      <c r="T35" s="3">
        <v>-3.8770145595969661E-2</v>
      </c>
    </row>
    <row r="36" spans="1:20" x14ac:dyDescent="0.2">
      <c r="A36" s="3" t="s">
        <v>166</v>
      </c>
      <c r="B36" s="3">
        <v>8.3614479929745768E-4</v>
      </c>
      <c r="C36" s="3">
        <v>0.14690090044865059</v>
      </c>
      <c r="D36" s="3">
        <v>0.13496776609084096</v>
      </c>
      <c r="E36" s="3">
        <v>0.14524322082129523</v>
      </c>
      <c r="F36" s="3">
        <v>0.40587928657026329</v>
      </c>
      <c r="G36" s="3">
        <v>0.65523516169927642</v>
      </c>
      <c r="H36" s="3">
        <v>-0.19616006819656887</v>
      </c>
      <c r="I36" s="3">
        <v>0.39726613310377407</v>
      </c>
      <c r="J36" s="3">
        <v>0.51761218679517362</v>
      </c>
      <c r="K36" s="3">
        <v>-0.27396673939596405</v>
      </c>
      <c r="L36" s="3">
        <v>1.0767584190056981E-2</v>
      </c>
      <c r="M36" s="3">
        <v>0.76925395187078771</v>
      </c>
      <c r="N36" s="3">
        <v>-8.8711489406695654E-3</v>
      </c>
      <c r="O36" s="3">
        <v>0.52293020297416326</v>
      </c>
      <c r="P36" s="3">
        <v>-0.12551265758169958</v>
      </c>
      <c r="Q36" s="3">
        <v>0.3582371448517247</v>
      </c>
      <c r="R36" s="3">
        <v>0.40581853380476723</v>
      </c>
      <c r="S36" s="3">
        <v>-0.37675936571274954</v>
      </c>
      <c r="T36" s="3">
        <v>0.19001500770526489</v>
      </c>
    </row>
    <row r="37" spans="1:20" x14ac:dyDescent="0.2">
      <c r="A37" s="3" t="s">
        <v>164</v>
      </c>
      <c r="B37" s="3">
        <v>0.26097915039602737</v>
      </c>
      <c r="C37" s="3">
        <v>0.23905968390839552</v>
      </c>
      <c r="D37" s="3">
        <v>0.18370818840738462</v>
      </c>
      <c r="E37" s="3">
        <v>0.35613238089155047</v>
      </c>
      <c r="F37" s="3">
        <v>0.17209114810957712</v>
      </c>
      <c r="G37" s="3">
        <v>0.13712725564677064</v>
      </c>
      <c r="H37" s="3">
        <v>-2.8124529868699955E-2</v>
      </c>
      <c r="I37" s="3">
        <v>0.1115186124093436</v>
      </c>
      <c r="J37" s="3">
        <v>9.8982325790174158E-2</v>
      </c>
      <c r="K37" s="3">
        <v>0.13797071183532283</v>
      </c>
      <c r="L37" s="3">
        <v>0.16878839805812257</v>
      </c>
      <c r="M37" s="3">
        <v>0.22561541890669062</v>
      </c>
      <c r="N37" s="3">
        <v>0.16857214560160849</v>
      </c>
      <c r="O37" s="3">
        <v>0.13734746504555037</v>
      </c>
      <c r="P37" s="3">
        <v>8.3556736929545072E-2</v>
      </c>
      <c r="Q37" s="3">
        <v>0.15648081498748467</v>
      </c>
      <c r="R37" s="3">
        <v>4.7056475203267882E-2</v>
      </c>
      <c r="S37" s="3">
        <v>3.8979225098555333E-4</v>
      </c>
      <c r="T37" s="3">
        <v>7.8345800440708879E-2</v>
      </c>
    </row>
    <row r="38" spans="1:20" x14ac:dyDescent="0.2">
      <c r="A38" s="3" t="s">
        <v>163</v>
      </c>
      <c r="B38" s="3">
        <v>1.6752525996805667E-2</v>
      </c>
      <c r="C38" s="3">
        <v>9.4936941174551343E-2</v>
      </c>
      <c r="D38" s="3">
        <v>7.6655553233689236E-2</v>
      </c>
      <c r="E38" s="3">
        <v>0.17852548439098717</v>
      </c>
      <c r="F38" s="3">
        <v>1.0490692708901193</v>
      </c>
      <c r="G38" s="3">
        <v>0.93103214726554773</v>
      </c>
      <c r="H38" s="3">
        <v>5.4883090830645784E-2</v>
      </c>
      <c r="I38" s="3">
        <v>-0.1561598725790177</v>
      </c>
      <c r="J38" s="3">
        <v>-0.14128984772062531</v>
      </c>
      <c r="K38" s="3">
        <v>-2.2778497437267068E-2</v>
      </c>
      <c r="L38" s="3">
        <v>1.7182847550447911E-2</v>
      </c>
      <c r="M38" s="3">
        <v>0.10318058274303257</v>
      </c>
      <c r="N38" s="3">
        <v>0.9429485124048208</v>
      </c>
      <c r="O38" s="3">
        <v>1.2955100839099072</v>
      </c>
      <c r="P38" s="3">
        <v>0.37875183684736102</v>
      </c>
      <c r="Q38" s="3">
        <v>4.4862220506577186</v>
      </c>
      <c r="R38" s="3">
        <v>-0.72507000400022859</v>
      </c>
      <c r="S38" s="3">
        <v>0.61408086018954999</v>
      </c>
      <c r="T38" s="3">
        <v>-0.26887023192652731</v>
      </c>
    </row>
    <row r="39" spans="1:20" x14ac:dyDescent="0.2">
      <c r="A39" s="3" t="s">
        <v>162</v>
      </c>
      <c r="B39" s="3">
        <v>0.21940068174471794</v>
      </c>
      <c r="C39" s="3">
        <v>0.11960300488018863</v>
      </c>
      <c r="D39" s="3">
        <v>0.11703750163846867</v>
      </c>
      <c r="E39" s="3">
        <v>0.30887450815650486</v>
      </c>
      <c r="F39" s="3">
        <v>0.13927625449829201</v>
      </c>
      <c r="G39" s="3">
        <v>0.19763243187662918</v>
      </c>
      <c r="H39" s="3">
        <v>6.4300150415155147E-2</v>
      </c>
      <c r="I39" s="3">
        <v>6.3953178707459826E-2</v>
      </c>
      <c r="J39" s="3">
        <v>0.133760815192739</v>
      </c>
      <c r="K39" s="3">
        <v>8.6400710356001872E-2</v>
      </c>
      <c r="L39" s="3">
        <v>0.15336941832310377</v>
      </c>
      <c r="M39" s="3">
        <v>0.18511845178511846</v>
      </c>
      <c r="N39" s="3">
        <v>0.18730980932030278</v>
      </c>
      <c r="O39" s="3">
        <v>0.19382853629481611</v>
      </c>
      <c r="P39" s="3">
        <v>0.13879697172691682</v>
      </c>
      <c r="Q39" s="3">
        <v>0.37573054729685923</v>
      </c>
      <c r="R39" s="3">
        <v>5.2372107313939358E-3</v>
      </c>
      <c r="S39" s="3">
        <v>0.1977252871200246</v>
      </c>
      <c r="T39" s="3">
        <v>0.11642875951094314</v>
      </c>
    </row>
    <row r="40" spans="1:20" x14ac:dyDescent="0.2">
      <c r="A40" s="3" t="s">
        <v>161</v>
      </c>
      <c r="B40" s="3">
        <v>3.468726067974693E-2</v>
      </c>
      <c r="C40" s="3">
        <v>0.3557735363259823</v>
      </c>
      <c r="D40" s="3">
        <v>0.12638761263639703</v>
      </c>
      <c r="E40" s="3">
        <v>0.4261152395466663</v>
      </c>
      <c r="F40" s="3">
        <v>0.25070845422036298</v>
      </c>
      <c r="G40" s="3">
        <v>0.26649053970333764</v>
      </c>
      <c r="H40" s="3">
        <v>6.9784449429985101E-2</v>
      </c>
      <c r="I40" s="3">
        <v>-3.3696244276607334E-2</v>
      </c>
      <c r="J40" s="3">
        <v>5.7315421615479215E-2</v>
      </c>
      <c r="K40" s="3">
        <v>0.12104144944354525</v>
      </c>
      <c r="L40" s="3">
        <v>-4.574785186171984E-2</v>
      </c>
      <c r="M40" s="3">
        <v>2.7100525933210759E-2</v>
      </c>
      <c r="N40" s="3">
        <v>5.6838927751568062E-2</v>
      </c>
      <c r="O40" s="3">
        <v>0.18452619915533217</v>
      </c>
      <c r="P40" s="3">
        <v>2.8082282242620351E-2</v>
      </c>
      <c r="Q40" s="3">
        <v>0.15204808125122835</v>
      </c>
      <c r="R40" s="3">
        <v>-3.7894816620666571E-3</v>
      </c>
      <c r="S40" s="3">
        <v>0.24860359822553865</v>
      </c>
      <c r="T40" s="3">
        <v>1.6086642002223709E-2</v>
      </c>
    </row>
  </sheetData>
  <mergeCells count="1">
    <mergeCell ref="B4:T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29C0A-776A-F747-95A7-306F969186D9}">
  <dimension ref="A1:CA38"/>
  <sheetViews>
    <sheetView workbookViewId="0"/>
  </sheetViews>
  <sheetFormatPr baseColWidth="10" defaultRowHeight="16" x14ac:dyDescent="0.2"/>
  <cols>
    <col min="1" max="1" width="37.33203125" bestFit="1" customWidth="1"/>
    <col min="2" max="3" width="19.5" bestFit="1" customWidth="1"/>
    <col min="4" max="65" width="18" bestFit="1" customWidth="1"/>
    <col min="66" max="78" width="17" bestFit="1" customWidth="1"/>
    <col min="79" max="79" width="17.6640625" bestFit="1" customWidth="1"/>
  </cols>
  <sheetData>
    <row r="1" spans="1:79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</row>
    <row r="2" spans="1:79" x14ac:dyDescent="0.2">
      <c r="A2" t="s">
        <v>1</v>
      </c>
      <c r="B2" t="s">
        <v>2</v>
      </c>
    </row>
    <row r="3" spans="1:79" x14ac:dyDescent="0.2">
      <c r="A3" t="s">
        <v>3</v>
      </c>
      <c r="B3" t="s">
        <v>4</v>
      </c>
    </row>
    <row r="4" spans="1:79" x14ac:dyDescent="0.2">
      <c r="A4" t="s">
        <v>32</v>
      </c>
      <c r="B4" t="s">
        <v>195</v>
      </c>
      <c r="C4" t="s">
        <v>196</v>
      </c>
      <c r="D4" t="s">
        <v>197</v>
      </c>
      <c r="E4" t="s">
        <v>198</v>
      </c>
      <c r="F4" t="s">
        <v>195</v>
      </c>
      <c r="G4" t="s">
        <v>196</v>
      </c>
      <c r="H4" t="s">
        <v>197</v>
      </c>
      <c r="I4" t="s">
        <v>198</v>
      </c>
      <c r="J4" t="s">
        <v>195</v>
      </c>
      <c r="K4" t="s">
        <v>196</v>
      </c>
      <c r="L4" t="s">
        <v>197</v>
      </c>
      <c r="M4" t="s">
        <v>198</v>
      </c>
      <c r="N4" t="s">
        <v>195</v>
      </c>
      <c r="O4" t="s">
        <v>196</v>
      </c>
      <c r="P4" t="s">
        <v>197</v>
      </c>
      <c r="Q4" t="s">
        <v>198</v>
      </c>
      <c r="R4" t="s">
        <v>195</v>
      </c>
      <c r="S4" t="s">
        <v>196</v>
      </c>
      <c r="T4" t="s">
        <v>197</v>
      </c>
      <c r="U4" t="s">
        <v>198</v>
      </c>
      <c r="V4" t="s">
        <v>195</v>
      </c>
      <c r="W4" t="s">
        <v>196</v>
      </c>
      <c r="X4" t="s">
        <v>197</v>
      </c>
      <c r="Y4" t="s">
        <v>198</v>
      </c>
      <c r="Z4" t="s">
        <v>195</v>
      </c>
      <c r="AA4" t="s">
        <v>196</v>
      </c>
      <c r="AB4" t="s">
        <v>197</v>
      </c>
      <c r="AC4" t="s">
        <v>198</v>
      </c>
      <c r="AD4" t="s">
        <v>195</v>
      </c>
      <c r="AE4" t="s">
        <v>196</v>
      </c>
      <c r="AF4" t="s">
        <v>197</v>
      </c>
      <c r="AG4" t="s">
        <v>198</v>
      </c>
      <c r="AH4" t="s">
        <v>195</v>
      </c>
      <c r="AI4" t="s">
        <v>196</v>
      </c>
      <c r="AJ4" t="s">
        <v>197</v>
      </c>
      <c r="AK4" t="s">
        <v>198</v>
      </c>
      <c r="AL4" t="s">
        <v>195</v>
      </c>
      <c r="AM4" t="s">
        <v>196</v>
      </c>
      <c r="AN4" t="s">
        <v>197</v>
      </c>
      <c r="AO4" t="s">
        <v>198</v>
      </c>
      <c r="AP4" t="s">
        <v>195</v>
      </c>
      <c r="AQ4" t="s">
        <v>196</v>
      </c>
      <c r="AR4" t="s">
        <v>197</v>
      </c>
      <c r="AS4" t="s">
        <v>198</v>
      </c>
      <c r="AT4" t="s">
        <v>195</v>
      </c>
      <c r="AU4" t="s">
        <v>196</v>
      </c>
      <c r="AV4" t="s">
        <v>197</v>
      </c>
      <c r="AW4" t="s">
        <v>198</v>
      </c>
      <c r="AX4" t="s">
        <v>195</v>
      </c>
      <c r="AY4" t="s">
        <v>196</v>
      </c>
      <c r="AZ4" t="s">
        <v>197</v>
      </c>
      <c r="BA4" t="s">
        <v>198</v>
      </c>
      <c r="BB4" t="s">
        <v>195</v>
      </c>
      <c r="BC4" t="s">
        <v>196</v>
      </c>
      <c r="BD4" t="s">
        <v>197</v>
      </c>
      <c r="BE4" t="s">
        <v>198</v>
      </c>
      <c r="BF4" t="s">
        <v>195</v>
      </c>
      <c r="BG4" t="s">
        <v>196</v>
      </c>
      <c r="BH4" t="s">
        <v>197</v>
      </c>
      <c r="BI4" t="s">
        <v>198</v>
      </c>
      <c r="BJ4" t="s">
        <v>195</v>
      </c>
      <c r="BK4" t="s">
        <v>196</v>
      </c>
      <c r="BL4" t="s">
        <v>197</v>
      </c>
      <c r="BM4" t="s">
        <v>198</v>
      </c>
      <c r="BN4" t="s">
        <v>195</v>
      </c>
      <c r="BO4" t="s">
        <v>196</v>
      </c>
      <c r="BP4" t="s">
        <v>197</v>
      </c>
      <c r="BQ4" t="s">
        <v>198</v>
      </c>
      <c r="BR4" t="s">
        <v>195</v>
      </c>
      <c r="BS4" t="s">
        <v>196</v>
      </c>
      <c r="BT4" t="s">
        <v>197</v>
      </c>
      <c r="BU4" t="s">
        <v>198</v>
      </c>
      <c r="BV4" t="s">
        <v>195</v>
      </c>
      <c r="BW4" t="s">
        <v>196</v>
      </c>
      <c r="BX4" t="s">
        <v>197</v>
      </c>
      <c r="BY4" t="s">
        <v>198</v>
      </c>
      <c r="BZ4" t="s">
        <v>195</v>
      </c>
      <c r="CA4" t="s">
        <v>196</v>
      </c>
    </row>
    <row r="5" spans="1:79" x14ac:dyDescent="0.2">
      <c r="A5" t="s">
        <v>34</v>
      </c>
      <c r="B5" s="9">
        <v>46112</v>
      </c>
      <c r="C5" s="9">
        <v>46022</v>
      </c>
      <c r="D5" s="9">
        <v>45930</v>
      </c>
      <c r="E5" s="9">
        <v>45838</v>
      </c>
      <c r="F5" s="9">
        <v>45747</v>
      </c>
      <c r="G5" s="9">
        <v>45657</v>
      </c>
      <c r="H5" s="9">
        <v>45565</v>
      </c>
      <c r="I5" s="9">
        <v>45473</v>
      </c>
      <c r="J5" s="9">
        <v>45382</v>
      </c>
      <c r="K5" s="9">
        <v>45291</v>
      </c>
      <c r="L5" s="9">
        <v>45199</v>
      </c>
      <c r="M5" s="9">
        <v>45107</v>
      </c>
      <c r="N5" s="9">
        <v>45016</v>
      </c>
      <c r="O5" s="9">
        <v>44926</v>
      </c>
      <c r="P5" s="9">
        <v>44834</v>
      </c>
      <c r="Q5" s="9">
        <v>44742</v>
      </c>
      <c r="R5" s="9">
        <v>44651</v>
      </c>
      <c r="S5" s="9">
        <v>44561</v>
      </c>
      <c r="T5" s="9">
        <v>44469</v>
      </c>
      <c r="U5" s="9">
        <v>44377</v>
      </c>
      <c r="V5" s="9">
        <v>44286</v>
      </c>
      <c r="W5" s="9">
        <v>44196</v>
      </c>
      <c r="X5" s="9">
        <v>44104</v>
      </c>
      <c r="Y5" s="9">
        <v>44012</v>
      </c>
      <c r="Z5" s="9">
        <v>43921</v>
      </c>
      <c r="AA5" s="9">
        <v>43830</v>
      </c>
      <c r="AB5" s="9">
        <v>43738</v>
      </c>
      <c r="AC5" s="9">
        <v>43646</v>
      </c>
      <c r="AD5" s="9">
        <v>43555</v>
      </c>
      <c r="AE5" s="9">
        <v>43465</v>
      </c>
      <c r="AF5" s="9">
        <v>43373</v>
      </c>
      <c r="AG5" s="9">
        <v>43281</v>
      </c>
      <c r="AH5" s="9">
        <v>43190</v>
      </c>
      <c r="AI5" s="9">
        <v>43100</v>
      </c>
      <c r="AJ5" s="9">
        <v>43008</v>
      </c>
      <c r="AK5" s="9">
        <v>42916</v>
      </c>
      <c r="AL5" s="9">
        <v>42825</v>
      </c>
      <c r="AM5" s="9">
        <v>42735</v>
      </c>
      <c r="AN5" s="9">
        <v>42643</v>
      </c>
      <c r="AO5" s="9">
        <v>42551</v>
      </c>
      <c r="AP5" s="9">
        <v>42460</v>
      </c>
      <c r="AQ5" s="9">
        <v>42369</v>
      </c>
      <c r="AR5" s="9">
        <v>42277</v>
      </c>
      <c r="AS5" s="9">
        <v>42185</v>
      </c>
      <c r="AT5" s="9">
        <v>42094</v>
      </c>
      <c r="AU5" s="9">
        <v>42004</v>
      </c>
      <c r="AV5" s="9">
        <v>41912</v>
      </c>
      <c r="AW5" s="9">
        <v>41820</v>
      </c>
      <c r="AX5" s="9">
        <v>41729</v>
      </c>
      <c r="AY5" s="9">
        <v>41639</v>
      </c>
      <c r="AZ5" s="9">
        <v>41547</v>
      </c>
      <c r="BA5" s="9">
        <v>41455</v>
      </c>
      <c r="BB5" s="9">
        <v>41364</v>
      </c>
      <c r="BC5" s="9">
        <v>41274</v>
      </c>
      <c r="BD5" s="9">
        <v>41182</v>
      </c>
      <c r="BE5" s="9">
        <v>41090</v>
      </c>
      <c r="BF5" s="9">
        <v>40999</v>
      </c>
      <c r="BG5" s="9">
        <v>40908</v>
      </c>
      <c r="BH5" s="9">
        <v>40816</v>
      </c>
      <c r="BI5" s="9">
        <v>40724</v>
      </c>
      <c r="BJ5" s="9">
        <v>40633</v>
      </c>
      <c r="BK5" s="9">
        <v>40543</v>
      </c>
      <c r="BL5" s="9">
        <v>40451</v>
      </c>
      <c r="BM5" s="9">
        <v>40359</v>
      </c>
      <c r="BN5" s="9">
        <v>40268</v>
      </c>
      <c r="BO5" s="9">
        <v>40178</v>
      </c>
      <c r="BP5" s="9">
        <v>40086</v>
      </c>
      <c r="BQ5" s="9">
        <v>39994</v>
      </c>
      <c r="BR5" s="9">
        <v>39903</v>
      </c>
      <c r="BS5" s="9">
        <v>39813</v>
      </c>
      <c r="BT5" s="9">
        <v>39721</v>
      </c>
      <c r="BU5" s="9">
        <v>39629</v>
      </c>
      <c r="BV5" s="9">
        <v>39538</v>
      </c>
      <c r="BW5" s="9">
        <v>39447</v>
      </c>
      <c r="BX5" s="9">
        <v>39355</v>
      </c>
      <c r="BY5" s="9">
        <v>39263</v>
      </c>
      <c r="BZ5" s="9">
        <v>39172</v>
      </c>
      <c r="CA5" s="9">
        <v>39082</v>
      </c>
    </row>
    <row r="7" spans="1:79" x14ac:dyDescent="0.2">
      <c r="A7" s="1" t="s">
        <v>31</v>
      </c>
      <c r="B7" s="1">
        <v>1134103000000</v>
      </c>
      <c r="C7" s="1">
        <v>1055976591000</v>
      </c>
      <c r="D7" s="1">
        <v>989918000000</v>
      </c>
      <c r="E7" s="1">
        <v>933792000000</v>
      </c>
      <c r="F7" s="1">
        <v>839254000000</v>
      </c>
      <c r="G7" s="1">
        <v>868461000000</v>
      </c>
      <c r="H7" s="1">
        <v>759692143000</v>
      </c>
      <c r="I7" s="1">
        <v>673510177000</v>
      </c>
      <c r="J7" s="1">
        <v>592644201000</v>
      </c>
      <c r="K7" s="1">
        <v>625529000000</v>
      </c>
      <c r="L7" s="1">
        <v>546733000000</v>
      </c>
      <c r="M7" s="1">
        <v>480841254000</v>
      </c>
      <c r="N7" s="1">
        <v>508632973000</v>
      </c>
      <c r="O7" s="1">
        <v>625531876000</v>
      </c>
      <c r="P7" s="1">
        <v>613142743000</v>
      </c>
      <c r="Q7" s="1">
        <v>534140808000</v>
      </c>
      <c r="R7" s="1">
        <v>491075873000</v>
      </c>
      <c r="S7" s="1">
        <v>438264864000</v>
      </c>
      <c r="T7" s="1">
        <v>414670379000</v>
      </c>
      <c r="U7" s="1">
        <v>372145122000</v>
      </c>
      <c r="V7" s="1">
        <v>362410230000</v>
      </c>
      <c r="W7" s="1">
        <v>361580627000</v>
      </c>
      <c r="X7" s="1">
        <v>356439030000</v>
      </c>
      <c r="Y7" s="1">
        <v>310629333000</v>
      </c>
      <c r="Z7" s="1">
        <v>310589510000</v>
      </c>
      <c r="AA7" s="1">
        <v>317237000000</v>
      </c>
      <c r="AB7" s="1">
        <v>293025712000</v>
      </c>
      <c r="AC7" s="1">
        <v>241055305000</v>
      </c>
      <c r="AD7" s="1">
        <v>218709901000</v>
      </c>
      <c r="AE7" s="1">
        <v>289771000000</v>
      </c>
      <c r="AF7" s="1">
        <v>260333679000</v>
      </c>
      <c r="AG7" s="1">
        <v>233219641000</v>
      </c>
      <c r="AH7" s="1">
        <v>247961516000</v>
      </c>
      <c r="AI7" s="1">
        <v>277602795000</v>
      </c>
      <c r="AJ7" s="1">
        <v>252110812000</v>
      </c>
      <c r="AK7" s="1">
        <v>213810623000</v>
      </c>
      <c r="AL7" s="1">
        <v>233918370000</v>
      </c>
      <c r="AM7" s="1">
        <v>262226289000</v>
      </c>
      <c r="AN7" s="1">
        <v>260417602000</v>
      </c>
      <c r="AO7" s="1">
        <v>221802837000</v>
      </c>
      <c r="AP7" s="1">
        <v>203462472000</v>
      </c>
      <c r="AQ7" s="1">
        <v>203532960000</v>
      </c>
      <c r="AR7" s="1">
        <v>212524180000</v>
      </c>
      <c r="AS7" s="1">
        <v>205440763000</v>
      </c>
      <c r="AT7" s="1">
        <v>222014597000</v>
      </c>
      <c r="AU7" s="1">
        <v>222536168000</v>
      </c>
      <c r="AV7" s="1">
        <v>209046528000</v>
      </c>
      <c r="AW7" s="1">
        <v>183016115000</v>
      </c>
      <c r="AX7" s="1">
        <v>148236189000</v>
      </c>
      <c r="AY7" s="1">
        <v>145827783000</v>
      </c>
      <c r="AZ7" s="1">
        <v>162527275000</v>
      </c>
      <c r="BA7" s="1">
        <v>155889706000</v>
      </c>
      <c r="BB7" s="1">
        <v>132758536000</v>
      </c>
      <c r="BC7" s="1">
        <v>131279646000</v>
      </c>
      <c r="BD7" s="1">
        <v>141509634000</v>
      </c>
      <c r="BE7" s="1">
        <v>127972352000</v>
      </c>
      <c r="BF7" s="1">
        <v>105688860000</v>
      </c>
      <c r="BG7" s="1">
        <v>104711122000</v>
      </c>
      <c r="BH7" s="1">
        <v>106483616000</v>
      </c>
      <c r="BI7" s="1">
        <v>110508367000</v>
      </c>
      <c r="BJ7" s="1">
        <v>105377495000</v>
      </c>
      <c r="BK7" s="1">
        <v>110142198000</v>
      </c>
      <c r="BL7" s="1">
        <v>112246699000</v>
      </c>
      <c r="BM7" s="1">
        <v>104962317000</v>
      </c>
      <c r="BN7" s="1">
        <v>92186686000</v>
      </c>
      <c r="BO7" s="1">
        <v>92094409000</v>
      </c>
      <c r="BP7" s="1">
        <v>89935791000</v>
      </c>
      <c r="BQ7" s="1">
        <v>74212000000</v>
      </c>
      <c r="BR7" s="1">
        <v>39500126000</v>
      </c>
      <c r="BS7" s="1">
        <v>66169451000</v>
      </c>
      <c r="BT7" s="1">
        <v>92736246000</v>
      </c>
      <c r="BU7" s="1">
        <v>85482402000</v>
      </c>
      <c r="BV7" s="1">
        <v>87479966000</v>
      </c>
      <c r="BW7" s="1">
        <v>96640339000</v>
      </c>
      <c r="BX7" s="1">
        <v>88003773000</v>
      </c>
      <c r="BY7" s="1">
        <v>72969155000</v>
      </c>
      <c r="BZ7" s="1">
        <v>65300855000</v>
      </c>
      <c r="CA7" s="1">
        <v>11308580000</v>
      </c>
    </row>
    <row r="9" spans="1:79" x14ac:dyDescent="0.2">
      <c r="A9" s="1" t="s">
        <v>30</v>
      </c>
      <c r="B9" s="1">
        <v>382808000000</v>
      </c>
      <c r="C9" s="1">
        <v>397827665000</v>
      </c>
      <c r="D9" s="1">
        <v>401375000000</v>
      </c>
      <c r="E9" s="1">
        <v>386423000000</v>
      </c>
      <c r="F9" s="1">
        <v>345859000000</v>
      </c>
      <c r="G9" s="1">
        <v>356082000000</v>
      </c>
      <c r="H9" s="1">
        <v>320346477000</v>
      </c>
      <c r="I9" s="1">
        <v>315385699000</v>
      </c>
      <c r="J9" s="1">
        <v>278138932000</v>
      </c>
      <c r="K9" s="1">
        <v>293761000000</v>
      </c>
      <c r="L9" s="1">
        <v>250090294000</v>
      </c>
      <c r="M9" s="1">
        <v>220641407000</v>
      </c>
      <c r="N9" s="1">
        <v>222132581000</v>
      </c>
      <c r="O9" s="1">
        <v>236346953000</v>
      </c>
      <c r="P9" s="1">
        <v>242644026000</v>
      </c>
      <c r="Q9" s="1">
        <v>218672814000</v>
      </c>
      <c r="R9" s="1">
        <v>217872707000</v>
      </c>
      <c r="S9" s="1">
        <v>207510007000</v>
      </c>
      <c r="T9" s="1">
        <v>201924184000</v>
      </c>
      <c r="U9" s="1">
        <v>185948304000</v>
      </c>
      <c r="V9" s="1">
        <v>172570800000</v>
      </c>
      <c r="W9" s="1">
        <v>166344322000</v>
      </c>
      <c r="X9" s="1">
        <v>165945534000</v>
      </c>
      <c r="Y9" s="1">
        <v>146005542000</v>
      </c>
      <c r="Z9" s="1">
        <v>149813002000</v>
      </c>
      <c r="AA9" s="1">
        <v>158035000000</v>
      </c>
      <c r="AB9" s="1">
        <v>153613278000</v>
      </c>
      <c r="AC9" s="1">
        <v>137325245000</v>
      </c>
      <c r="AD9" s="1">
        <v>128352344000</v>
      </c>
      <c r="AE9" s="1">
        <v>151652000000</v>
      </c>
      <c r="AF9" s="1">
        <v>136967039000</v>
      </c>
      <c r="AG9" s="1">
        <v>121688707000</v>
      </c>
      <c r="AH9" s="1">
        <v>123103977000</v>
      </c>
      <c r="AI9" s="1">
        <v>138854833000</v>
      </c>
      <c r="AJ9" s="1">
        <v>126230664000</v>
      </c>
      <c r="AK9" s="1">
        <v>105101969000</v>
      </c>
      <c r="AL9" s="1">
        <v>112428734000</v>
      </c>
      <c r="AM9" s="1">
        <v>125116792000</v>
      </c>
      <c r="AN9" s="1">
        <v>128366813000</v>
      </c>
      <c r="AO9" s="1">
        <v>107468601000</v>
      </c>
      <c r="AP9" s="1">
        <v>112124894000</v>
      </c>
      <c r="AQ9" s="1">
        <v>104608036000</v>
      </c>
      <c r="AR9" s="1">
        <v>110188424000</v>
      </c>
      <c r="AS9" s="1">
        <v>105735807000</v>
      </c>
      <c r="AT9" s="1">
        <v>112585333000</v>
      </c>
      <c r="AU9" s="1">
        <v>111985553000</v>
      </c>
      <c r="AV9" s="1">
        <v>103471256000</v>
      </c>
      <c r="AW9" s="1">
        <v>91826284000</v>
      </c>
      <c r="AX9" s="1">
        <v>77839185000</v>
      </c>
      <c r="AY9" s="1">
        <v>80549790000</v>
      </c>
      <c r="AZ9" s="1">
        <v>83636464000</v>
      </c>
      <c r="BA9" s="1">
        <v>79467520000</v>
      </c>
      <c r="BB9" s="1">
        <v>71988726000</v>
      </c>
      <c r="BC9" s="1">
        <v>69331327000</v>
      </c>
      <c r="BD9" s="1">
        <v>72344501000</v>
      </c>
      <c r="BE9" s="1">
        <v>65579011000</v>
      </c>
      <c r="BF9" s="1">
        <v>55210347000</v>
      </c>
      <c r="BG9" s="1">
        <v>57939255000</v>
      </c>
      <c r="BH9" s="1">
        <v>61712954000</v>
      </c>
      <c r="BI9" s="1">
        <v>59652408000</v>
      </c>
      <c r="BJ9" s="1">
        <v>53706783000</v>
      </c>
      <c r="BK9" s="1">
        <v>55324973000</v>
      </c>
      <c r="BL9" s="1">
        <v>56121924000</v>
      </c>
      <c r="BM9" s="1">
        <v>53036208000</v>
      </c>
      <c r="BN9" s="1">
        <v>48001195000</v>
      </c>
      <c r="BO9" s="1">
        <v>47399720000</v>
      </c>
      <c r="BP9" s="1">
        <v>47077880000</v>
      </c>
      <c r="BQ9" s="1">
        <v>39916000000</v>
      </c>
      <c r="BR9" s="1">
        <v>32019884000</v>
      </c>
      <c r="BS9" s="1">
        <v>45271022000</v>
      </c>
      <c r="BT9" s="1">
        <v>49755000000</v>
      </c>
      <c r="BU9" s="1">
        <v>46183738000</v>
      </c>
      <c r="BV9" s="1">
        <v>49240688000</v>
      </c>
      <c r="BW9" s="1">
        <v>50632338000</v>
      </c>
      <c r="BX9" s="1">
        <v>47717601000</v>
      </c>
      <c r="BY9" s="1">
        <v>42031521000</v>
      </c>
      <c r="BZ9" s="1">
        <v>40544119000</v>
      </c>
      <c r="CA9" s="1">
        <v>38465500000</v>
      </c>
    </row>
    <row r="10" spans="1:79" x14ac:dyDescent="0.2">
      <c r="A10" s="6" t="s">
        <v>29</v>
      </c>
      <c r="B10" s="4">
        <v>751295000000</v>
      </c>
      <c r="C10" s="4">
        <v>658148926000</v>
      </c>
      <c r="D10" s="4">
        <v>588543000000</v>
      </c>
      <c r="E10" s="4">
        <v>547369000000</v>
      </c>
      <c r="F10" s="4">
        <v>493395000000</v>
      </c>
      <c r="G10" s="4">
        <v>512379000000</v>
      </c>
      <c r="H10" s="4">
        <v>439345666000</v>
      </c>
      <c r="I10" s="4">
        <v>358124478000</v>
      </c>
      <c r="J10" s="4">
        <v>314505269000</v>
      </c>
      <c r="K10" s="4">
        <v>331768000000</v>
      </c>
      <c r="L10" s="4">
        <v>296643000000</v>
      </c>
      <c r="M10" s="4">
        <v>260199847000</v>
      </c>
      <c r="N10" s="4">
        <v>286500392000</v>
      </c>
      <c r="O10" s="4">
        <v>389184923000</v>
      </c>
      <c r="P10" s="4">
        <v>370498717000</v>
      </c>
      <c r="Q10" s="4">
        <v>315467994000</v>
      </c>
      <c r="R10" s="4">
        <v>273203166000</v>
      </c>
      <c r="S10" s="4">
        <v>230754857000</v>
      </c>
      <c r="T10" s="4">
        <v>212746195000</v>
      </c>
      <c r="U10" s="4">
        <v>186196818000</v>
      </c>
      <c r="V10" s="4">
        <v>189839430000</v>
      </c>
      <c r="W10" s="4">
        <v>195236305000</v>
      </c>
      <c r="X10" s="4">
        <v>190493496000</v>
      </c>
      <c r="Y10" s="4">
        <v>164623791000</v>
      </c>
      <c r="Z10" s="4">
        <v>160776508000</v>
      </c>
      <c r="AA10" s="4">
        <v>159202000000</v>
      </c>
      <c r="AB10" s="4">
        <v>139412434000</v>
      </c>
      <c r="AC10" s="4">
        <v>103730060000</v>
      </c>
      <c r="AD10" s="4">
        <v>90357557000</v>
      </c>
      <c r="AE10" s="4">
        <v>138119000000</v>
      </c>
      <c r="AF10" s="4">
        <v>123366640000</v>
      </c>
      <c r="AG10" s="4">
        <v>111530934000</v>
      </c>
      <c r="AH10" s="4">
        <v>124857539000</v>
      </c>
      <c r="AI10" s="4">
        <v>138747962000</v>
      </c>
      <c r="AJ10" s="4">
        <v>125880148000</v>
      </c>
      <c r="AK10" s="4">
        <v>108708654000</v>
      </c>
      <c r="AL10" s="4">
        <v>121489636000</v>
      </c>
      <c r="AM10" s="4">
        <v>137109497000</v>
      </c>
      <c r="AN10" s="4">
        <v>132050789000</v>
      </c>
      <c r="AO10" s="4">
        <v>114334236000</v>
      </c>
      <c r="AP10" s="4">
        <v>91337578000</v>
      </c>
      <c r="AQ10" s="4">
        <v>98924924000</v>
      </c>
      <c r="AR10" s="4">
        <v>102335756000</v>
      </c>
      <c r="AS10" s="4">
        <v>99704956000</v>
      </c>
      <c r="AT10" s="4">
        <v>109429264000</v>
      </c>
      <c r="AU10" s="4">
        <v>110550615000</v>
      </c>
      <c r="AV10" s="4">
        <v>105575272000</v>
      </c>
      <c r="AW10" s="4">
        <v>91189831000</v>
      </c>
      <c r="AX10" s="4">
        <v>70397004000</v>
      </c>
      <c r="AY10" s="4">
        <v>65277993000</v>
      </c>
      <c r="AZ10" s="4">
        <v>78890811000</v>
      </c>
      <c r="BA10" s="4">
        <v>76422186000</v>
      </c>
      <c r="BB10" s="4">
        <v>60769810000</v>
      </c>
      <c r="BC10" s="4">
        <v>61948319000</v>
      </c>
      <c r="BD10" s="4">
        <v>69165133000</v>
      </c>
      <c r="BE10" s="4">
        <v>62393341000</v>
      </c>
      <c r="BF10" s="4">
        <v>50478513000</v>
      </c>
      <c r="BG10" s="4">
        <v>46771867000</v>
      </c>
      <c r="BH10" s="4">
        <v>44770662000</v>
      </c>
      <c r="BI10" s="4">
        <v>50855959000</v>
      </c>
      <c r="BJ10" s="4">
        <v>51670712000</v>
      </c>
      <c r="BK10" s="4">
        <v>54817225000</v>
      </c>
      <c r="BL10" s="4">
        <v>56124775000</v>
      </c>
      <c r="BM10" s="4">
        <v>51926109000</v>
      </c>
      <c r="BN10" s="4">
        <v>44185491000</v>
      </c>
      <c r="BO10" s="4">
        <v>44694689000</v>
      </c>
      <c r="BP10" s="4">
        <v>42857911000</v>
      </c>
      <c r="BQ10" s="4">
        <v>34296000000</v>
      </c>
      <c r="BR10" s="4">
        <v>7480242000</v>
      </c>
      <c r="BS10" s="4">
        <v>20898429000</v>
      </c>
      <c r="BT10" s="4">
        <v>42981247000</v>
      </c>
      <c r="BU10" s="4">
        <v>39298664000</v>
      </c>
      <c r="BV10" s="4">
        <v>38239278000</v>
      </c>
      <c r="BW10" s="4">
        <v>46008001000</v>
      </c>
      <c r="BX10" s="4">
        <v>40286172000</v>
      </c>
      <c r="BY10" s="4">
        <v>30937634000</v>
      </c>
      <c r="BZ10" s="4">
        <v>24756736000</v>
      </c>
      <c r="CA10" s="4">
        <v>-27156920000</v>
      </c>
    </row>
    <row r="11" spans="1:79" x14ac:dyDescent="0.2">
      <c r="A11" s="3" t="s">
        <v>28</v>
      </c>
      <c r="B11" s="3">
        <v>0.66245746640000003</v>
      </c>
      <c r="C11" s="3">
        <v>0.62326090519999999</v>
      </c>
      <c r="D11" s="3">
        <v>0.59453712329999997</v>
      </c>
      <c r="E11" s="3">
        <v>0.58617872069999999</v>
      </c>
      <c r="F11" s="3">
        <v>0.5878971086</v>
      </c>
      <c r="G11" s="3">
        <v>0.58998504249999995</v>
      </c>
      <c r="H11" s="3">
        <v>0.57832066589999997</v>
      </c>
      <c r="I11" s="3">
        <v>0.531728384</v>
      </c>
      <c r="J11" s="3">
        <v>0.53068142480000002</v>
      </c>
      <c r="K11" s="3">
        <v>0.53037988650000001</v>
      </c>
      <c r="L11" s="3">
        <v>0.5425737974</v>
      </c>
      <c r="M11" s="3">
        <v>0.54113461529999995</v>
      </c>
      <c r="N11" s="3">
        <v>0.56327530299999995</v>
      </c>
      <c r="O11" s="3">
        <v>0.62216641220000002</v>
      </c>
      <c r="P11" s="3">
        <v>0.60426176649999996</v>
      </c>
      <c r="Q11" s="3">
        <v>0.59060829889999999</v>
      </c>
      <c r="R11" s="3">
        <v>0.55633595749999998</v>
      </c>
      <c r="S11" s="3">
        <v>0.52651918040000001</v>
      </c>
      <c r="T11" s="3">
        <v>0.5130489318</v>
      </c>
      <c r="U11" s="3">
        <v>0.50033389390000005</v>
      </c>
      <c r="V11" s="3">
        <v>0.52382470000000003</v>
      </c>
      <c r="W11" s="3">
        <v>0.53995233819999999</v>
      </c>
      <c r="X11" s="3">
        <v>0.53443500840000002</v>
      </c>
      <c r="Y11" s="3">
        <v>0.52996859439999999</v>
      </c>
      <c r="Z11" s="3">
        <v>0.51764951110000001</v>
      </c>
      <c r="AA11" s="3">
        <v>0.5018393189</v>
      </c>
      <c r="AB11" s="3">
        <v>0.4757686042</v>
      </c>
      <c r="AC11" s="3">
        <v>0.4303164371</v>
      </c>
      <c r="AD11" s="3">
        <v>0.41313885010000001</v>
      </c>
      <c r="AE11" s="3">
        <v>0.47664880199999998</v>
      </c>
      <c r="AF11" s="3">
        <v>0.47387890980000003</v>
      </c>
      <c r="AG11" s="3">
        <v>0.47822273250000003</v>
      </c>
      <c r="AH11" s="3">
        <v>0.50353595600000001</v>
      </c>
      <c r="AI11" s="3">
        <v>0.49980751089999997</v>
      </c>
      <c r="AJ11" s="3">
        <v>0.49930483739999998</v>
      </c>
      <c r="AK11" s="3">
        <v>0.50843429799999995</v>
      </c>
      <c r="AL11" s="3">
        <v>0.51936765799999995</v>
      </c>
      <c r="AM11" s="3">
        <v>0.52286709129999998</v>
      </c>
      <c r="AN11" s="3">
        <v>0.50707320850000004</v>
      </c>
      <c r="AO11" s="3">
        <v>0.51547688729999996</v>
      </c>
      <c r="AP11" s="3">
        <v>0.44891609300000002</v>
      </c>
      <c r="AQ11" s="3">
        <v>0.48603884110000001</v>
      </c>
      <c r="AR11" s="3">
        <v>0.48152523629999999</v>
      </c>
      <c r="AS11" s="3">
        <v>0.48532216560000002</v>
      </c>
      <c r="AT11" s="3">
        <v>0.49289220379999998</v>
      </c>
      <c r="AU11" s="3">
        <v>0.49677594429999999</v>
      </c>
      <c r="AV11" s="3">
        <v>0.50503241080000005</v>
      </c>
      <c r="AW11" s="3">
        <v>0.4982612105</v>
      </c>
      <c r="AX11" s="3">
        <v>0.47489755690000002</v>
      </c>
      <c r="AY11" s="3">
        <v>0.44763756030000001</v>
      </c>
      <c r="AZ11" s="3">
        <v>0.48540044119999998</v>
      </c>
      <c r="BA11" s="3">
        <v>0.49023240829999998</v>
      </c>
      <c r="BB11" s="3">
        <v>0.45774691280000002</v>
      </c>
      <c r="BC11" s="3">
        <v>0.47188060669999998</v>
      </c>
      <c r="BD11" s="3">
        <v>0.48876624889999998</v>
      </c>
      <c r="BE11" s="3">
        <v>0.48755328809999998</v>
      </c>
      <c r="BF11" s="3">
        <v>0.47761431999999998</v>
      </c>
      <c r="BG11" s="3">
        <v>0.44667525380000001</v>
      </c>
      <c r="BH11" s="3">
        <v>0.4204464845</v>
      </c>
      <c r="BI11" s="3">
        <v>0.46020007699999999</v>
      </c>
      <c r="BJ11" s="3">
        <v>0.49033915639999998</v>
      </c>
      <c r="BK11" s="3">
        <v>0.4976950342</v>
      </c>
      <c r="BL11" s="3">
        <v>0.50001269969999995</v>
      </c>
      <c r="BM11" s="3">
        <v>0.49471191650000002</v>
      </c>
      <c r="BN11" s="3">
        <v>0.47930447349999999</v>
      </c>
      <c r="BO11" s="3">
        <v>0.48531381530000001</v>
      </c>
      <c r="BP11" s="3">
        <v>0.47653898989999999</v>
      </c>
      <c r="BQ11" s="3">
        <v>0.46213550370000001</v>
      </c>
      <c r="BR11" s="3">
        <v>0.1893726111</v>
      </c>
      <c r="BS11" s="3">
        <v>0.31583198420000003</v>
      </c>
      <c r="BT11" s="3">
        <v>0.46347840089999998</v>
      </c>
      <c r="BU11" s="3">
        <v>0.4597281204</v>
      </c>
      <c r="BV11" s="3">
        <v>0.4371204031</v>
      </c>
      <c r="BW11" s="3">
        <v>0.47607449930000001</v>
      </c>
      <c r="BX11" s="3">
        <v>0.45777778190000001</v>
      </c>
      <c r="BY11" s="3">
        <v>0.42398235249999999</v>
      </c>
      <c r="BZ11" s="3">
        <v>0.37911809880000003</v>
      </c>
      <c r="CA11" s="3">
        <v>-2.4014438594</v>
      </c>
    </row>
    <row r="13" spans="1:79" x14ac:dyDescent="0.2">
      <c r="A13" s="1" t="s">
        <v>27</v>
      </c>
      <c r="B13" s="1">
        <v>67757000000</v>
      </c>
      <c r="C13" s="1">
        <v>65469963000</v>
      </c>
      <c r="D13" s="1">
        <v>63742245000</v>
      </c>
      <c r="E13" s="1">
        <v>61279719000</v>
      </c>
      <c r="F13" s="1">
        <v>56547493000</v>
      </c>
      <c r="G13" s="1">
        <v>57232000000</v>
      </c>
      <c r="H13" s="1">
        <v>52783826000</v>
      </c>
      <c r="I13" s="1">
        <v>48057704000</v>
      </c>
      <c r="J13" s="1">
        <v>46108936000</v>
      </c>
      <c r="K13" s="1">
        <v>50410000000</v>
      </c>
      <c r="L13" s="1">
        <v>51137762000</v>
      </c>
      <c r="M13" s="1">
        <v>41665278000</v>
      </c>
      <c r="N13" s="1">
        <v>39157036000</v>
      </c>
      <c r="O13" s="1">
        <v>44587023000</v>
      </c>
      <c r="P13" s="1">
        <v>42977507000</v>
      </c>
      <c r="Q13" s="1">
        <v>39649130000</v>
      </c>
      <c r="R13" s="1">
        <v>36048540000</v>
      </c>
      <c r="S13" s="1">
        <v>32238432000</v>
      </c>
      <c r="T13" s="1">
        <v>30866634000</v>
      </c>
      <c r="U13" s="1">
        <v>30873376000</v>
      </c>
      <c r="V13" s="1">
        <v>30756358000</v>
      </c>
      <c r="W13" s="1">
        <v>29940323000</v>
      </c>
      <c r="X13" s="1">
        <v>29683751000</v>
      </c>
      <c r="Y13" s="1">
        <v>24893043000</v>
      </c>
      <c r="Z13" s="1">
        <v>24968883000</v>
      </c>
      <c r="AA13" s="1">
        <v>25636000000</v>
      </c>
      <c r="AB13" s="1">
        <v>23972076000</v>
      </c>
      <c r="AC13" s="1">
        <v>21393728000</v>
      </c>
      <c r="AD13" s="1">
        <v>20417311000</v>
      </c>
      <c r="AE13" s="1">
        <v>23689000000</v>
      </c>
      <c r="AF13" s="1">
        <v>21886199000</v>
      </c>
      <c r="AG13" s="1">
        <v>19891553000</v>
      </c>
      <c r="AH13" s="1">
        <v>20428594000</v>
      </c>
      <c r="AI13" s="1">
        <v>21217212000</v>
      </c>
      <c r="AJ13" s="1">
        <v>21045439000</v>
      </c>
      <c r="AK13" s="1">
        <v>19057456000</v>
      </c>
      <c r="AL13" s="1">
        <v>19412393000</v>
      </c>
      <c r="AM13" s="1">
        <v>19960877000</v>
      </c>
      <c r="AN13" s="1">
        <v>18724320000</v>
      </c>
      <c r="AO13" s="1">
        <v>16903540000</v>
      </c>
      <c r="AP13" s="1">
        <v>15618963000</v>
      </c>
      <c r="AQ13" s="1">
        <v>15664559000</v>
      </c>
      <c r="AR13" s="1">
        <v>16486365000</v>
      </c>
      <c r="AS13" s="1">
        <v>16612213000</v>
      </c>
      <c r="AT13" s="1">
        <v>16781463000</v>
      </c>
      <c r="AU13" s="1">
        <v>15947094000</v>
      </c>
      <c r="AV13" s="1">
        <v>15207282000</v>
      </c>
      <c r="AW13" s="1">
        <v>13610337000</v>
      </c>
      <c r="AX13" s="1">
        <v>12067892000</v>
      </c>
      <c r="AY13" s="1">
        <v>12002069000</v>
      </c>
      <c r="AZ13" s="1">
        <v>13357075000</v>
      </c>
      <c r="BA13" s="1">
        <v>11941871000</v>
      </c>
      <c r="BB13" s="1">
        <v>10650985000</v>
      </c>
      <c r="BC13" s="1">
        <v>10504785000</v>
      </c>
      <c r="BD13" s="1">
        <v>10656855000</v>
      </c>
      <c r="BE13" s="1">
        <v>10068390000</v>
      </c>
      <c r="BF13" s="1">
        <v>9157852000</v>
      </c>
      <c r="BG13" s="1">
        <v>8753900000</v>
      </c>
      <c r="BH13" s="1">
        <v>8619323000</v>
      </c>
      <c r="BI13" s="1">
        <v>8493049000</v>
      </c>
      <c r="BJ13" s="1">
        <v>7963628000</v>
      </c>
      <c r="BK13" s="1">
        <v>8071970000</v>
      </c>
      <c r="BL13" s="1">
        <v>8034839000</v>
      </c>
      <c r="BM13" s="1">
        <v>7190051000</v>
      </c>
      <c r="BN13" s="1">
        <v>6409840000</v>
      </c>
      <c r="BO13" s="1">
        <v>6567067000</v>
      </c>
      <c r="BP13" s="1">
        <v>6201333000</v>
      </c>
      <c r="BQ13" s="1">
        <v>5096000000</v>
      </c>
      <c r="BR13" s="1">
        <v>3728933000</v>
      </c>
      <c r="BS13" s="1">
        <v>4928172000</v>
      </c>
      <c r="BT13" s="1">
        <v>5965156000</v>
      </c>
      <c r="BU13" s="1">
        <v>4956318000</v>
      </c>
      <c r="BV13" s="1">
        <v>5270006000</v>
      </c>
      <c r="BW13" s="1">
        <v>5170875000</v>
      </c>
      <c r="BX13" s="1">
        <v>4628347000</v>
      </c>
      <c r="BY13" s="1">
        <v>3806508000</v>
      </c>
      <c r="BZ13" s="1">
        <v>3971669000</v>
      </c>
      <c r="CA13" s="1">
        <v>4872359000</v>
      </c>
    </row>
    <row r="14" spans="1:79" x14ac:dyDescent="0.2">
      <c r="A14" s="1" t="s">
        <v>24</v>
      </c>
      <c r="B14" s="1">
        <v>26249000000</v>
      </c>
      <c r="C14" s="1">
        <v>23553520000</v>
      </c>
      <c r="D14" s="1">
        <v>24022200000</v>
      </c>
      <c r="E14" s="1">
        <v>23228620000</v>
      </c>
      <c r="F14" s="1">
        <v>28638563000</v>
      </c>
      <c r="G14" s="1">
        <v>29108000000</v>
      </c>
      <c r="H14" s="1">
        <v>26295078000</v>
      </c>
      <c r="I14" s="1">
        <v>22237606000</v>
      </c>
      <c r="J14" s="1">
        <v>19248345000</v>
      </c>
      <c r="K14" s="1">
        <v>21211000000</v>
      </c>
      <c r="L14" s="1">
        <v>17571029000</v>
      </c>
      <c r="M14" s="1">
        <v>16529282000</v>
      </c>
      <c r="N14" s="1">
        <v>16152308000</v>
      </c>
      <c r="O14" s="1">
        <v>19948307000</v>
      </c>
      <c r="P14" s="1">
        <v>17208955000</v>
      </c>
      <c r="Q14" s="1">
        <v>13725388000</v>
      </c>
      <c r="R14" s="1">
        <v>12562650000</v>
      </c>
      <c r="S14" s="1">
        <v>15639396000</v>
      </c>
      <c r="T14" s="1">
        <v>10783282000</v>
      </c>
      <c r="U14" s="1">
        <v>9710047000</v>
      </c>
      <c r="V14" s="1">
        <v>8355475000</v>
      </c>
      <c r="W14" s="1">
        <v>8380967000</v>
      </c>
      <c r="X14" s="1">
        <v>11207604000</v>
      </c>
      <c r="Y14" s="1">
        <v>8627666000</v>
      </c>
      <c r="Z14" s="1">
        <v>7354163000</v>
      </c>
      <c r="AA14" s="1">
        <v>9307000000</v>
      </c>
      <c r="AB14" s="1">
        <v>7406877000</v>
      </c>
      <c r="AC14" s="1">
        <v>5771267000</v>
      </c>
      <c r="AD14" s="1">
        <v>5600702000</v>
      </c>
      <c r="AE14" s="1">
        <v>7163000000</v>
      </c>
      <c r="AF14" s="1">
        <v>6242253000</v>
      </c>
      <c r="AG14" s="1">
        <v>6548571000</v>
      </c>
      <c r="AH14" s="1">
        <v>6299800000</v>
      </c>
      <c r="AI14" s="1">
        <v>7624475000</v>
      </c>
      <c r="AJ14" s="1">
        <v>6491277000</v>
      </c>
      <c r="AK14" s="1">
        <v>6309358000</v>
      </c>
      <c r="AL14" s="1">
        <v>6744090000</v>
      </c>
      <c r="AM14" s="1">
        <v>7215998000</v>
      </c>
      <c r="AN14" s="1">
        <v>7116268000</v>
      </c>
      <c r="AO14" s="1">
        <v>6104100000</v>
      </c>
      <c r="AP14" s="1">
        <v>5260034000</v>
      </c>
      <c r="AQ14" s="1">
        <v>5548053000</v>
      </c>
      <c r="AR14" s="1">
        <v>5673799000</v>
      </c>
      <c r="AS14" s="1">
        <v>5942999000</v>
      </c>
      <c r="AT14" s="1">
        <v>5757049000</v>
      </c>
      <c r="AU14" s="1">
        <v>5634676000</v>
      </c>
      <c r="AV14" s="1">
        <v>5935452000</v>
      </c>
      <c r="AW14" s="1">
        <v>6643071000</v>
      </c>
      <c r="AX14" s="1">
        <v>5808757000</v>
      </c>
      <c r="AY14" s="1">
        <v>4908261000</v>
      </c>
      <c r="AZ14" s="1">
        <v>5903157000</v>
      </c>
      <c r="BA14" s="1">
        <v>6850263000</v>
      </c>
      <c r="BB14" s="1">
        <v>5725319000</v>
      </c>
      <c r="BC14" s="1">
        <v>5188852000</v>
      </c>
      <c r="BD14" s="1">
        <v>5713499000</v>
      </c>
      <c r="BE14" s="1">
        <v>5469679000</v>
      </c>
      <c r="BF14" s="1">
        <v>5757439000</v>
      </c>
      <c r="BG14" s="1">
        <v>5087928000</v>
      </c>
      <c r="BH14" s="1">
        <v>4553265000</v>
      </c>
      <c r="BI14" s="1">
        <v>4496603000</v>
      </c>
      <c r="BJ14" s="1">
        <v>4544104000</v>
      </c>
      <c r="BK14" s="1">
        <v>5231812000</v>
      </c>
      <c r="BL14" s="1">
        <v>5024434000</v>
      </c>
      <c r="BM14" s="1">
        <v>4267365000</v>
      </c>
      <c r="BN14" s="1">
        <v>3647989000</v>
      </c>
      <c r="BO14" s="1">
        <v>4485734000</v>
      </c>
      <c r="BP14" s="1">
        <v>4672566000</v>
      </c>
      <c r="BQ14" s="1">
        <v>4073000000</v>
      </c>
      <c r="BR14" s="1">
        <v>2541968000</v>
      </c>
      <c r="BS14" s="1">
        <v>3422726000</v>
      </c>
      <c r="BT14" s="1">
        <v>4184583000</v>
      </c>
      <c r="BU14" s="1">
        <v>3453723000</v>
      </c>
      <c r="BV14" s="1">
        <v>3846074000</v>
      </c>
      <c r="BW14" s="1">
        <v>3195955000</v>
      </c>
      <c r="BX14" s="1">
        <v>3650527000</v>
      </c>
      <c r="BY14" s="1">
        <v>2216971000</v>
      </c>
      <c r="BZ14" s="1">
        <v>2780168000</v>
      </c>
      <c r="CA14" s="1">
        <v>5760006000</v>
      </c>
    </row>
    <row r="15" spans="1:79" x14ac:dyDescent="0.2">
      <c r="A15" s="1" t="s">
        <v>26</v>
      </c>
      <c r="B15" s="1">
        <v>21833650000</v>
      </c>
      <c r="C15" s="1">
        <v>23333000000</v>
      </c>
      <c r="D15" s="1">
        <v>20048234000</v>
      </c>
      <c r="E15" s="1">
        <v>18955373000</v>
      </c>
      <c r="F15" s="1">
        <v>24883748000</v>
      </c>
      <c r="G15" s="1">
        <v>25427009000</v>
      </c>
      <c r="H15" s="1">
        <v>22890591000</v>
      </c>
      <c r="I15" s="1">
        <v>19290282000</v>
      </c>
      <c r="J15" s="1">
        <v>16137086000</v>
      </c>
      <c r="K15" s="1">
        <v>18235339000</v>
      </c>
      <c r="L15" s="1">
        <v>14998124000</v>
      </c>
      <c r="M15" s="1">
        <v>14163389000</v>
      </c>
      <c r="N15" s="1">
        <v>13475948000</v>
      </c>
      <c r="O15" s="1">
        <v>16957177000</v>
      </c>
      <c r="P15" s="1">
        <v>14499002000</v>
      </c>
      <c r="Q15" s="1">
        <v>11568594000</v>
      </c>
      <c r="R15" s="1">
        <v>10500027000</v>
      </c>
      <c r="S15" s="1">
        <v>13648949000</v>
      </c>
      <c r="T15" s="1">
        <v>8929793000</v>
      </c>
      <c r="U15" s="1">
        <v>7826613000</v>
      </c>
      <c r="V15" s="1">
        <v>6524245000</v>
      </c>
      <c r="W15" s="1">
        <v>6387579000</v>
      </c>
      <c r="X15" s="1">
        <v>9272555000</v>
      </c>
      <c r="Y15" s="1">
        <v>6894405000</v>
      </c>
      <c r="Z15" s="1">
        <v>5903061000</v>
      </c>
      <c r="AA15" s="1">
        <v>7498160000</v>
      </c>
      <c r="AB15" s="1">
        <v>5810048000</v>
      </c>
      <c r="AC15" s="1">
        <v>4288263000</v>
      </c>
      <c r="AD15" s="1">
        <v>4140729000</v>
      </c>
      <c r="AE15" s="1">
        <v>5686868000</v>
      </c>
      <c r="AF15" s="1">
        <v>4656730000</v>
      </c>
      <c r="AG15" s="1">
        <v>5070594000</v>
      </c>
      <c r="AH15" s="1">
        <v>4851708000</v>
      </c>
      <c r="AI15" s="1">
        <v>6018259000</v>
      </c>
      <c r="AJ15" s="1">
        <v>5003679000</v>
      </c>
      <c r="AK15" s="1">
        <v>4927159000</v>
      </c>
      <c r="AL15" s="1">
        <v>5247603000</v>
      </c>
      <c r="AM15" s="1">
        <v>5698653000</v>
      </c>
      <c r="AN15" s="1">
        <v>5584814000</v>
      </c>
      <c r="AO15" s="1">
        <v>4667198000</v>
      </c>
      <c r="AP15" s="1">
        <v>3844935000</v>
      </c>
      <c r="AQ15" s="1">
        <v>4130899000</v>
      </c>
      <c r="AR15" s="1">
        <v>4296668000</v>
      </c>
      <c r="AS15" s="1">
        <v>4463580000</v>
      </c>
      <c r="AT15" s="1">
        <v>4366053000</v>
      </c>
      <c r="AU15" s="1">
        <v>4257980000</v>
      </c>
      <c r="AV15" s="1">
        <v>4612193000</v>
      </c>
      <c r="AW15" s="1">
        <v>5408174000</v>
      </c>
      <c r="AX15" s="1">
        <v>4655977000</v>
      </c>
      <c r="AY15" s="1">
        <v>3762434000</v>
      </c>
      <c r="AZ15" s="1">
        <v>4738276000</v>
      </c>
      <c r="BA15" s="1">
        <v>5685570000</v>
      </c>
      <c r="BB15" s="1">
        <v>4695520000</v>
      </c>
      <c r="BC15" s="1">
        <v>4132621000</v>
      </c>
      <c r="BD15" s="1">
        <v>4478517000</v>
      </c>
      <c r="BE15" s="1">
        <v>4364938000</v>
      </c>
      <c r="BF15" s="1">
        <v>4657004000</v>
      </c>
      <c r="BG15" s="1">
        <v>3910503000</v>
      </c>
      <c r="BH15" s="1">
        <v>3472255000</v>
      </c>
      <c r="BI15" s="1">
        <v>3438514000</v>
      </c>
      <c r="BJ15" s="1">
        <v>3342828000</v>
      </c>
      <c r="BK15" s="1">
        <v>3825487000</v>
      </c>
      <c r="BL15" s="1">
        <v>3575355000</v>
      </c>
      <c r="BM15" s="1">
        <v>2931179000</v>
      </c>
      <c r="BN15" s="1">
        <v>2471979000</v>
      </c>
      <c r="BO15" s="1">
        <v>3268524000</v>
      </c>
      <c r="BP15" s="1">
        <v>3540976000</v>
      </c>
      <c r="BQ15" s="1">
        <v>2881000000</v>
      </c>
      <c r="BR15" s="1">
        <v>1594563000</v>
      </c>
      <c r="BS15" s="1">
        <v>0</v>
      </c>
      <c r="BT15" s="1">
        <v>0</v>
      </c>
      <c r="BU15" s="1">
        <v>0</v>
      </c>
      <c r="BV15" s="1">
        <v>2662529000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</row>
    <row r="16" spans="1:79" x14ac:dyDescent="0.2">
      <c r="A16" s="1" t="s">
        <v>25</v>
      </c>
      <c r="B16" s="1">
        <v>4415322000</v>
      </c>
      <c r="C16" s="1">
        <v>220520000</v>
      </c>
      <c r="D16" s="1">
        <v>3973966000</v>
      </c>
      <c r="E16" s="1">
        <v>4273247000</v>
      </c>
      <c r="F16" s="1">
        <v>3754815000</v>
      </c>
      <c r="G16" s="1">
        <v>3680454000</v>
      </c>
      <c r="H16" s="1">
        <v>3404487000</v>
      </c>
      <c r="I16" s="1">
        <v>2947324000</v>
      </c>
      <c r="J16" s="1">
        <v>3111259000</v>
      </c>
      <c r="K16" s="1">
        <v>2975542000</v>
      </c>
      <c r="L16" s="1">
        <v>2572905000</v>
      </c>
      <c r="M16" s="1">
        <v>2365893000</v>
      </c>
      <c r="N16" s="1">
        <v>2676360000</v>
      </c>
      <c r="O16" s="1">
        <v>2991130000</v>
      </c>
      <c r="P16" s="1">
        <v>2709953000</v>
      </c>
      <c r="Q16" s="1">
        <v>2156794000</v>
      </c>
      <c r="R16" s="1">
        <v>2062623000</v>
      </c>
      <c r="S16" s="1">
        <v>1990447000</v>
      </c>
      <c r="T16" s="1">
        <v>1853489000</v>
      </c>
      <c r="U16" s="1">
        <v>1883434000</v>
      </c>
      <c r="V16" s="1">
        <v>1831230000</v>
      </c>
      <c r="W16" s="1">
        <v>1993388000</v>
      </c>
      <c r="X16" s="1">
        <v>1935049000</v>
      </c>
      <c r="Y16" s="1">
        <v>1733261000</v>
      </c>
      <c r="Z16" s="1">
        <v>1451102000</v>
      </c>
      <c r="AA16" s="1">
        <v>1808794000</v>
      </c>
      <c r="AB16" s="1">
        <v>1596829000</v>
      </c>
      <c r="AC16" s="1">
        <v>1483004000</v>
      </c>
      <c r="AD16" s="1">
        <v>1459973000</v>
      </c>
      <c r="AE16" s="1">
        <v>1476208000</v>
      </c>
      <c r="AF16" s="1">
        <v>1585523000</v>
      </c>
      <c r="AG16" s="1">
        <v>1477977000</v>
      </c>
      <c r="AH16" s="1">
        <v>1448092000</v>
      </c>
      <c r="AI16" s="1">
        <v>1606216000</v>
      </c>
      <c r="AJ16" s="1">
        <v>1487598000</v>
      </c>
      <c r="AK16" s="1">
        <v>1382199000</v>
      </c>
      <c r="AL16" s="1">
        <v>1496487000</v>
      </c>
      <c r="AM16" s="1">
        <v>1517345000</v>
      </c>
      <c r="AN16" s="1">
        <v>1531454000</v>
      </c>
      <c r="AO16" s="1">
        <v>1436902000</v>
      </c>
      <c r="AP16" s="1">
        <v>1415099000</v>
      </c>
      <c r="AQ16" s="1">
        <v>1417154000</v>
      </c>
      <c r="AR16" s="1">
        <v>1377131000</v>
      </c>
      <c r="AS16" s="1">
        <v>1479419000</v>
      </c>
      <c r="AT16" s="1">
        <v>1390996000</v>
      </c>
      <c r="AU16" s="1">
        <v>1376696000</v>
      </c>
      <c r="AV16" s="1">
        <v>1323259000</v>
      </c>
      <c r="AW16" s="1">
        <v>1234897000</v>
      </c>
      <c r="AX16" s="1">
        <v>1152780000</v>
      </c>
      <c r="AY16" s="1">
        <v>1145827000</v>
      </c>
      <c r="AZ16" s="1">
        <v>1164881000</v>
      </c>
      <c r="BA16" s="1">
        <v>1164693000</v>
      </c>
      <c r="BB16" s="1">
        <v>1029799000</v>
      </c>
      <c r="BC16" s="1">
        <v>1056231000</v>
      </c>
      <c r="BD16" s="1">
        <v>1234982000</v>
      </c>
      <c r="BE16" s="1">
        <v>1104741000</v>
      </c>
      <c r="BF16" s="1">
        <v>1100435000</v>
      </c>
      <c r="BG16" s="1">
        <v>1177425000</v>
      </c>
      <c r="BH16" s="1">
        <v>1081010000</v>
      </c>
      <c r="BI16" s="1">
        <v>1058089000</v>
      </c>
      <c r="BJ16" s="1">
        <v>1201276000</v>
      </c>
      <c r="BK16" s="1">
        <v>1406325000</v>
      </c>
      <c r="BL16" s="1">
        <v>1449079000</v>
      </c>
      <c r="BM16" s="1">
        <v>1336186000</v>
      </c>
      <c r="BN16" s="1">
        <v>1176010000</v>
      </c>
      <c r="BO16" s="1">
        <v>1217210000</v>
      </c>
      <c r="BP16" s="1">
        <v>1131590000</v>
      </c>
      <c r="BQ16" s="1">
        <v>1192000000</v>
      </c>
      <c r="BR16" s="1">
        <v>947405000</v>
      </c>
      <c r="BS16" s="1">
        <v>0</v>
      </c>
      <c r="BT16" s="1">
        <v>0</v>
      </c>
      <c r="BU16" s="1">
        <v>0</v>
      </c>
      <c r="BV16" s="1">
        <v>1183545000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</row>
    <row r="17" spans="1:79" x14ac:dyDescent="0.2">
      <c r="A17" s="1" t="s">
        <v>23</v>
      </c>
      <c r="B17" s="1">
        <v>0</v>
      </c>
      <c r="C17" s="1">
        <v>0</v>
      </c>
      <c r="D17" s="1">
        <v>93566000</v>
      </c>
      <c r="E17" s="1">
        <v>-562739000</v>
      </c>
      <c r="F17" s="1">
        <v>1128212000</v>
      </c>
      <c r="G17" s="1">
        <v>326000000</v>
      </c>
      <c r="H17" s="1">
        <v>-499527000</v>
      </c>
      <c r="I17" s="1">
        <v>1273626000</v>
      </c>
      <c r="J17" s="1">
        <v>129682000</v>
      </c>
      <c r="K17" s="1">
        <v>-58000000</v>
      </c>
      <c r="L17" s="1">
        <v>-131085000</v>
      </c>
      <c r="M17" s="1">
        <v>47244000</v>
      </c>
      <c r="N17" s="1">
        <v>-47109000</v>
      </c>
      <c r="O17" s="1">
        <v>-391226000</v>
      </c>
      <c r="P17" s="1">
        <v>-11959000</v>
      </c>
      <c r="Q17" s="1">
        <v>-30273000</v>
      </c>
      <c r="R17" s="1">
        <v>801858000</v>
      </c>
      <c r="S17" s="1">
        <v>105072000</v>
      </c>
      <c r="T17" s="1">
        <v>92731000</v>
      </c>
      <c r="U17" s="1">
        <v>-53810000</v>
      </c>
      <c r="V17" s="1">
        <v>189407000</v>
      </c>
      <c r="W17" s="1">
        <v>-205161000</v>
      </c>
      <c r="X17" s="1">
        <v>-445208000</v>
      </c>
      <c r="Y17" s="1">
        <v>8544000</v>
      </c>
      <c r="Z17" s="1">
        <v>-68175000</v>
      </c>
      <c r="AA17" s="1">
        <v>15000000</v>
      </c>
      <c r="AB17" s="1">
        <v>146189000</v>
      </c>
      <c r="AC17" s="1">
        <v>261012000</v>
      </c>
      <c r="AD17" s="1">
        <v>73521000</v>
      </c>
      <c r="AE17" s="1">
        <v>143000000</v>
      </c>
      <c r="AF17" s="1">
        <v>-6993000</v>
      </c>
      <c r="AG17" s="1">
        <v>662664000</v>
      </c>
      <c r="AH17" s="1">
        <v>1302199000</v>
      </c>
      <c r="AI17" s="1">
        <v>1011299000</v>
      </c>
      <c r="AJ17" s="1">
        <v>286999000</v>
      </c>
      <c r="AK17" s="1">
        <v>86439000</v>
      </c>
      <c r="AL17" s="1">
        <v>-19237000</v>
      </c>
      <c r="AM17" s="1">
        <v>25259000</v>
      </c>
      <c r="AN17" s="1">
        <v>-51921000</v>
      </c>
      <c r="AO17" s="1">
        <v>5595000</v>
      </c>
      <c r="AP17" s="1">
        <v>-8733000</v>
      </c>
      <c r="AQ17" s="1">
        <v>-251383000</v>
      </c>
      <c r="AR17" s="1">
        <v>1786668000</v>
      </c>
      <c r="AS17" s="1">
        <v>80686000</v>
      </c>
      <c r="AT17" s="1">
        <v>264629000</v>
      </c>
      <c r="AU17" s="1">
        <v>766808000</v>
      </c>
      <c r="AV17" s="1">
        <v>5300000</v>
      </c>
      <c r="AW17" s="1">
        <v>227251000</v>
      </c>
      <c r="AX17" s="1">
        <v>2741000</v>
      </c>
      <c r="AY17" s="1">
        <v>-26092000</v>
      </c>
      <c r="AZ17" s="1">
        <v>12525000</v>
      </c>
      <c r="BA17" s="1">
        <v>970000</v>
      </c>
      <c r="BB17" s="1">
        <v>-34503000</v>
      </c>
      <c r="BC17" s="1">
        <v>0</v>
      </c>
      <c r="BD17" s="1">
        <v>-3199000</v>
      </c>
      <c r="BE17" s="1">
        <v>-16816000</v>
      </c>
      <c r="BF17" s="1">
        <v>445909000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66995000</v>
      </c>
      <c r="BV17" s="1">
        <v>0</v>
      </c>
      <c r="BW17" s="1">
        <v>1000</v>
      </c>
      <c r="BX17" s="1">
        <v>-1000</v>
      </c>
      <c r="BY17" s="1">
        <v>-20722000</v>
      </c>
      <c r="BZ17" s="1">
        <v>0</v>
      </c>
      <c r="CA17" s="1">
        <v>-66198860000</v>
      </c>
    </row>
    <row r="18" spans="1:79" x14ac:dyDescent="0.2">
      <c r="A18" s="6" t="s">
        <v>22</v>
      </c>
      <c r="B18" s="4">
        <v>94006000000</v>
      </c>
      <c r="C18" s="4">
        <v>89023483000</v>
      </c>
      <c r="D18" s="4">
        <v>87858000000</v>
      </c>
      <c r="E18" s="4">
        <v>83945231000</v>
      </c>
      <c r="F18" s="4">
        <v>86314268000</v>
      </c>
      <c r="G18" s="4">
        <v>86666000000</v>
      </c>
      <c r="H18" s="4">
        <v>78579377000</v>
      </c>
      <c r="I18" s="4">
        <v>71568936000</v>
      </c>
      <c r="J18" s="4">
        <v>65486963000</v>
      </c>
      <c r="K18" s="4">
        <v>71563000000</v>
      </c>
      <c r="L18" s="4">
        <v>68577706000</v>
      </c>
      <c r="M18" s="4">
        <v>58241804000</v>
      </c>
      <c r="N18" s="4">
        <v>55262235000</v>
      </c>
      <c r="O18" s="4">
        <v>64144104000</v>
      </c>
      <c r="P18" s="4">
        <v>60174503000</v>
      </c>
      <c r="Q18" s="4">
        <v>53344245000</v>
      </c>
      <c r="R18" s="4">
        <v>49413048000</v>
      </c>
      <c r="S18" s="4">
        <v>47982900000</v>
      </c>
      <c r="T18" s="4">
        <v>41742647000</v>
      </c>
      <c r="U18" s="4">
        <v>40529613000</v>
      </c>
      <c r="V18" s="4">
        <v>39301240000</v>
      </c>
      <c r="W18" s="4">
        <v>38116129000</v>
      </c>
      <c r="X18" s="4">
        <v>40446147000</v>
      </c>
      <c r="Y18" s="4">
        <v>33529253000</v>
      </c>
      <c r="Z18" s="4">
        <v>32254871000</v>
      </c>
      <c r="AA18" s="4">
        <v>34958000000</v>
      </c>
      <c r="AB18" s="4">
        <v>31525142000</v>
      </c>
      <c r="AC18" s="4">
        <v>27426007000</v>
      </c>
      <c r="AD18" s="4">
        <v>26091534000</v>
      </c>
      <c r="AE18" s="4">
        <v>30995000000</v>
      </c>
      <c r="AF18" s="4">
        <v>28121459000</v>
      </c>
      <c r="AG18" s="4">
        <v>27102788000</v>
      </c>
      <c r="AH18" s="4">
        <v>28030593000</v>
      </c>
      <c r="AI18" s="4">
        <v>29852986000</v>
      </c>
      <c r="AJ18" s="4">
        <v>27823715000</v>
      </c>
      <c r="AK18" s="4">
        <v>25453253000</v>
      </c>
      <c r="AL18" s="4">
        <v>26137246000</v>
      </c>
      <c r="AM18" s="4">
        <v>27202134000</v>
      </c>
      <c r="AN18" s="4">
        <v>25788667000</v>
      </c>
      <c r="AO18" s="4">
        <v>23013235000</v>
      </c>
      <c r="AP18" s="4">
        <v>20870264000</v>
      </c>
      <c r="AQ18" s="4">
        <v>20961229000</v>
      </c>
      <c r="AR18" s="4">
        <v>23946832000</v>
      </c>
      <c r="AS18" s="4">
        <v>22635898000</v>
      </c>
      <c r="AT18" s="4">
        <v>22803141000</v>
      </c>
      <c r="AU18" s="4">
        <v>22348578000</v>
      </c>
      <c r="AV18" s="4">
        <v>21148034000</v>
      </c>
      <c r="AW18" s="4">
        <v>20480659000</v>
      </c>
      <c r="AX18" s="4">
        <v>17879390000</v>
      </c>
      <c r="AY18" s="4">
        <v>16884238000</v>
      </c>
      <c r="AZ18" s="4">
        <v>19272757000</v>
      </c>
      <c r="BA18" s="4">
        <v>18793104000</v>
      </c>
      <c r="BB18" s="4">
        <v>16341801000</v>
      </c>
      <c r="BC18" s="4">
        <v>15693637000</v>
      </c>
      <c r="BD18" s="4">
        <v>16367155000</v>
      </c>
      <c r="BE18" s="4">
        <v>15521253000</v>
      </c>
      <c r="BF18" s="4">
        <v>15361200000</v>
      </c>
      <c r="BG18" s="4">
        <v>13841828000</v>
      </c>
      <c r="BH18" s="4">
        <v>13172588000</v>
      </c>
      <c r="BI18" s="4">
        <v>12989652000</v>
      </c>
      <c r="BJ18" s="4">
        <v>12507732000</v>
      </c>
      <c r="BK18" s="4">
        <v>13303782000</v>
      </c>
      <c r="BL18" s="4">
        <v>13059273000</v>
      </c>
      <c r="BM18" s="4">
        <v>11457416000</v>
      </c>
      <c r="BN18" s="4">
        <v>10057829000</v>
      </c>
      <c r="BO18" s="4">
        <v>11052801000</v>
      </c>
      <c r="BP18" s="4">
        <v>10873899000</v>
      </c>
      <c r="BQ18" s="4">
        <v>9169000000</v>
      </c>
      <c r="BR18" s="4">
        <v>6270901000</v>
      </c>
      <c r="BS18" s="4">
        <v>8350898000</v>
      </c>
      <c r="BT18" s="4">
        <v>10149739000</v>
      </c>
      <c r="BU18" s="4">
        <v>8477035000</v>
      </c>
      <c r="BV18" s="4">
        <v>9116080000</v>
      </c>
      <c r="BW18" s="4">
        <v>8366831000</v>
      </c>
      <c r="BX18" s="4">
        <v>8278873000</v>
      </c>
      <c r="BY18" s="4">
        <v>6002758000</v>
      </c>
      <c r="BZ18" s="4">
        <v>6751837000</v>
      </c>
      <c r="CA18" s="4">
        <v>-55566495000</v>
      </c>
    </row>
    <row r="20" spans="1:79" x14ac:dyDescent="0.2">
      <c r="A20" s="1" t="s">
        <v>21</v>
      </c>
      <c r="B20" s="1">
        <v>476814000000</v>
      </c>
      <c r="C20" s="1">
        <v>486851149000</v>
      </c>
      <c r="D20" s="1">
        <v>489233000000</v>
      </c>
      <c r="E20" s="1">
        <v>470368231000</v>
      </c>
      <c r="F20" s="1">
        <v>432173000000</v>
      </c>
      <c r="G20" s="1">
        <v>442748000000</v>
      </c>
      <c r="H20" s="1">
        <v>398925854000</v>
      </c>
      <c r="I20" s="1">
        <v>386954635000</v>
      </c>
      <c r="J20" s="1">
        <v>343625895000</v>
      </c>
      <c r="K20" s="1">
        <v>365324000000</v>
      </c>
      <c r="L20" s="1">
        <v>318668000000</v>
      </c>
      <c r="M20" s="1">
        <v>278883211000</v>
      </c>
      <c r="N20" s="1">
        <v>277394816000</v>
      </c>
      <c r="O20" s="1">
        <v>300491057000</v>
      </c>
      <c r="P20" s="1">
        <v>302818529000</v>
      </c>
      <c r="Q20" s="1">
        <v>272017059000</v>
      </c>
      <c r="R20" s="1">
        <v>267285755000</v>
      </c>
      <c r="S20" s="1">
        <v>255492907000</v>
      </c>
      <c r="T20" s="1">
        <v>243666831000</v>
      </c>
      <c r="U20" s="1">
        <v>226477917000</v>
      </c>
      <c r="V20" s="1">
        <v>211872040000</v>
      </c>
      <c r="W20" s="1">
        <v>204460451000</v>
      </c>
      <c r="X20" s="1">
        <v>206391681000</v>
      </c>
      <c r="Y20" s="1">
        <v>179534795000</v>
      </c>
      <c r="Z20" s="1">
        <v>182067873000</v>
      </c>
      <c r="AA20" s="1">
        <v>192993000000</v>
      </c>
      <c r="AB20" s="1">
        <v>185138420000</v>
      </c>
      <c r="AC20" s="1">
        <v>164751252000</v>
      </c>
      <c r="AD20" s="1">
        <v>154443878000</v>
      </c>
      <c r="AE20" s="1">
        <v>182647000000</v>
      </c>
      <c r="AF20" s="1">
        <v>165088498000</v>
      </c>
      <c r="AG20" s="1">
        <v>148791495000</v>
      </c>
      <c r="AH20" s="1">
        <v>151134570000</v>
      </c>
      <c r="AI20" s="1">
        <v>168707819000</v>
      </c>
      <c r="AJ20" s="1">
        <v>154054379000</v>
      </c>
      <c r="AK20" s="1">
        <v>130555222000</v>
      </c>
      <c r="AL20" s="1">
        <v>138565980000</v>
      </c>
      <c r="AM20" s="1">
        <v>152318926000</v>
      </c>
      <c r="AN20" s="1">
        <v>154155480000</v>
      </c>
      <c r="AO20" s="1">
        <v>130481836000</v>
      </c>
      <c r="AP20" s="1">
        <v>132995158000</v>
      </c>
      <c r="AQ20" s="1">
        <v>125569265000</v>
      </c>
      <c r="AR20" s="1">
        <v>134135256000</v>
      </c>
      <c r="AS20" s="1">
        <v>128371705000</v>
      </c>
      <c r="AT20" s="1">
        <v>135388474000</v>
      </c>
      <c r="AU20" s="1">
        <v>134334131000</v>
      </c>
      <c r="AV20" s="1">
        <v>124619290000</v>
      </c>
      <c r="AW20" s="1">
        <v>112306943000</v>
      </c>
      <c r="AX20" s="1">
        <v>95718575000</v>
      </c>
      <c r="AY20" s="1">
        <v>97434028000</v>
      </c>
      <c r="AZ20" s="1">
        <v>102909221000</v>
      </c>
      <c r="BA20" s="1">
        <v>98260624000</v>
      </c>
      <c r="BB20" s="1">
        <v>88330527000</v>
      </c>
      <c r="BC20" s="1">
        <v>85024964000</v>
      </c>
      <c r="BD20" s="1">
        <v>88711656000</v>
      </c>
      <c r="BE20" s="1">
        <v>81100264000</v>
      </c>
      <c r="BF20" s="1">
        <v>70571547000</v>
      </c>
      <c r="BG20" s="1">
        <v>71781083000</v>
      </c>
      <c r="BH20" s="1">
        <v>74885542000</v>
      </c>
      <c r="BI20" s="1">
        <v>72642060000</v>
      </c>
      <c r="BJ20" s="1">
        <v>66214515000</v>
      </c>
      <c r="BK20" s="1">
        <v>68628755000</v>
      </c>
      <c r="BL20" s="1">
        <v>69181197000</v>
      </c>
      <c r="BM20" s="1">
        <v>64493624000</v>
      </c>
      <c r="BN20" s="1">
        <v>58059024000</v>
      </c>
      <c r="BO20" s="1">
        <v>58452521000</v>
      </c>
      <c r="BP20" s="1">
        <v>57951779000</v>
      </c>
      <c r="BQ20" s="1">
        <v>49085000000</v>
      </c>
      <c r="BR20" s="1">
        <v>38290785000</v>
      </c>
      <c r="BS20" s="1">
        <v>53621920000</v>
      </c>
      <c r="BT20" s="1">
        <v>59904738000</v>
      </c>
      <c r="BU20" s="1">
        <v>54660773000</v>
      </c>
      <c r="BV20" s="1">
        <v>58356768000</v>
      </c>
      <c r="BW20" s="1">
        <v>58999169000</v>
      </c>
      <c r="BX20" s="1">
        <v>55996475000</v>
      </c>
      <c r="BY20" s="1">
        <v>48034279000</v>
      </c>
      <c r="BZ20" s="1">
        <v>47295956000</v>
      </c>
      <c r="CA20" s="1">
        <v>-17100996000</v>
      </c>
    </row>
    <row r="21" spans="1:79" x14ac:dyDescent="0.2">
      <c r="A21" s="1" t="s">
        <v>18</v>
      </c>
      <c r="B21" s="1">
        <v>853250000000</v>
      </c>
      <c r="C21" s="1">
        <v>760108523000</v>
      </c>
      <c r="D21" s="1">
        <v>688156000000</v>
      </c>
      <c r="E21" s="1">
        <v>856233000000</v>
      </c>
      <c r="F21" s="1">
        <v>591629457000</v>
      </c>
      <c r="G21" s="1">
        <v>621699215000</v>
      </c>
      <c r="H21" s="1">
        <v>555051199000</v>
      </c>
      <c r="I21" s="1">
        <v>474115309000</v>
      </c>
      <c r="J21" s="1">
        <v>428264621000</v>
      </c>
      <c r="K21" s="1">
        <v>431847637000</v>
      </c>
      <c r="L21" s="1">
        <v>392332579000</v>
      </c>
      <c r="M21" s="1">
        <v>341619752000</v>
      </c>
      <c r="N21" s="1">
        <v>357561258000</v>
      </c>
      <c r="O21" s="1">
        <v>445468265000</v>
      </c>
      <c r="P21" s="1">
        <v>425406551000</v>
      </c>
      <c r="Q21" s="1">
        <v>382127159000</v>
      </c>
      <c r="R21" s="1">
        <v>340074525000</v>
      </c>
      <c r="S21" s="1">
        <v>297565201000</v>
      </c>
      <c r="T21" s="1">
        <v>282212465000</v>
      </c>
      <c r="U21" s="1">
        <v>254330632000</v>
      </c>
      <c r="V21" s="1">
        <v>256736802000</v>
      </c>
      <c r="W21" s="1">
        <v>259406903000</v>
      </c>
      <c r="X21" s="1">
        <v>250230272000</v>
      </c>
      <c r="Y21" s="1">
        <v>207683006000</v>
      </c>
      <c r="Z21" s="1">
        <v>201232219000</v>
      </c>
      <c r="AA21" s="1">
        <v>196974433000</v>
      </c>
      <c r="AB21" s="1">
        <v>179935705000</v>
      </c>
      <c r="AC21" s="1">
        <v>156458541000</v>
      </c>
      <c r="AD21" s="1">
        <v>146628521000</v>
      </c>
      <c r="AE21" s="1">
        <v>185865767000</v>
      </c>
      <c r="AF21" s="1">
        <v>173245827000</v>
      </c>
      <c r="AG21" s="1">
        <v>159624576000</v>
      </c>
      <c r="AH21" s="1">
        <v>172249464000</v>
      </c>
      <c r="AI21" s="1">
        <v>183347742000</v>
      </c>
      <c r="AJ21" s="1">
        <v>172526040000</v>
      </c>
      <c r="AK21" s="1">
        <v>144949770000</v>
      </c>
      <c r="AL21" s="1">
        <v>158811348000</v>
      </c>
      <c r="AM21" s="1">
        <v>169258780000</v>
      </c>
      <c r="AN21" s="1">
        <v>165341076000</v>
      </c>
      <c r="AO21" s="1">
        <v>149502804000</v>
      </c>
      <c r="AP21" s="1">
        <v>128953540000</v>
      </c>
      <c r="AQ21" s="1">
        <v>137768189000</v>
      </c>
      <c r="AR21" s="1">
        <v>140336202000</v>
      </c>
      <c r="AS21" s="1">
        <v>153538191000</v>
      </c>
      <c r="AT21" s="1">
        <v>144530918000</v>
      </c>
      <c r="AU21" s="1">
        <v>146532004000</v>
      </c>
      <c r="AV21" s="1">
        <v>142425265000</v>
      </c>
      <c r="AW21" s="1">
        <v>120874136000</v>
      </c>
      <c r="AX21" s="1">
        <v>95716282000</v>
      </c>
      <c r="AY21" s="1">
        <v>92783696000</v>
      </c>
      <c r="AZ21" s="1">
        <v>100521642000</v>
      </c>
      <c r="BA21" s="1">
        <v>98746660000</v>
      </c>
      <c r="BB21" s="1">
        <v>82738102000</v>
      </c>
      <c r="BC21" s="1">
        <v>82787435000</v>
      </c>
      <c r="BD21" s="1">
        <v>88710726000</v>
      </c>
      <c r="BE21" s="1">
        <v>78615028000</v>
      </c>
      <c r="BF21" s="1">
        <v>63896054000</v>
      </c>
      <c r="BG21" s="1">
        <v>61568353000</v>
      </c>
      <c r="BH21" s="1">
        <v>60302663000</v>
      </c>
      <c r="BI21" s="1">
        <v>66336132000</v>
      </c>
      <c r="BJ21" s="1">
        <v>65248752000</v>
      </c>
      <c r="BK21" s="1">
        <v>66309761000</v>
      </c>
      <c r="BL21" s="1">
        <v>72164482000</v>
      </c>
      <c r="BM21" s="1">
        <v>63638765000</v>
      </c>
      <c r="BN21" s="1">
        <v>56392892000</v>
      </c>
      <c r="BO21" s="1">
        <v>55738860000</v>
      </c>
      <c r="BP21" s="1">
        <v>54057940000</v>
      </c>
      <c r="BQ21" s="1">
        <v>45180035000</v>
      </c>
      <c r="BR21" s="1">
        <v>21339587000</v>
      </c>
      <c r="BS21" s="1">
        <v>33889726000</v>
      </c>
      <c r="BT21" s="1">
        <v>57095512000</v>
      </c>
      <c r="BU21" s="1">
        <v>47120324000</v>
      </c>
      <c r="BV21" s="1">
        <v>51557752000</v>
      </c>
      <c r="BW21" s="1">
        <v>58538372000</v>
      </c>
      <c r="BX21" s="1">
        <v>51135623000</v>
      </c>
      <c r="BY21" s="1">
        <v>44413774000</v>
      </c>
      <c r="BZ21" s="1">
        <v>38392798000</v>
      </c>
      <c r="CA21" s="1">
        <v>-12887788000</v>
      </c>
    </row>
    <row r="22" spans="1:79" x14ac:dyDescent="0.2">
      <c r="A22" s="3" t="s">
        <v>17</v>
      </c>
      <c r="B22" s="3">
        <v>0.75235670830000001</v>
      </c>
      <c r="C22" s="3">
        <v>0.71981569430000003</v>
      </c>
      <c r="D22" s="3">
        <v>0.69516465000000005</v>
      </c>
      <c r="E22" s="3">
        <v>0.91694188860000003</v>
      </c>
      <c r="F22" s="3">
        <v>0.70494684210000003</v>
      </c>
      <c r="G22" s="3">
        <v>0.71586313609999996</v>
      </c>
      <c r="H22" s="3">
        <v>0.73062648350000003</v>
      </c>
      <c r="I22" s="3">
        <v>0.70394676310000004</v>
      </c>
      <c r="J22" s="3">
        <v>0.72263361439999996</v>
      </c>
      <c r="K22" s="3">
        <v>0.69037188839999997</v>
      </c>
      <c r="L22" s="3">
        <v>0.71759447300000001</v>
      </c>
      <c r="M22" s="3">
        <v>0.71046265090000005</v>
      </c>
      <c r="N22" s="3">
        <v>0.70298481810000002</v>
      </c>
      <c r="O22" s="3">
        <v>0.71214318899999995</v>
      </c>
      <c r="P22" s="3">
        <v>0.69381323660000005</v>
      </c>
      <c r="Q22" s="3">
        <v>0.71540528879999998</v>
      </c>
      <c r="R22" s="3">
        <v>0.69250912880000004</v>
      </c>
      <c r="S22" s="3">
        <v>0.67896202829999996</v>
      </c>
      <c r="T22" s="3">
        <v>0.68057059119999996</v>
      </c>
      <c r="U22" s="3">
        <v>0.68341788449999996</v>
      </c>
      <c r="V22" s="3">
        <v>0.70841488659999996</v>
      </c>
      <c r="W22" s="3">
        <v>0.71742478340000004</v>
      </c>
      <c r="X22" s="3">
        <v>0.70202825989999995</v>
      </c>
      <c r="Y22" s="3">
        <v>0.66858787610000003</v>
      </c>
      <c r="Z22" s="3">
        <v>0.64790410659999997</v>
      </c>
      <c r="AA22" s="3">
        <v>0.62090624039999998</v>
      </c>
      <c r="AB22" s="3">
        <v>0.61406114759999997</v>
      </c>
      <c r="AC22" s="3">
        <v>0.64905661790000002</v>
      </c>
      <c r="AD22" s="3">
        <v>0.6704247056</v>
      </c>
      <c r="AE22" s="3">
        <v>0.64142294089999996</v>
      </c>
      <c r="AF22" s="3">
        <v>0.66547604469999999</v>
      </c>
      <c r="AG22" s="3">
        <v>0.68443882050000004</v>
      </c>
      <c r="AH22" s="3">
        <v>0.69466208620000003</v>
      </c>
      <c r="AI22" s="3">
        <v>0.66046792499999996</v>
      </c>
      <c r="AJ22" s="3">
        <v>0.68432622399999998</v>
      </c>
      <c r="AK22" s="3">
        <v>0.67793530540000002</v>
      </c>
      <c r="AL22" s="3">
        <v>0.67891781220000003</v>
      </c>
      <c r="AM22" s="3">
        <v>0.64546838780000004</v>
      </c>
      <c r="AN22" s="3">
        <v>0.63490745150000005</v>
      </c>
      <c r="AO22" s="3">
        <v>0.67403467880000001</v>
      </c>
      <c r="AP22" s="3">
        <v>0.63379520919999999</v>
      </c>
      <c r="AQ22" s="3">
        <v>0.67688392580000001</v>
      </c>
      <c r="AR22" s="3">
        <v>0.66033051860000003</v>
      </c>
      <c r="AS22" s="3">
        <v>0.74735991420000003</v>
      </c>
      <c r="AT22" s="3">
        <v>0.65099736659999996</v>
      </c>
      <c r="AU22" s="3">
        <v>0.65846376939999995</v>
      </c>
      <c r="AV22" s="3">
        <v>0.68130892369999996</v>
      </c>
      <c r="AW22" s="3">
        <v>0.66045624449999996</v>
      </c>
      <c r="AX22" s="3">
        <v>0.64570117890000001</v>
      </c>
      <c r="AY22" s="3">
        <v>0.63625527380000002</v>
      </c>
      <c r="AZ22" s="3">
        <v>0.61849090870000001</v>
      </c>
      <c r="BA22" s="3">
        <v>0.63343925990000005</v>
      </c>
      <c r="BB22" s="3">
        <v>0.62322246459999997</v>
      </c>
      <c r="BC22" s="3">
        <v>0.63061896890000002</v>
      </c>
      <c r="BD22" s="3">
        <v>0.6268882442</v>
      </c>
      <c r="BE22" s="3">
        <v>0.61431259780000003</v>
      </c>
      <c r="BF22" s="3">
        <v>0.60456753910000005</v>
      </c>
      <c r="BG22" s="3">
        <v>0.5879829365</v>
      </c>
      <c r="BH22" s="3">
        <v>0.56630930899999998</v>
      </c>
      <c r="BI22" s="3">
        <v>0.60028153340000001</v>
      </c>
      <c r="BJ22" s="3">
        <v>0.61919057759999996</v>
      </c>
      <c r="BK22" s="3">
        <v>0.60203774939999999</v>
      </c>
      <c r="BL22" s="3">
        <v>0.64290961469999997</v>
      </c>
      <c r="BM22" s="3">
        <v>0.60630106900000003</v>
      </c>
      <c r="BN22" s="3">
        <v>0.6117249079</v>
      </c>
      <c r="BO22" s="3">
        <v>0.60523608979999999</v>
      </c>
      <c r="BP22" s="3">
        <v>0.60107260299999998</v>
      </c>
      <c r="BQ22" s="3">
        <v>0.60879689270000004</v>
      </c>
      <c r="BR22" s="3">
        <v>0.5402409856</v>
      </c>
      <c r="BS22" s="3">
        <v>0.51216574250000002</v>
      </c>
      <c r="BT22" s="3">
        <v>0.61567633440000002</v>
      </c>
      <c r="BU22" s="3">
        <v>0.55122835690000005</v>
      </c>
      <c r="BV22" s="3">
        <v>0.58936639280000003</v>
      </c>
      <c r="BW22" s="3">
        <v>0.60573434039999996</v>
      </c>
      <c r="BX22" s="3">
        <v>0.58106171200000001</v>
      </c>
      <c r="BY22" s="3">
        <v>0.60866504480000005</v>
      </c>
      <c r="BZ22" s="3">
        <v>0.58793714109999995</v>
      </c>
      <c r="CA22" s="3">
        <v>-1.1396468876000001</v>
      </c>
    </row>
    <row r="23" spans="1:79" x14ac:dyDescent="0.2">
      <c r="A23" s="1" t="s">
        <v>20</v>
      </c>
      <c r="B23" s="1">
        <v>2716862000</v>
      </c>
      <c r="C23" s="1">
        <v>0</v>
      </c>
      <c r="D23" s="1">
        <v>98843000</v>
      </c>
      <c r="E23" s="1">
        <v>3691095000</v>
      </c>
      <c r="F23" s="1">
        <v>2677274000</v>
      </c>
      <c r="G23" s="1">
        <v>2523215000</v>
      </c>
      <c r="H23" s="1">
        <v>2635790000</v>
      </c>
      <c r="I23" s="1">
        <v>2638140000</v>
      </c>
      <c r="J23" s="1">
        <v>2698255000</v>
      </c>
      <c r="K23" s="1">
        <v>2918637000</v>
      </c>
      <c r="L23" s="1">
        <v>3111922000</v>
      </c>
      <c r="M23" s="1">
        <v>3005155000</v>
      </c>
      <c r="N23" s="1">
        <v>2963686000</v>
      </c>
      <c r="O23" s="1">
        <v>3334985000</v>
      </c>
      <c r="P23" s="1">
        <v>3370018000</v>
      </c>
      <c r="Q23" s="1">
        <v>2904231000</v>
      </c>
      <c r="R23" s="1">
        <v>2140766000</v>
      </c>
      <c r="S23" s="1">
        <v>2173643000</v>
      </c>
      <c r="T23" s="1">
        <v>1334063000</v>
      </c>
      <c r="U23" s="1">
        <v>1134399000</v>
      </c>
      <c r="V23" s="1">
        <v>772095000</v>
      </c>
      <c r="W23" s="1">
        <v>768627000</v>
      </c>
      <c r="X23" s="1">
        <v>373164000</v>
      </c>
      <c r="Y23" s="1">
        <v>409145000</v>
      </c>
      <c r="Z23" s="1">
        <v>530564000</v>
      </c>
      <c r="AA23" s="1">
        <v>645127000</v>
      </c>
      <c r="AB23" s="1">
        <v>843434000</v>
      </c>
      <c r="AC23" s="1">
        <v>864751000</v>
      </c>
      <c r="AD23" s="1">
        <v>899065000</v>
      </c>
      <c r="AE23" s="1">
        <v>875782000</v>
      </c>
      <c r="AF23" s="1">
        <v>739068000</v>
      </c>
      <c r="AG23" s="1">
        <v>628284000</v>
      </c>
      <c r="AH23" s="1">
        <v>807966000</v>
      </c>
      <c r="AI23" s="1">
        <v>830509000</v>
      </c>
      <c r="AJ23" s="1">
        <v>843214000</v>
      </c>
      <c r="AK23" s="1">
        <v>839913000</v>
      </c>
      <c r="AL23" s="1">
        <v>816664000</v>
      </c>
      <c r="AM23" s="1">
        <v>826083000</v>
      </c>
      <c r="AN23" s="1">
        <v>822667000</v>
      </c>
      <c r="AO23" s="1">
        <v>821425000</v>
      </c>
      <c r="AP23" s="1">
        <v>850580000</v>
      </c>
      <c r="AQ23" s="1">
        <v>820016000</v>
      </c>
      <c r="AR23" s="1">
        <v>792941000</v>
      </c>
      <c r="AS23" s="1">
        <v>783401000</v>
      </c>
      <c r="AT23" s="1">
        <v>793942000</v>
      </c>
      <c r="AU23" s="1">
        <v>822216000</v>
      </c>
      <c r="AV23" s="1">
        <v>816054000</v>
      </c>
      <c r="AW23" s="1">
        <v>801450000</v>
      </c>
      <c r="AX23" s="1">
        <v>796580000</v>
      </c>
      <c r="AY23" s="1">
        <v>785136000</v>
      </c>
      <c r="AZ23" s="1">
        <v>732326000</v>
      </c>
      <c r="BA23" s="1">
        <v>0</v>
      </c>
      <c r="BB23" s="1">
        <v>493998000</v>
      </c>
      <c r="BC23" s="1">
        <v>334982000</v>
      </c>
      <c r="BD23" s="1">
        <v>270332000</v>
      </c>
      <c r="BE23" s="1">
        <v>197266000</v>
      </c>
      <c r="BF23" s="1">
        <v>217593000</v>
      </c>
      <c r="BG23" s="1">
        <v>205986000</v>
      </c>
      <c r="BH23" s="1">
        <v>177453000</v>
      </c>
      <c r="BI23" s="1">
        <v>123339000</v>
      </c>
      <c r="BJ23" s="1">
        <v>119922000</v>
      </c>
      <c r="BK23" s="1">
        <v>123165000</v>
      </c>
      <c r="BL23" s="1">
        <v>117288000</v>
      </c>
      <c r="BM23" s="1">
        <v>97501000</v>
      </c>
      <c r="BN23" s="1">
        <v>87446000</v>
      </c>
      <c r="BO23" s="1">
        <v>93573000</v>
      </c>
      <c r="BP23" s="1">
        <v>0</v>
      </c>
      <c r="BQ23" s="1">
        <v>0</v>
      </c>
      <c r="BR23" s="1">
        <v>107625000</v>
      </c>
      <c r="BS23" s="1">
        <v>0</v>
      </c>
      <c r="BT23" s="1">
        <v>0</v>
      </c>
      <c r="BU23" s="1">
        <v>0</v>
      </c>
      <c r="BV23" s="1">
        <v>155064000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</row>
    <row r="24" spans="1:79" x14ac:dyDescent="0.2">
      <c r="A24" s="1" t="s">
        <v>19</v>
      </c>
      <c r="B24" s="1">
        <v>165450000000</v>
      </c>
      <c r="C24" s="1">
        <v>163644120000</v>
      </c>
      <c r="D24" s="1">
        <v>162787000000</v>
      </c>
      <c r="E24" s="1">
        <v>363197000000</v>
      </c>
      <c r="F24" s="1">
        <v>163411731000</v>
      </c>
      <c r="G24" s="1">
        <v>170378000000</v>
      </c>
      <c r="H24" s="1">
        <v>168228557000</v>
      </c>
      <c r="I24" s="1">
        <v>165166594000</v>
      </c>
      <c r="J24" s="1">
        <v>159023162000</v>
      </c>
      <c r="K24" s="1">
        <v>150648000000</v>
      </c>
      <c r="L24" s="1">
        <v>147280162000</v>
      </c>
      <c r="M24" s="1">
        <v>123939688000</v>
      </c>
      <c r="N24" s="1">
        <v>110322641000</v>
      </c>
      <c r="O24" s="1">
        <v>107581924000</v>
      </c>
      <c r="P24" s="1">
        <v>105345666000</v>
      </c>
      <c r="Q24" s="1">
        <v>113224647000</v>
      </c>
      <c r="R24" s="1">
        <v>111102063000</v>
      </c>
      <c r="S24" s="1">
        <v>110662661000</v>
      </c>
      <c r="T24" s="1">
        <v>107026763000</v>
      </c>
      <c r="U24" s="1">
        <v>103805158000</v>
      </c>
      <c r="V24" s="1">
        <v>100900318000</v>
      </c>
      <c r="W24" s="1">
        <v>97561795000</v>
      </c>
      <c r="X24" s="1">
        <v>94733105000</v>
      </c>
      <c r="Y24" s="1">
        <v>70875223000</v>
      </c>
      <c r="Z24" s="1">
        <v>68554477000</v>
      </c>
      <c r="AA24" s="1">
        <v>67532000000</v>
      </c>
      <c r="AB24" s="1">
        <v>66756000000</v>
      </c>
      <c r="AC24" s="1">
        <v>75048350000</v>
      </c>
      <c r="AD24" s="1">
        <v>77547804000</v>
      </c>
      <c r="AE24" s="1">
        <v>76030000000</v>
      </c>
      <c r="AF24" s="1">
        <v>73609817000</v>
      </c>
      <c r="AG24" s="1">
        <v>71408684000</v>
      </c>
      <c r="AH24" s="1">
        <v>71497877000</v>
      </c>
      <c r="AI24" s="1">
        <v>70813463000</v>
      </c>
      <c r="AJ24" s="1">
        <v>71164662000</v>
      </c>
      <c r="AK24" s="1">
        <v>57992390000</v>
      </c>
      <c r="AL24" s="1">
        <v>60172185000</v>
      </c>
      <c r="AM24" s="1">
        <v>56437557000</v>
      </c>
      <c r="AN24" s="1">
        <v>56268794000</v>
      </c>
      <c r="AO24" s="1">
        <v>55274988000</v>
      </c>
      <c r="AP24" s="1">
        <v>55847061000</v>
      </c>
      <c r="AQ24" s="1">
        <v>56255855000</v>
      </c>
      <c r="AR24" s="1">
        <v>56148642000</v>
      </c>
      <c r="AS24" s="1">
        <v>54623107000</v>
      </c>
      <c r="AT24" s="1">
        <v>55477996000</v>
      </c>
      <c r="AU24" s="1">
        <v>56417442000</v>
      </c>
      <c r="AV24" s="1">
        <v>56232567000</v>
      </c>
      <c r="AW24" s="1">
        <v>45979114000</v>
      </c>
      <c r="AX24" s="1">
        <v>41622377000</v>
      </c>
      <c r="AY24" s="1">
        <v>41151537000</v>
      </c>
      <c r="AZ24" s="1">
        <v>40439432000</v>
      </c>
      <c r="BA24" s="1">
        <v>38094641000</v>
      </c>
      <c r="BB24" s="1">
        <v>36496190000</v>
      </c>
      <c r="BC24" s="1">
        <v>36205009000</v>
      </c>
      <c r="BD24" s="1">
        <v>34678053000</v>
      </c>
      <c r="BE24" s="1">
        <v>32460831000</v>
      </c>
      <c r="BF24" s="1">
        <v>28005407000</v>
      </c>
      <c r="BG24" s="1">
        <v>27741725000</v>
      </c>
      <c r="BH24" s="1">
        <v>27965271000</v>
      </c>
      <c r="BI24" s="1">
        <v>27158116000</v>
      </c>
      <c r="BJ24" s="1">
        <v>24816388000</v>
      </c>
      <c r="BK24" s="1">
        <v>23304282000</v>
      </c>
      <c r="BL24" s="1">
        <v>22372015000</v>
      </c>
      <c r="BM24" s="1">
        <v>21131133000</v>
      </c>
      <c r="BN24" s="1">
        <v>21002670000</v>
      </c>
      <c r="BO24" s="1">
        <v>20277361000</v>
      </c>
      <c r="BP24" s="1">
        <v>20001339000</v>
      </c>
      <c r="BQ24" s="1">
        <v>20053035000</v>
      </c>
      <c r="BR24" s="1">
        <v>20483463000</v>
      </c>
      <c r="BS24" s="1">
        <v>21342195000</v>
      </c>
      <c r="BT24" s="1">
        <v>24264004000</v>
      </c>
      <c r="BU24" s="1">
        <v>16298695000</v>
      </c>
      <c r="BV24" s="1">
        <v>19830859000</v>
      </c>
      <c r="BW24" s="1">
        <v>20897202000</v>
      </c>
      <c r="BX24" s="1">
        <v>19128324000</v>
      </c>
      <c r="BY24" s="1">
        <v>19478898000</v>
      </c>
      <c r="BZ24" s="1">
        <v>20387900000</v>
      </c>
      <c r="CA24" s="1">
        <v>24901464000</v>
      </c>
    </row>
    <row r="25" spans="1:79" x14ac:dyDescent="0.2">
      <c r="A25" s="6" t="s">
        <v>16</v>
      </c>
      <c r="B25" s="5">
        <v>657289000000</v>
      </c>
      <c r="C25" s="5">
        <v>569125442000</v>
      </c>
      <c r="D25" s="5">
        <v>500685000000</v>
      </c>
      <c r="E25" s="5">
        <v>463423000000</v>
      </c>
      <c r="F25" s="5">
        <v>407081000000</v>
      </c>
      <c r="G25" s="5">
        <v>425713000000</v>
      </c>
      <c r="H25" s="5">
        <v>360766289000</v>
      </c>
      <c r="I25" s="5">
        <v>286555542000</v>
      </c>
      <c r="J25" s="5">
        <v>249018306000</v>
      </c>
      <c r="K25" s="5">
        <v>260205000000</v>
      </c>
      <c r="L25" s="5">
        <v>228065000000</v>
      </c>
      <c r="M25" s="5">
        <v>201958043000</v>
      </c>
      <c r="N25" s="5">
        <v>231238157000</v>
      </c>
      <c r="O25" s="5">
        <v>325040819000</v>
      </c>
      <c r="P25" s="5">
        <v>310324214000</v>
      </c>
      <c r="Q25" s="5">
        <v>262123749000</v>
      </c>
      <c r="R25" s="5">
        <v>223790118000</v>
      </c>
      <c r="S25" s="5">
        <v>182771957000</v>
      </c>
      <c r="T25" s="5">
        <v>171003548000</v>
      </c>
      <c r="U25" s="5">
        <v>145667205000</v>
      </c>
      <c r="V25" s="5">
        <v>150538190000</v>
      </c>
      <c r="W25" s="5">
        <v>157120176000</v>
      </c>
      <c r="X25" s="5">
        <v>150047349000</v>
      </c>
      <c r="Y25" s="5">
        <v>131094538000</v>
      </c>
      <c r="Z25" s="5">
        <v>128521637000</v>
      </c>
      <c r="AA25" s="5">
        <v>124548511000</v>
      </c>
      <c r="AB25" s="5">
        <v>107887292000</v>
      </c>
      <c r="AC25" s="5">
        <v>76304053000</v>
      </c>
      <c r="AD25" s="5">
        <v>64266023000</v>
      </c>
      <c r="AE25" s="5">
        <v>107124000000</v>
      </c>
      <c r="AF25" s="5">
        <v>95245181000</v>
      </c>
      <c r="AG25" s="5">
        <v>84428146000</v>
      </c>
      <c r="AH25" s="5">
        <v>96826946000</v>
      </c>
      <c r="AI25" s="5">
        <v>108894976000</v>
      </c>
      <c r="AJ25" s="5">
        <v>98056433000</v>
      </c>
      <c r="AK25" s="5">
        <v>83255401000</v>
      </c>
      <c r="AL25" s="5">
        <v>95352390000</v>
      </c>
      <c r="AM25" s="5">
        <v>109907363000</v>
      </c>
      <c r="AN25" s="5">
        <v>106262122000</v>
      </c>
      <c r="AO25" s="5">
        <v>91321001000</v>
      </c>
      <c r="AP25" s="5">
        <v>70467314000</v>
      </c>
      <c r="AQ25" s="5">
        <v>77963695000</v>
      </c>
      <c r="AR25" s="5">
        <v>78388924000</v>
      </c>
      <c r="AS25" s="5">
        <v>77069058000</v>
      </c>
      <c r="AT25" s="5">
        <v>86626123000</v>
      </c>
      <c r="AU25" s="5">
        <v>88202037000</v>
      </c>
      <c r="AV25" s="5">
        <v>84427238000</v>
      </c>
      <c r="AW25" s="5">
        <v>70709172000</v>
      </c>
      <c r="AX25" s="5">
        <v>52517614000</v>
      </c>
      <c r="AY25" s="5">
        <v>48393755000</v>
      </c>
      <c r="AZ25" s="5">
        <v>59618054000</v>
      </c>
      <c r="BA25" s="5">
        <v>57629082000</v>
      </c>
      <c r="BB25" s="5">
        <v>44428009000</v>
      </c>
      <c r="BC25" s="5">
        <v>46254682000</v>
      </c>
      <c r="BD25" s="5">
        <v>52797978000</v>
      </c>
      <c r="BE25" s="5">
        <v>46872088000</v>
      </c>
      <c r="BF25" s="5">
        <v>35117313000</v>
      </c>
      <c r="BG25" s="5">
        <v>32930039000</v>
      </c>
      <c r="BH25" s="5">
        <v>31598074000</v>
      </c>
      <c r="BI25" s="5">
        <v>37866307000</v>
      </c>
      <c r="BJ25" s="5">
        <v>39162980000</v>
      </c>
      <c r="BK25" s="5">
        <v>41513443000</v>
      </c>
      <c r="BL25" s="5">
        <v>43065502000</v>
      </c>
      <c r="BM25" s="5">
        <v>40468693000</v>
      </c>
      <c r="BN25" s="5">
        <v>34127662000</v>
      </c>
      <c r="BO25" s="5">
        <v>33641888000</v>
      </c>
      <c r="BP25" s="5">
        <v>31984012000</v>
      </c>
      <c r="BQ25" s="5">
        <v>25127000000</v>
      </c>
      <c r="BR25" s="5">
        <v>1209341000</v>
      </c>
      <c r="BS25" s="5">
        <v>12547531000</v>
      </c>
      <c r="BT25" s="5">
        <v>31943042000</v>
      </c>
      <c r="BU25" s="5">
        <v>30821629000</v>
      </c>
      <c r="BV25" s="5">
        <v>29123198000</v>
      </c>
      <c r="BW25" s="5">
        <v>35562608000</v>
      </c>
      <c r="BX25" s="5">
        <v>32007298000</v>
      </c>
      <c r="BY25" s="5">
        <v>24934876000</v>
      </c>
      <c r="BZ25" s="5">
        <v>18004899000</v>
      </c>
      <c r="CA25" s="5">
        <v>27901947000</v>
      </c>
    </row>
    <row r="26" spans="1:79" x14ac:dyDescent="0.2">
      <c r="A26" s="3" t="s">
        <v>15</v>
      </c>
      <c r="B26" s="7">
        <v>0.57956728800000001</v>
      </c>
      <c r="C26" s="7">
        <v>0.53895649469999996</v>
      </c>
      <c r="D26" s="7">
        <v>0.50578431749999997</v>
      </c>
      <c r="E26" s="7">
        <v>0.49628075630000001</v>
      </c>
      <c r="F26" s="7">
        <v>0.48505100960000003</v>
      </c>
      <c r="G26" s="7">
        <v>0.49019242079999997</v>
      </c>
      <c r="H26" s="7">
        <v>0.47488484949999998</v>
      </c>
      <c r="I26" s="7">
        <v>0.42546579369999998</v>
      </c>
      <c r="J26" s="7">
        <v>0.4201817981</v>
      </c>
      <c r="K26" s="7">
        <v>0.415975918</v>
      </c>
      <c r="L26" s="7">
        <v>0.41714145660000002</v>
      </c>
      <c r="M26" s="7">
        <v>0.42000980850000003</v>
      </c>
      <c r="N26" s="7">
        <v>0.45462675299999999</v>
      </c>
      <c r="O26" s="7">
        <v>0.51962311029999997</v>
      </c>
      <c r="P26" s="7">
        <v>0.50612066690000002</v>
      </c>
      <c r="Q26" s="7">
        <v>0.49073904309999999</v>
      </c>
      <c r="R26" s="7">
        <v>0.45571393399999999</v>
      </c>
      <c r="S26" s="7">
        <v>0.4170353866</v>
      </c>
      <c r="T26" s="7">
        <v>0.41238428560000001</v>
      </c>
      <c r="U26" s="7">
        <v>0.39142580780000003</v>
      </c>
      <c r="V26" s="7">
        <v>0.41538063089999999</v>
      </c>
      <c r="W26" s="7">
        <v>0.43453704170000002</v>
      </c>
      <c r="X26" s="7">
        <v>0.42096217409999998</v>
      </c>
      <c r="Y26" s="7">
        <v>0.42202884299999999</v>
      </c>
      <c r="Z26" s="7">
        <v>0.41379902689999998</v>
      </c>
      <c r="AA26" s="7">
        <v>0.39260398689999998</v>
      </c>
      <c r="AB26" s="7">
        <v>0.368183704</v>
      </c>
      <c r="AC26" s="7">
        <v>0.31654168739999999</v>
      </c>
      <c r="AD26" s="7">
        <v>0.29384139770000001</v>
      </c>
      <c r="AE26" s="7">
        <v>0.36968502710000001</v>
      </c>
      <c r="AF26" s="7">
        <v>0.36585808399999997</v>
      </c>
      <c r="AG26" s="7">
        <v>0.36201130250000002</v>
      </c>
      <c r="AH26" s="7">
        <v>0.39049182939999999</v>
      </c>
      <c r="AI26" s="7">
        <v>0.39226901879999998</v>
      </c>
      <c r="AJ26" s="7">
        <v>0.3889417999</v>
      </c>
      <c r="AK26" s="7">
        <v>0.3893885151</v>
      </c>
      <c r="AL26" s="7">
        <v>0.4076310467</v>
      </c>
      <c r="AM26" s="7">
        <v>0.41913174850000001</v>
      </c>
      <c r="AN26" s="7">
        <v>0.40804508290000002</v>
      </c>
      <c r="AO26" s="7">
        <v>0.41172151909999999</v>
      </c>
      <c r="AP26" s="7">
        <v>0.34634059690000002</v>
      </c>
      <c r="AQ26" s="7">
        <v>0.38305193910000002</v>
      </c>
      <c r="AR26" s="7">
        <v>0.36884708370000002</v>
      </c>
      <c r="AS26" s="7">
        <v>0.37514004950000002</v>
      </c>
      <c r="AT26" s="7">
        <v>0.39018210590000002</v>
      </c>
      <c r="AU26" s="7">
        <v>0.39634922179999998</v>
      </c>
      <c r="AV26" s="7">
        <v>0.40386816660000002</v>
      </c>
      <c r="AW26" s="7">
        <v>0.38635489560000003</v>
      </c>
      <c r="AX26" s="7">
        <v>0.35428335249999998</v>
      </c>
      <c r="AY26" s="7">
        <v>0.33185552169999999</v>
      </c>
      <c r="AZ26" s="7">
        <v>0.36681876320000001</v>
      </c>
      <c r="BA26" s="7">
        <v>0.36967855979999997</v>
      </c>
      <c r="BB26" s="7">
        <v>0.33465274880000001</v>
      </c>
      <c r="BC26" s="7">
        <v>0.35233704090000001</v>
      </c>
      <c r="BD26" s="7">
        <v>0.37310518380000002</v>
      </c>
      <c r="BE26" s="7">
        <v>0.36626730120000001</v>
      </c>
      <c r="BF26" s="7">
        <v>0.33227071419999998</v>
      </c>
      <c r="BG26" s="7">
        <v>0.31448463519999997</v>
      </c>
      <c r="BH26" s="7">
        <v>0.29674118129999999</v>
      </c>
      <c r="BI26" s="7">
        <v>0.34265556559999999</v>
      </c>
      <c r="BJ26" s="7">
        <v>0.37164462869999998</v>
      </c>
      <c r="BK26" s="7">
        <v>0.37690770429999998</v>
      </c>
      <c r="BL26" s="7">
        <v>0.38366831620000003</v>
      </c>
      <c r="BM26" s="7">
        <v>0.38555449380000001</v>
      </c>
      <c r="BN26" s="7">
        <v>0.37020163630000003</v>
      </c>
      <c r="BO26" s="7">
        <v>0.36529783259999998</v>
      </c>
      <c r="BP26" s="7">
        <v>0.35563163060000003</v>
      </c>
      <c r="BQ26" s="7">
        <v>0.33858405650000001</v>
      </c>
      <c r="BR26" s="7">
        <v>3.0616130200000001E-2</v>
      </c>
      <c r="BS26" s="7">
        <v>0.18962724959999999</v>
      </c>
      <c r="BT26" s="7">
        <v>0.34445045359999998</v>
      </c>
      <c r="BU26" s="7">
        <v>0.36056110120000001</v>
      </c>
      <c r="BV26" s="7">
        <v>0.33291277229999999</v>
      </c>
      <c r="BW26" s="7">
        <v>0.36798927209999999</v>
      </c>
      <c r="BX26" s="7">
        <v>0.36370370169999999</v>
      </c>
      <c r="BY26" s="7">
        <v>0.34171803140000001</v>
      </c>
      <c r="BZ26" s="7">
        <v>0.27572225509999998</v>
      </c>
      <c r="CA26" s="7">
        <v>2.4673254290000002</v>
      </c>
    </row>
    <row r="28" spans="1:79" x14ac:dyDescent="0.2">
      <c r="A28" s="1" t="s">
        <v>14</v>
      </c>
      <c r="B28" s="1">
        <v>30511000000</v>
      </c>
      <c r="C28" s="1">
        <v>28835977000</v>
      </c>
      <c r="D28" s="1">
        <v>24684000000</v>
      </c>
      <c r="E28" s="1">
        <v>29613000000</v>
      </c>
      <c r="F28" s="1">
        <v>23814000000</v>
      </c>
      <c r="G28" s="1">
        <v>23085000000</v>
      </c>
      <c r="H28" s="1">
        <v>23420563000</v>
      </c>
      <c r="I28" s="1">
        <v>19755033000</v>
      </c>
      <c r="J28" s="1">
        <v>17524898000</v>
      </c>
      <c r="K28" s="1">
        <v>18076000000</v>
      </c>
      <c r="L28" s="1">
        <v>13875000000</v>
      </c>
      <c r="M28" s="1">
        <v>12716866000</v>
      </c>
      <c r="N28" s="1">
        <v>13036774000</v>
      </c>
      <c r="O28" s="1">
        <v>9510537000</v>
      </c>
      <c r="P28" s="1">
        <v>6366653000</v>
      </c>
      <c r="Q28" s="1">
        <v>3874532000</v>
      </c>
      <c r="R28" s="1">
        <v>3041578000</v>
      </c>
      <c r="S28" s="1">
        <v>1956940000</v>
      </c>
      <c r="T28" s="1">
        <v>2848091000</v>
      </c>
      <c r="U28" s="1">
        <v>3723870000</v>
      </c>
      <c r="V28" s="1">
        <v>4526199000</v>
      </c>
      <c r="W28" s="1">
        <v>3956305000</v>
      </c>
      <c r="X28" s="1">
        <v>5076654000</v>
      </c>
      <c r="Y28" s="1">
        <v>5304100000</v>
      </c>
      <c r="Z28" s="1">
        <v>3625541000</v>
      </c>
      <c r="AA28" s="1">
        <v>4538000000</v>
      </c>
      <c r="AB28" s="1">
        <v>4448979000</v>
      </c>
      <c r="AC28" s="1">
        <v>4241387000</v>
      </c>
      <c r="AD28" s="1">
        <v>3915629000</v>
      </c>
      <c r="AE28" s="1">
        <v>3958000000</v>
      </c>
      <c r="AF28" s="1">
        <v>3651761000</v>
      </c>
      <c r="AG28" s="1">
        <v>3159462000</v>
      </c>
      <c r="AH28" s="1">
        <v>3116675000</v>
      </c>
      <c r="AI28" s="1">
        <v>2808794000</v>
      </c>
      <c r="AJ28" s="1">
        <v>2461731000</v>
      </c>
      <c r="AK28" s="1">
        <v>2862066000</v>
      </c>
      <c r="AL28" s="1">
        <v>2470109000</v>
      </c>
      <c r="AM28" s="1">
        <v>2102432000</v>
      </c>
      <c r="AN28" s="1">
        <v>1987493000</v>
      </c>
      <c r="AO28" s="1">
        <v>2085390000</v>
      </c>
      <c r="AP28" s="1">
        <v>1788585000</v>
      </c>
      <c r="AQ28" s="1">
        <v>2728623000</v>
      </c>
      <c r="AR28" s="1">
        <v>5005695000</v>
      </c>
      <c r="AS28" s="1">
        <v>21062625000</v>
      </c>
      <c r="AT28" s="1">
        <v>1632857000</v>
      </c>
      <c r="AU28" s="1">
        <v>1090309000</v>
      </c>
      <c r="AV28" s="1">
        <v>949406000</v>
      </c>
      <c r="AW28" s="1">
        <v>3384400000</v>
      </c>
      <c r="AX28" s="1">
        <v>779711000</v>
      </c>
      <c r="AY28" s="1">
        <v>2453268000</v>
      </c>
      <c r="AZ28" s="1">
        <v>-268170000</v>
      </c>
      <c r="BA28" s="1">
        <v>2387597000</v>
      </c>
      <c r="BB28" s="1">
        <v>1319905000</v>
      </c>
      <c r="BC28" s="1">
        <v>-7238000</v>
      </c>
      <c r="BD28" s="1">
        <v>964363000</v>
      </c>
      <c r="BE28" s="1">
        <v>-915157000</v>
      </c>
      <c r="BF28" s="1">
        <v>555741000</v>
      </c>
      <c r="BG28" s="1">
        <v>690603000</v>
      </c>
      <c r="BH28" s="1">
        <v>561865000</v>
      </c>
      <c r="BI28" s="1">
        <v>1188370000</v>
      </c>
      <c r="BJ28" s="1">
        <v>1149462000</v>
      </c>
      <c r="BK28" s="1">
        <v>1368871000</v>
      </c>
      <c r="BL28" s="1">
        <v>6609677000</v>
      </c>
      <c r="BM28" s="1">
        <v>1941438000</v>
      </c>
      <c r="BN28" s="1">
        <v>1175114000</v>
      </c>
      <c r="BO28" s="1">
        <v>1726038000</v>
      </c>
      <c r="BP28" s="1">
        <v>973662000</v>
      </c>
      <c r="BQ28" s="1">
        <v>1262000000</v>
      </c>
      <c r="BR28" s="1">
        <v>-460842000</v>
      </c>
      <c r="BS28" s="1">
        <v>1106714000</v>
      </c>
      <c r="BT28" s="1">
        <v>2143781000</v>
      </c>
      <c r="BU28" s="1">
        <v>1337674000</v>
      </c>
      <c r="BV28" s="1">
        <v>2448631000</v>
      </c>
      <c r="BW28" s="1">
        <v>2851847000</v>
      </c>
      <c r="BX28" s="1">
        <v>1857857000</v>
      </c>
      <c r="BY28" s="1">
        <v>2918360000</v>
      </c>
      <c r="BZ28" s="1">
        <v>2184418000</v>
      </c>
      <c r="CA28" s="1">
        <v>2134466000</v>
      </c>
    </row>
    <row r="29" spans="1:79" x14ac:dyDescent="0.2">
      <c r="A29" s="1" t="s">
        <v>13</v>
      </c>
      <c r="B29" s="1">
        <v>687800000000</v>
      </c>
      <c r="C29" s="1">
        <v>597961420000</v>
      </c>
      <c r="D29" s="1">
        <v>525369000000</v>
      </c>
      <c r="E29" s="1">
        <v>493036000000</v>
      </c>
      <c r="F29" s="1">
        <v>430895000000</v>
      </c>
      <c r="G29" s="1">
        <v>448798000000</v>
      </c>
      <c r="H29" s="1">
        <v>384186852000</v>
      </c>
      <c r="I29" s="1">
        <v>306310575000</v>
      </c>
      <c r="J29" s="1">
        <v>266543204000</v>
      </c>
      <c r="K29" s="1">
        <v>278281000000</v>
      </c>
      <c r="L29" s="1">
        <v>241940000000</v>
      </c>
      <c r="M29" s="1">
        <v>214674909000</v>
      </c>
      <c r="N29" s="1">
        <v>244274931000</v>
      </c>
      <c r="O29" s="1">
        <v>334551356000</v>
      </c>
      <c r="P29" s="1">
        <v>316690867000</v>
      </c>
      <c r="Q29" s="1">
        <v>265998281000</v>
      </c>
      <c r="R29" s="1">
        <v>226831696000</v>
      </c>
      <c r="S29" s="1">
        <v>184728897000</v>
      </c>
      <c r="T29" s="1">
        <v>173851639000</v>
      </c>
      <c r="U29" s="1">
        <v>149391075000</v>
      </c>
      <c r="V29" s="1">
        <v>155064389000</v>
      </c>
      <c r="W29" s="1">
        <v>161076481000</v>
      </c>
      <c r="X29" s="1">
        <v>155124003000</v>
      </c>
      <c r="Y29" s="1">
        <v>136398638000</v>
      </c>
      <c r="Z29" s="1">
        <v>132147178000</v>
      </c>
      <c r="AA29" s="1">
        <v>128782000000</v>
      </c>
      <c r="AB29" s="1">
        <v>112336271000</v>
      </c>
      <c r="AC29" s="1">
        <v>80545440000</v>
      </c>
      <c r="AD29" s="1">
        <v>68181652000</v>
      </c>
      <c r="AE29" s="1">
        <v>111082000000</v>
      </c>
      <c r="AF29" s="1">
        <v>98896942000</v>
      </c>
      <c r="AG29" s="1">
        <v>87587608000</v>
      </c>
      <c r="AH29" s="1">
        <v>99943621000</v>
      </c>
      <c r="AI29" s="1">
        <v>111703770000</v>
      </c>
      <c r="AJ29" s="1">
        <v>100518164000</v>
      </c>
      <c r="AK29" s="1">
        <v>86117467000</v>
      </c>
      <c r="AL29" s="1">
        <v>97822499000</v>
      </c>
      <c r="AM29" s="1">
        <v>112009795000</v>
      </c>
      <c r="AN29" s="1">
        <v>108249615000</v>
      </c>
      <c r="AO29" s="1">
        <v>93406391000</v>
      </c>
      <c r="AP29" s="1">
        <v>72255899000</v>
      </c>
      <c r="AQ29" s="1">
        <v>80692318000</v>
      </c>
      <c r="AR29" s="1">
        <v>83394619000</v>
      </c>
      <c r="AS29" s="1">
        <v>98131683000</v>
      </c>
      <c r="AT29" s="1">
        <v>88258980000</v>
      </c>
      <c r="AU29" s="1">
        <v>89292346000</v>
      </c>
      <c r="AV29" s="1">
        <v>85376644000</v>
      </c>
      <c r="AW29" s="1">
        <v>74093572000</v>
      </c>
      <c r="AX29" s="1">
        <v>53297325000</v>
      </c>
      <c r="AY29" s="1">
        <v>50847023000</v>
      </c>
      <c r="AZ29" s="1">
        <v>59349884000</v>
      </c>
      <c r="BA29" s="1">
        <v>60016679000</v>
      </c>
      <c r="BB29" s="1">
        <v>45747914000</v>
      </c>
      <c r="BC29" s="1">
        <v>46247444000</v>
      </c>
      <c r="BD29" s="1">
        <v>53762341000</v>
      </c>
      <c r="BE29" s="1">
        <v>45956931000</v>
      </c>
      <c r="BF29" s="1">
        <v>35673054000</v>
      </c>
      <c r="BG29" s="1">
        <v>33620642000</v>
      </c>
      <c r="BH29" s="1">
        <v>32159939000</v>
      </c>
      <c r="BI29" s="1">
        <v>39054677000</v>
      </c>
      <c r="BJ29" s="1">
        <v>40312442000</v>
      </c>
      <c r="BK29" s="1">
        <v>42882314000</v>
      </c>
      <c r="BL29" s="1">
        <v>49675179000</v>
      </c>
      <c r="BM29" s="1">
        <v>42410131000</v>
      </c>
      <c r="BN29" s="1">
        <v>35302776000</v>
      </c>
      <c r="BO29" s="1">
        <v>35367926000</v>
      </c>
      <c r="BP29" s="1">
        <v>32957674000</v>
      </c>
      <c r="BQ29" s="1">
        <v>26389000000</v>
      </c>
      <c r="BR29" s="1">
        <v>748499000</v>
      </c>
      <c r="BS29" s="1">
        <v>13654245000</v>
      </c>
      <c r="BT29" s="1">
        <v>34086823000</v>
      </c>
      <c r="BU29" s="1">
        <v>32159303000</v>
      </c>
      <c r="BV29" s="1">
        <v>31571829000</v>
      </c>
      <c r="BW29" s="1">
        <v>38414455000</v>
      </c>
      <c r="BX29" s="1">
        <v>33865156000</v>
      </c>
      <c r="BY29" s="1">
        <v>27853236000</v>
      </c>
      <c r="BZ29" s="1">
        <v>20189316000</v>
      </c>
      <c r="CA29" s="1">
        <v>30036413000</v>
      </c>
    </row>
    <row r="30" spans="1:79" x14ac:dyDescent="0.2">
      <c r="A30" s="2" t="s">
        <v>12</v>
      </c>
      <c r="B30" s="2">
        <v>0.60647048810000004</v>
      </c>
      <c r="C30" s="2">
        <v>0.56626389740000005</v>
      </c>
      <c r="D30" s="2">
        <v>0.53071971620000002</v>
      </c>
      <c r="E30" s="2">
        <v>0.52799338610000002</v>
      </c>
      <c r="F30" s="2">
        <v>0.51342620949999995</v>
      </c>
      <c r="G30" s="2">
        <v>0.5167739254</v>
      </c>
      <c r="H30" s="2">
        <v>0.50571386780000005</v>
      </c>
      <c r="I30" s="2">
        <v>0.45479724799999999</v>
      </c>
      <c r="J30" s="2">
        <v>0.44975248820000002</v>
      </c>
      <c r="K30" s="2">
        <v>0.44487305939999999</v>
      </c>
      <c r="L30" s="2">
        <v>0.44251947479999998</v>
      </c>
      <c r="M30" s="2">
        <v>0.44645692780000001</v>
      </c>
      <c r="N30" s="2">
        <v>0.48025775749999999</v>
      </c>
      <c r="O30" s="2">
        <v>0.53482703089999994</v>
      </c>
      <c r="P30" s="2">
        <v>0.51650430609999998</v>
      </c>
      <c r="Q30" s="2">
        <v>0.49799280829999998</v>
      </c>
      <c r="R30" s="2">
        <v>0.46190763680000002</v>
      </c>
      <c r="S30" s="2">
        <v>0.42150058600000001</v>
      </c>
      <c r="T30" s="2">
        <v>0.41925261079999998</v>
      </c>
      <c r="U30" s="2">
        <v>0.40143230740000002</v>
      </c>
      <c r="V30" s="2">
        <v>0.42786979000000003</v>
      </c>
      <c r="W30" s="2">
        <v>0.44547873690000001</v>
      </c>
      <c r="X30" s="2">
        <v>0.43520487359999999</v>
      </c>
      <c r="Y30" s="2">
        <v>0.43910417819999997</v>
      </c>
      <c r="Z30" s="2">
        <v>0.42547212239999999</v>
      </c>
      <c r="AA30" s="2">
        <v>0.40594886470000002</v>
      </c>
      <c r="AB30" s="2">
        <v>0.38336660030000003</v>
      </c>
      <c r="AC30" s="2">
        <v>0.33413676580000001</v>
      </c>
      <c r="AD30" s="2">
        <v>0.31174469780000003</v>
      </c>
      <c r="AE30" s="2">
        <v>0.383344089</v>
      </c>
      <c r="AF30" s="2">
        <v>0.3798853163</v>
      </c>
      <c r="AG30" s="2">
        <v>0.3755584548</v>
      </c>
      <c r="AH30" s="2">
        <v>0.40306101770000002</v>
      </c>
      <c r="AI30" s="2">
        <v>0.40238705089999999</v>
      </c>
      <c r="AJ30" s="2">
        <v>0.39870628000000002</v>
      </c>
      <c r="AK30" s="2">
        <v>0.40277450110000002</v>
      </c>
      <c r="AL30" s="2">
        <v>0.41819075179999998</v>
      </c>
      <c r="AM30" s="2">
        <v>0.42714937330000002</v>
      </c>
      <c r="AN30" s="2">
        <v>0.4156770286</v>
      </c>
      <c r="AO30" s="2">
        <v>0.42112351790000002</v>
      </c>
      <c r="AP30" s="2">
        <v>0.35513133349999998</v>
      </c>
      <c r="AQ30" s="2">
        <v>0.39645823460000001</v>
      </c>
      <c r="AR30" s="2">
        <v>0.39240061529999998</v>
      </c>
      <c r="AS30" s="2">
        <v>0.4776641284</v>
      </c>
      <c r="AT30" s="2">
        <v>0.39753683400000001</v>
      </c>
      <c r="AU30" s="2">
        <v>0.4012486905</v>
      </c>
      <c r="AV30" s="2">
        <v>0.40840976800000001</v>
      </c>
      <c r="AW30" s="2">
        <v>0.40484725620000001</v>
      </c>
      <c r="AX30" s="2">
        <v>0.35954327590000001</v>
      </c>
      <c r="AY30" s="2">
        <v>0.3486785711</v>
      </c>
      <c r="AZ30" s="2">
        <v>0.36516876320000002</v>
      </c>
      <c r="BA30" s="2">
        <v>0.38499449730000002</v>
      </c>
      <c r="BB30" s="2">
        <v>0.34459489669999999</v>
      </c>
      <c r="BC30" s="2">
        <v>0.35228190669999998</v>
      </c>
      <c r="BD30" s="2">
        <v>0.37992000599999998</v>
      </c>
      <c r="BE30" s="2">
        <v>0.35911609249999998</v>
      </c>
      <c r="BF30" s="2">
        <v>0.33752898840000001</v>
      </c>
      <c r="BG30" s="2">
        <v>0.32107995179999999</v>
      </c>
      <c r="BH30" s="2">
        <v>0.30201772069999999</v>
      </c>
      <c r="BI30" s="2">
        <v>0.35340923099999999</v>
      </c>
      <c r="BJ30" s="2">
        <v>0.38255266929999998</v>
      </c>
      <c r="BK30" s="2">
        <v>0.38933592010000001</v>
      </c>
      <c r="BL30" s="2">
        <v>0.44255358459999999</v>
      </c>
      <c r="BM30" s="2">
        <v>0.40405101770000001</v>
      </c>
      <c r="BN30" s="2">
        <v>0.38294874820000002</v>
      </c>
      <c r="BO30" s="2">
        <v>0.38403988239999998</v>
      </c>
      <c r="BP30" s="2">
        <v>0.36645782100000002</v>
      </c>
      <c r="BQ30" s="2">
        <v>0.3555893926</v>
      </c>
      <c r="BR30" s="2">
        <v>1.8949281299999999E-2</v>
      </c>
      <c r="BS30" s="2">
        <v>0.20635270189999999</v>
      </c>
      <c r="BT30" s="2">
        <v>0.36756742339999998</v>
      </c>
      <c r="BU30" s="2">
        <v>0.37620963200000002</v>
      </c>
      <c r="BV30" s="2">
        <v>0.36090353530000002</v>
      </c>
      <c r="BW30" s="2">
        <v>0.39749917470000001</v>
      </c>
      <c r="BX30" s="2">
        <v>0.38481481919999999</v>
      </c>
      <c r="BY30" s="2">
        <v>0.38171246469999998</v>
      </c>
      <c r="BZ30" s="2">
        <v>0.30917383850000002</v>
      </c>
      <c r="CA30" s="2">
        <v>2.6560729109999999</v>
      </c>
    </row>
    <row r="31" spans="1:79" x14ac:dyDescent="0.2">
      <c r="A31" s="1" t="s">
        <v>11</v>
      </c>
      <c r="B31" s="1">
        <v>114999000000</v>
      </c>
      <c r="C31" s="1">
        <v>87768736000</v>
      </c>
      <c r="D31" s="1">
        <v>73614000000</v>
      </c>
      <c r="E31" s="1">
        <v>95543000000</v>
      </c>
      <c r="F31" s="1">
        <v>70162751000</v>
      </c>
      <c r="G31" s="1">
        <v>89238340000</v>
      </c>
      <c r="H31" s="1">
        <v>59106682000</v>
      </c>
      <c r="I31" s="1">
        <v>58649137000</v>
      </c>
      <c r="J31" s="1">
        <v>41321941000</v>
      </c>
      <c r="K31" s="1">
        <v>39974000000</v>
      </c>
      <c r="L31" s="1">
        <v>31145221000</v>
      </c>
      <c r="M31" s="1">
        <v>32957903000</v>
      </c>
      <c r="N31" s="1">
        <v>37325895000</v>
      </c>
      <c r="O31" s="1">
        <v>62278689000</v>
      </c>
      <c r="P31" s="1">
        <v>35722460000</v>
      </c>
      <c r="Q31" s="1">
        <v>28818029000</v>
      </c>
      <c r="R31" s="1">
        <v>23958322000</v>
      </c>
      <c r="S31" s="1">
        <v>22547916000</v>
      </c>
      <c r="T31" s="1">
        <v>17372485000</v>
      </c>
      <c r="U31" s="1">
        <v>14909359000</v>
      </c>
      <c r="V31" s="1">
        <v>15325640000</v>
      </c>
      <c r="W31" s="1">
        <v>25402039000</v>
      </c>
      <c r="X31" s="1">
        <v>17745852000</v>
      </c>
      <c r="Y31" s="1">
        <v>15506124000</v>
      </c>
      <c r="Z31" s="1">
        <v>15084285000</v>
      </c>
      <c r="AA31" s="1">
        <v>12704000000</v>
      </c>
      <c r="AB31" s="1">
        <v>11233817000</v>
      </c>
      <c r="AC31" s="1">
        <v>13769589000</v>
      </c>
      <c r="AD31" s="1">
        <v>6794342000</v>
      </c>
      <c r="AE31" s="1">
        <v>11077000000</v>
      </c>
      <c r="AF31" s="1">
        <v>9798870000</v>
      </c>
      <c r="AG31" s="1">
        <v>15294233000</v>
      </c>
      <c r="AH31" s="1">
        <v>10156047000</v>
      </c>
      <c r="AI31" s="1">
        <v>10505558000</v>
      </c>
      <c r="AJ31" s="1">
        <v>10568936000</v>
      </c>
      <c r="AK31" s="1">
        <v>19846815000</v>
      </c>
      <c r="AL31" s="1">
        <v>10201591000</v>
      </c>
      <c r="AM31" s="1">
        <v>14322484000</v>
      </c>
      <c r="AN31" s="1">
        <v>11460502000</v>
      </c>
      <c r="AO31" s="1">
        <v>20878112000</v>
      </c>
      <c r="AP31" s="1">
        <v>7463302000</v>
      </c>
      <c r="AQ31" s="1">
        <v>11573530000</v>
      </c>
      <c r="AR31" s="1">
        <v>8077319000</v>
      </c>
      <c r="AS31" s="1">
        <v>18718779000</v>
      </c>
      <c r="AT31" s="1">
        <v>9275072000</v>
      </c>
      <c r="AU31" s="1">
        <v>18918987000</v>
      </c>
      <c r="AV31" s="1">
        <v>9076017000</v>
      </c>
      <c r="AW31" s="1">
        <v>14437693000</v>
      </c>
      <c r="AX31" s="1">
        <v>5455495000</v>
      </c>
      <c r="AY31" s="1">
        <v>10229121000</v>
      </c>
      <c r="AZ31" s="1">
        <v>7415132000</v>
      </c>
      <c r="BA31" s="1">
        <v>8255176000</v>
      </c>
      <c r="BB31" s="1">
        <v>6212371000</v>
      </c>
      <c r="BC31" s="1">
        <v>4763045000</v>
      </c>
      <c r="BD31" s="1">
        <v>4340047000</v>
      </c>
      <c r="BE31" s="1">
        <v>4157315000</v>
      </c>
      <c r="BF31" s="1">
        <v>2290118000</v>
      </c>
      <c r="BG31" s="1">
        <v>2056136000</v>
      </c>
      <c r="BH31" s="1">
        <v>1726436000</v>
      </c>
      <c r="BI31" s="1">
        <v>3026478000</v>
      </c>
      <c r="BJ31" s="1">
        <v>3885350000</v>
      </c>
      <c r="BK31" s="1">
        <v>2015420000</v>
      </c>
      <c r="BL31" s="1">
        <v>2551723000</v>
      </c>
      <c r="BM31" s="1">
        <v>1943896000</v>
      </c>
      <c r="BN31" s="1">
        <v>1477461000</v>
      </c>
      <c r="BO31" s="1">
        <v>2507537000</v>
      </c>
      <c r="BP31" s="1">
        <v>2284863000</v>
      </c>
      <c r="BQ31" s="1">
        <v>1943000000</v>
      </c>
      <c r="BR31" s="1">
        <v>-739228000</v>
      </c>
      <c r="BS31" s="1">
        <v>508607000</v>
      </c>
      <c r="BT31" s="1">
        <v>3648692000</v>
      </c>
      <c r="BU31" s="1">
        <v>3426373000</v>
      </c>
      <c r="BV31" s="1">
        <v>3335798000</v>
      </c>
      <c r="BW31" s="1">
        <v>4734636000</v>
      </c>
      <c r="BX31" s="1">
        <v>3583991000</v>
      </c>
      <c r="BY31" s="1">
        <v>2328265000</v>
      </c>
      <c r="BZ31" s="1">
        <v>1092209000</v>
      </c>
      <c r="CA31" s="1">
        <v>1622667000</v>
      </c>
    </row>
    <row r="32" spans="1:79" x14ac:dyDescent="0.2">
      <c r="A32" s="6" t="s">
        <v>10</v>
      </c>
      <c r="B32" s="5">
        <v>572480000000</v>
      </c>
      <c r="C32" s="5">
        <v>510523784000</v>
      </c>
      <c r="D32" s="5">
        <v>452302000000</v>
      </c>
      <c r="E32" s="5">
        <v>398273000000</v>
      </c>
      <c r="F32" s="5">
        <v>361564128000</v>
      </c>
      <c r="G32" s="5">
        <v>359792224000</v>
      </c>
      <c r="H32" s="5">
        <v>325257571000</v>
      </c>
      <c r="I32" s="5">
        <v>247845528000</v>
      </c>
      <c r="J32" s="5">
        <v>225484877000</v>
      </c>
      <c r="K32" s="5">
        <v>238712000000</v>
      </c>
      <c r="L32" s="5">
        <v>211000000000</v>
      </c>
      <c r="M32" s="5">
        <v>181799021000</v>
      </c>
      <c r="N32" s="5">
        <v>206986561000</v>
      </c>
      <c r="O32" s="5">
        <v>272297328000</v>
      </c>
      <c r="P32" s="5">
        <v>280865780000</v>
      </c>
      <c r="Q32" s="5">
        <v>237027317000</v>
      </c>
      <c r="R32" s="5">
        <v>202732975000</v>
      </c>
      <c r="S32" s="5">
        <v>162051478000</v>
      </c>
      <c r="T32" s="5">
        <v>156258287000</v>
      </c>
      <c r="U32" s="5">
        <v>134358942000</v>
      </c>
      <c r="V32" s="5">
        <v>139690493000</v>
      </c>
      <c r="W32" s="5">
        <v>135625047000</v>
      </c>
      <c r="X32" s="5">
        <v>137310040000</v>
      </c>
      <c r="Y32" s="5">
        <v>120822193000</v>
      </c>
      <c r="Z32" s="5">
        <v>116986720000</v>
      </c>
      <c r="AA32" s="5">
        <v>116035000000</v>
      </c>
      <c r="AB32" s="5">
        <v>101069886000</v>
      </c>
      <c r="AC32" s="5">
        <v>66764850000</v>
      </c>
      <c r="AD32" s="5">
        <v>61393851000</v>
      </c>
      <c r="AE32" s="5">
        <v>99984000000</v>
      </c>
      <c r="AF32" s="5">
        <v>89071628000</v>
      </c>
      <c r="AG32" s="5">
        <v>72290539000</v>
      </c>
      <c r="AH32" s="5">
        <v>89784622000</v>
      </c>
      <c r="AI32" s="5">
        <v>101172946000</v>
      </c>
      <c r="AJ32" s="5">
        <v>89925437000</v>
      </c>
      <c r="AK32" s="5">
        <v>66271019000</v>
      </c>
      <c r="AL32" s="5">
        <v>87628898000</v>
      </c>
      <c r="AM32" s="5">
        <v>97666830000</v>
      </c>
      <c r="AN32" s="5">
        <v>96759056000</v>
      </c>
      <c r="AO32" s="5">
        <v>72506321000</v>
      </c>
      <c r="AP32" s="5">
        <v>64781493000</v>
      </c>
      <c r="AQ32" s="5">
        <v>69114251000</v>
      </c>
      <c r="AR32" s="5">
        <v>75329224000</v>
      </c>
      <c r="AS32" s="5">
        <v>79417514000</v>
      </c>
      <c r="AT32" s="5">
        <v>78989911000</v>
      </c>
      <c r="AU32" s="5">
        <v>70393134000</v>
      </c>
      <c r="AV32" s="5">
        <v>76331255000</v>
      </c>
      <c r="AW32" s="5">
        <v>59698303000</v>
      </c>
      <c r="AX32" s="5">
        <v>47866793000</v>
      </c>
      <c r="AY32" s="5">
        <v>40641056000</v>
      </c>
      <c r="AZ32" s="5">
        <v>51951943000</v>
      </c>
      <c r="BA32" s="5">
        <v>51807725000</v>
      </c>
      <c r="BB32" s="5">
        <v>39576876000</v>
      </c>
      <c r="BC32" s="5">
        <v>41569266000</v>
      </c>
      <c r="BD32" s="5">
        <v>49379633000</v>
      </c>
      <c r="BE32" s="5">
        <v>41843339000</v>
      </c>
      <c r="BF32" s="5">
        <v>33491634000</v>
      </c>
      <c r="BG32" s="5">
        <v>31578669000</v>
      </c>
      <c r="BH32" s="5">
        <v>30394524000</v>
      </c>
      <c r="BI32" s="5">
        <v>35950334000</v>
      </c>
      <c r="BJ32" s="5">
        <v>36277773000</v>
      </c>
      <c r="BK32" s="5">
        <v>40720440000</v>
      </c>
      <c r="BL32" s="5">
        <v>46939527000</v>
      </c>
      <c r="BM32" s="5">
        <v>40281916000</v>
      </c>
      <c r="BN32" s="5">
        <v>33663117000</v>
      </c>
      <c r="BO32" s="5">
        <v>32666013000</v>
      </c>
      <c r="BP32" s="5">
        <v>30550787000</v>
      </c>
      <c r="BQ32" s="5">
        <v>24442000000</v>
      </c>
      <c r="BR32" s="5">
        <v>1558873000</v>
      </c>
      <c r="BS32" s="5">
        <v>12947547000</v>
      </c>
      <c r="BT32" s="5">
        <v>30493842000</v>
      </c>
      <c r="BU32" s="5">
        <v>28732961000</v>
      </c>
      <c r="BV32" s="5">
        <v>28143382000</v>
      </c>
      <c r="BW32" s="5">
        <v>35388626000</v>
      </c>
      <c r="BX32" s="5">
        <v>30051659000</v>
      </c>
      <c r="BY32" s="5">
        <v>25524939000</v>
      </c>
      <c r="BZ32" s="5">
        <v>18964719000</v>
      </c>
      <c r="CA32" s="5">
        <v>27931462000</v>
      </c>
    </row>
    <row r="34" spans="1:79" x14ac:dyDescent="0.2">
      <c r="A34" s="3" t="s">
        <v>9</v>
      </c>
      <c r="B34" s="3">
        <v>0.50478660230000005</v>
      </c>
      <c r="C34" s="3">
        <v>0.48346127020000002</v>
      </c>
      <c r="D34" s="3">
        <v>0.45690855200000002</v>
      </c>
      <c r="E34" s="3">
        <v>0.42651147150000002</v>
      </c>
      <c r="F34" s="3">
        <v>0.43081609139999999</v>
      </c>
      <c r="G34" s="3">
        <v>0.41428714010000001</v>
      </c>
      <c r="H34" s="3">
        <v>0.42814391860000001</v>
      </c>
      <c r="I34" s="3">
        <v>0.3679907691</v>
      </c>
      <c r="J34" s="3">
        <v>0.38047259490000002</v>
      </c>
      <c r="K34" s="3">
        <v>0.38161620000000002</v>
      </c>
      <c r="L34" s="3">
        <v>0.38592878060000002</v>
      </c>
      <c r="M34" s="3">
        <v>0.37808532340000001</v>
      </c>
      <c r="N34" s="3">
        <v>0.40694680049999998</v>
      </c>
      <c r="O34" s="3">
        <v>0.43530527930000001</v>
      </c>
      <c r="P34" s="3">
        <v>0.45807568170000001</v>
      </c>
      <c r="Q34" s="3">
        <v>0.4437543686</v>
      </c>
      <c r="R34" s="3">
        <v>0.41283432180000001</v>
      </c>
      <c r="S34" s="3">
        <v>0.36975694679999999</v>
      </c>
      <c r="T34" s="3">
        <v>0.37682529279999999</v>
      </c>
      <c r="U34" s="3">
        <v>0.36103910560000002</v>
      </c>
      <c r="V34" s="3">
        <v>0.38544853709999999</v>
      </c>
      <c r="W34" s="3">
        <v>0.37508936279999999</v>
      </c>
      <c r="X34" s="3">
        <v>0.38522728560000002</v>
      </c>
      <c r="Y34" s="3">
        <v>0.38895938070000002</v>
      </c>
      <c r="Z34" s="3">
        <v>0.37666024199999998</v>
      </c>
      <c r="AA34" s="3">
        <v>0.36576754919999999</v>
      </c>
      <c r="AB34" s="3">
        <v>0.3449181483</v>
      </c>
      <c r="AC34" s="3">
        <v>0.27696901340000002</v>
      </c>
      <c r="AD34" s="3">
        <v>0.28070906130000001</v>
      </c>
      <c r="AE34" s="3">
        <v>0.34504488030000002</v>
      </c>
      <c r="AF34" s="3">
        <v>0.34214408349999997</v>
      </c>
      <c r="AG34" s="3">
        <v>0.30996762830000002</v>
      </c>
      <c r="AH34" s="3">
        <v>0.36209095450000001</v>
      </c>
      <c r="AI34" s="3">
        <v>0.3644521879</v>
      </c>
      <c r="AJ34" s="3">
        <v>0.35669012480000001</v>
      </c>
      <c r="AK34" s="3">
        <v>0.30995194749999999</v>
      </c>
      <c r="AL34" s="3">
        <v>0.37461315239999998</v>
      </c>
      <c r="AM34" s="3">
        <v>0.37245247370000001</v>
      </c>
      <c r="AN34" s="3">
        <v>0.3715534405</v>
      </c>
      <c r="AO34" s="3">
        <v>0.32689537239999999</v>
      </c>
      <c r="AP34" s="3">
        <v>0.31839529109999998</v>
      </c>
      <c r="AQ34" s="3">
        <v>0.33957276990000002</v>
      </c>
      <c r="AR34" s="3">
        <v>0.35445013359999999</v>
      </c>
      <c r="AS34" s="3">
        <v>0.38657135440000001</v>
      </c>
      <c r="AT34" s="3">
        <v>0.35578701610000002</v>
      </c>
      <c r="AU34" s="3">
        <v>0.31632221690000001</v>
      </c>
      <c r="AV34" s="3">
        <v>0.36514002759999997</v>
      </c>
      <c r="AW34" s="3">
        <v>0.3261915105</v>
      </c>
      <c r="AX34" s="3">
        <v>0.32290895580000001</v>
      </c>
      <c r="AY34" s="3">
        <v>0.27869213370000001</v>
      </c>
      <c r="AZ34" s="3">
        <v>0.31965061249999999</v>
      </c>
      <c r="BA34" s="3">
        <v>0.3323357669</v>
      </c>
      <c r="BB34" s="3">
        <v>0.2981117237</v>
      </c>
      <c r="BC34" s="3">
        <v>0.31664669480000002</v>
      </c>
      <c r="BD34" s="3">
        <v>0.3489489133</v>
      </c>
      <c r="BE34" s="3">
        <v>0.32697171180000001</v>
      </c>
      <c r="BF34" s="3">
        <v>0.3168889701</v>
      </c>
      <c r="BG34" s="3">
        <v>0.30157893829999999</v>
      </c>
      <c r="BH34" s="3">
        <v>0.2854385035</v>
      </c>
      <c r="BI34" s="3">
        <v>0.32531775629999998</v>
      </c>
      <c r="BJ34" s="3">
        <v>0.34426490209999999</v>
      </c>
      <c r="BK34" s="3">
        <v>0.36970789339999999</v>
      </c>
      <c r="BL34" s="3">
        <v>0.41818180329999999</v>
      </c>
      <c r="BM34" s="3">
        <v>0.38377502660000001</v>
      </c>
      <c r="BN34" s="3">
        <v>0.36516245959999999</v>
      </c>
      <c r="BO34" s="3">
        <v>0.35470136949999997</v>
      </c>
      <c r="BP34" s="3">
        <v>0.33969553899999999</v>
      </c>
      <c r="BQ34" s="3">
        <v>0.3293537433</v>
      </c>
      <c r="BR34" s="3">
        <v>3.9465013399999999E-2</v>
      </c>
      <c r="BS34" s="3">
        <v>0.19567257709999999</v>
      </c>
      <c r="BT34" s="3">
        <v>0.3288233384</v>
      </c>
      <c r="BU34" s="3">
        <v>0.33612720660000001</v>
      </c>
      <c r="BV34" s="3">
        <v>0.3217123107</v>
      </c>
      <c r="BW34" s="3">
        <v>0.3661889679</v>
      </c>
      <c r="BX34" s="3">
        <v>0.341481484</v>
      </c>
      <c r="BY34" s="3">
        <v>0.34980450299999999</v>
      </c>
      <c r="BZ34" s="3">
        <v>0.29042068440000002</v>
      </c>
      <c r="CA34" s="3">
        <v>2.4699353942000002</v>
      </c>
    </row>
    <row r="35" spans="1:79" x14ac:dyDescent="0.2">
      <c r="A35" s="2" t="s">
        <v>8</v>
      </c>
      <c r="B35" s="2">
        <v>111.55</v>
      </c>
      <c r="C35" s="2">
        <v>98.4</v>
      </c>
      <c r="D35" s="2">
        <v>89.05</v>
      </c>
      <c r="E35" s="2">
        <v>72.599999999999994</v>
      </c>
      <c r="F35" s="2">
        <v>70.349999999999994</v>
      </c>
      <c r="G35" s="2">
        <v>73.099999999999994</v>
      </c>
      <c r="H35" s="2">
        <v>61.25</v>
      </c>
      <c r="I35" s="2">
        <v>48.1</v>
      </c>
      <c r="J35" s="2">
        <v>44.2</v>
      </c>
      <c r="K35" s="2">
        <v>44.3</v>
      </c>
      <c r="L35" s="2">
        <v>41.2</v>
      </c>
      <c r="M35" s="2">
        <v>35.450000000000003</v>
      </c>
      <c r="N35" s="2">
        <v>39.9</v>
      </c>
      <c r="O35" s="2">
        <v>54.95</v>
      </c>
      <c r="P35" s="2">
        <v>56.4</v>
      </c>
      <c r="Q35" s="2">
        <v>46</v>
      </c>
      <c r="R35" s="2">
        <v>40.049999999999997</v>
      </c>
      <c r="S35" s="2">
        <v>31.8</v>
      </c>
      <c r="T35" s="2">
        <v>30.05</v>
      </c>
      <c r="U35" s="2">
        <v>25.95</v>
      </c>
      <c r="V35" s="2">
        <v>27.3</v>
      </c>
      <c r="W35" s="2">
        <v>27.25</v>
      </c>
      <c r="X35" s="2">
        <v>26</v>
      </c>
      <c r="Y35" s="2">
        <v>22.95</v>
      </c>
      <c r="Z35" s="2">
        <v>22.6</v>
      </c>
      <c r="AA35" s="2">
        <v>22.3</v>
      </c>
      <c r="AB35" s="2">
        <v>19.2</v>
      </c>
      <c r="AC35" s="2">
        <v>12.7</v>
      </c>
      <c r="AD35" s="2">
        <v>11.7</v>
      </c>
      <c r="AE35" s="2">
        <v>19.05</v>
      </c>
      <c r="AF35" s="2">
        <v>17.100000000000001</v>
      </c>
      <c r="AG35" s="2">
        <v>14.35</v>
      </c>
      <c r="AH35" s="2">
        <v>17.2</v>
      </c>
      <c r="AI35" s="2">
        <v>19.2</v>
      </c>
      <c r="AJ35" s="2">
        <v>17.399999999999999</v>
      </c>
      <c r="AK35" s="2">
        <v>12.85</v>
      </c>
      <c r="AL35" s="2">
        <v>16.5</v>
      </c>
      <c r="AM35" s="2">
        <v>19.649999999999999</v>
      </c>
      <c r="AN35" s="2">
        <v>18.45</v>
      </c>
      <c r="AO35" s="2">
        <v>14</v>
      </c>
      <c r="AP35" s="2">
        <v>12.5</v>
      </c>
      <c r="AQ35" s="2">
        <v>13.35</v>
      </c>
      <c r="AR35" s="2">
        <v>14.55</v>
      </c>
      <c r="AS35" s="2">
        <v>15.3</v>
      </c>
      <c r="AT35" s="2">
        <v>15.25</v>
      </c>
      <c r="AU35" s="2">
        <v>13.55</v>
      </c>
      <c r="AV35" s="2">
        <v>14.7</v>
      </c>
      <c r="AW35" s="2">
        <v>11.5</v>
      </c>
      <c r="AX35" s="2">
        <v>9.25</v>
      </c>
      <c r="AY35" s="2">
        <v>7.85</v>
      </c>
      <c r="AZ35" s="2">
        <v>10</v>
      </c>
      <c r="BA35" s="2">
        <v>10</v>
      </c>
      <c r="BB35" s="2">
        <v>7.65</v>
      </c>
      <c r="BC35" s="2">
        <v>8</v>
      </c>
      <c r="BD35" s="2">
        <v>9.5</v>
      </c>
      <c r="BE35" s="2">
        <v>8.0500000000000007</v>
      </c>
      <c r="BF35" s="2">
        <v>6.45</v>
      </c>
      <c r="BG35" s="2">
        <v>6.1</v>
      </c>
      <c r="BH35" s="2">
        <v>5.85</v>
      </c>
      <c r="BI35" s="2">
        <v>6.95</v>
      </c>
      <c r="BJ35" s="2">
        <v>7</v>
      </c>
      <c r="BK35" s="2">
        <v>7.85</v>
      </c>
      <c r="BL35" s="2">
        <v>9.0500000000000007</v>
      </c>
      <c r="BM35" s="2">
        <v>7.8</v>
      </c>
      <c r="BN35" s="2">
        <v>6.5</v>
      </c>
      <c r="BO35" s="2">
        <v>6.4</v>
      </c>
      <c r="BP35" s="2">
        <v>5.85</v>
      </c>
      <c r="BQ35" s="2">
        <v>4.7</v>
      </c>
      <c r="BR35" s="2">
        <v>0.3</v>
      </c>
      <c r="BS35" s="2">
        <v>2.5</v>
      </c>
      <c r="BT35" s="2">
        <v>5.8</v>
      </c>
      <c r="BU35" s="2">
        <v>5.55</v>
      </c>
      <c r="BV35" s="2">
        <v>5.35</v>
      </c>
      <c r="BW35" s="2">
        <v>6.65</v>
      </c>
      <c r="BX35" s="2">
        <v>5.5</v>
      </c>
      <c r="BY35" s="2">
        <v>4.7</v>
      </c>
      <c r="BZ35" s="2">
        <v>3.6</v>
      </c>
      <c r="CA35" s="2">
        <v>5.35</v>
      </c>
    </row>
    <row r="36" spans="1:79" x14ac:dyDescent="0.2">
      <c r="A36" s="2" t="s">
        <v>7</v>
      </c>
      <c r="B36" s="2">
        <v>111.55</v>
      </c>
      <c r="C36" s="2">
        <v>98.4</v>
      </c>
      <c r="D36" s="2">
        <v>88.75</v>
      </c>
      <c r="E36" s="2">
        <v>72.599999999999994</v>
      </c>
      <c r="F36" s="2">
        <v>70.349999999999994</v>
      </c>
      <c r="G36" s="2">
        <v>73.099999999999994</v>
      </c>
      <c r="H36" s="2">
        <v>61.25</v>
      </c>
      <c r="I36" s="2">
        <v>48.1</v>
      </c>
      <c r="J36" s="2">
        <v>44.2</v>
      </c>
      <c r="K36" s="2">
        <v>44.3</v>
      </c>
      <c r="L36" s="2">
        <v>41.2</v>
      </c>
      <c r="M36" s="2">
        <v>35.450000000000003</v>
      </c>
      <c r="N36" s="2">
        <v>39.9</v>
      </c>
      <c r="O36" s="2">
        <v>54.95</v>
      </c>
      <c r="P36" s="2">
        <v>56.4</v>
      </c>
      <c r="Q36" s="2">
        <v>46</v>
      </c>
      <c r="R36" s="2">
        <v>40.049999999999997</v>
      </c>
      <c r="S36" s="2">
        <v>31.8</v>
      </c>
      <c r="T36" s="2">
        <v>30.05</v>
      </c>
      <c r="U36" s="2">
        <v>25.95</v>
      </c>
      <c r="V36" s="2">
        <v>27.3</v>
      </c>
      <c r="W36" s="2">
        <v>27.25</v>
      </c>
      <c r="X36" s="2">
        <v>26</v>
      </c>
      <c r="Y36" s="2">
        <v>22.95</v>
      </c>
      <c r="Z36" s="2">
        <v>22.6</v>
      </c>
      <c r="AA36" s="2">
        <v>22.3</v>
      </c>
      <c r="AB36" s="2">
        <v>19.2</v>
      </c>
      <c r="AC36" s="2">
        <v>12.7</v>
      </c>
      <c r="AD36" s="2">
        <v>11.7</v>
      </c>
      <c r="AE36" s="2">
        <v>19.05</v>
      </c>
      <c r="AF36" s="2">
        <v>17.100000000000001</v>
      </c>
      <c r="AG36" s="2">
        <v>14.35</v>
      </c>
      <c r="AH36" s="2">
        <v>17.2</v>
      </c>
      <c r="AI36" s="2">
        <v>19.2</v>
      </c>
      <c r="AJ36" s="2">
        <v>17.399999999999999</v>
      </c>
      <c r="AK36" s="2">
        <v>12.85</v>
      </c>
      <c r="AL36" s="2">
        <v>16.5</v>
      </c>
      <c r="AM36" s="2">
        <v>19.649999999999999</v>
      </c>
      <c r="AN36" s="2">
        <v>18.45</v>
      </c>
      <c r="AO36" s="2">
        <v>14</v>
      </c>
      <c r="AP36" s="2">
        <v>12.5</v>
      </c>
      <c r="AQ36" s="2">
        <v>13.35</v>
      </c>
      <c r="AR36" s="2">
        <v>14.55</v>
      </c>
      <c r="AS36" s="2">
        <v>15.3</v>
      </c>
      <c r="AT36" s="2">
        <v>15.25</v>
      </c>
      <c r="AU36" s="2">
        <v>13.55</v>
      </c>
      <c r="AV36" s="2">
        <v>14.7</v>
      </c>
      <c r="AW36" s="2">
        <v>11.5</v>
      </c>
      <c r="AX36" s="2">
        <v>9.25</v>
      </c>
      <c r="AY36" s="2">
        <v>7.85</v>
      </c>
      <c r="AZ36" s="2">
        <v>10</v>
      </c>
      <c r="BA36" s="2">
        <v>10</v>
      </c>
      <c r="BB36" s="2">
        <v>7.65</v>
      </c>
      <c r="BC36" s="2">
        <v>8</v>
      </c>
      <c r="BD36" s="2">
        <v>9.5</v>
      </c>
      <c r="BE36" s="2">
        <v>8.0500000000000007</v>
      </c>
      <c r="BF36" s="2">
        <v>6.45</v>
      </c>
      <c r="BG36" s="2">
        <v>6.1</v>
      </c>
      <c r="BH36" s="2">
        <v>5.85</v>
      </c>
      <c r="BI36" s="2">
        <v>6.95</v>
      </c>
      <c r="BJ36" s="2">
        <v>7</v>
      </c>
      <c r="BK36" s="2">
        <v>7.85</v>
      </c>
      <c r="BL36" s="2">
        <v>9.0500000000000007</v>
      </c>
      <c r="BM36" s="2">
        <v>7.8</v>
      </c>
      <c r="BN36" s="2">
        <v>6.5</v>
      </c>
      <c r="BO36" s="2">
        <v>6.3</v>
      </c>
      <c r="BP36" s="2">
        <v>5.85</v>
      </c>
      <c r="BQ36" s="2">
        <v>4.7</v>
      </c>
      <c r="BR36" s="2">
        <v>0.3</v>
      </c>
      <c r="BS36" s="2">
        <v>2.5</v>
      </c>
      <c r="BT36" s="2">
        <v>5.65</v>
      </c>
      <c r="BU36" s="2">
        <v>5.55</v>
      </c>
      <c r="BV36" s="2">
        <v>5.35</v>
      </c>
      <c r="BW36" s="2">
        <v>6.65</v>
      </c>
      <c r="BX36" s="2">
        <v>5.5</v>
      </c>
      <c r="BY36" s="2">
        <v>4.7</v>
      </c>
      <c r="BZ36" s="2">
        <v>3.6</v>
      </c>
      <c r="CA36" s="2">
        <v>5.35</v>
      </c>
    </row>
    <row r="37" spans="1:79" x14ac:dyDescent="0.2">
      <c r="A37" s="1" t="s">
        <v>6</v>
      </c>
      <c r="B37" s="1">
        <v>5185953400</v>
      </c>
      <c r="C37" s="1">
        <v>5186504800</v>
      </c>
      <c r="D37" s="1">
        <v>5185722800</v>
      </c>
      <c r="E37" s="1">
        <v>5185651000</v>
      </c>
      <c r="F37" s="1">
        <v>5185357800</v>
      </c>
      <c r="G37" s="1">
        <v>5185290400</v>
      </c>
      <c r="H37" s="1">
        <v>5185203600</v>
      </c>
      <c r="I37" s="1">
        <v>5185794400</v>
      </c>
      <c r="J37" s="1">
        <v>5185853400</v>
      </c>
      <c r="K37" s="1">
        <v>5186414200</v>
      </c>
      <c r="L37" s="1">
        <v>5185853400</v>
      </c>
      <c r="M37" s="1">
        <v>5185853600</v>
      </c>
      <c r="N37" s="1">
        <v>5185817600</v>
      </c>
      <c r="O37" s="1">
        <v>5186076000</v>
      </c>
      <c r="P37" s="1">
        <v>5185798600</v>
      </c>
      <c r="Q37" s="1">
        <v>5185798600</v>
      </c>
      <c r="R37" s="1">
        <v>5185958200</v>
      </c>
      <c r="S37" s="1">
        <v>5186076000</v>
      </c>
      <c r="T37" s="1">
        <v>5186076000</v>
      </c>
      <c r="U37" s="1">
        <v>5186076000</v>
      </c>
      <c r="V37" s="1">
        <v>5186076000</v>
      </c>
      <c r="W37" s="1">
        <v>5186076000</v>
      </c>
      <c r="X37" s="1">
        <v>5186076000</v>
      </c>
      <c r="Y37" s="1">
        <v>5186076000</v>
      </c>
      <c r="Z37" s="1">
        <v>5186076000</v>
      </c>
      <c r="AA37" s="1">
        <v>5186076000</v>
      </c>
      <c r="AB37" s="1">
        <v>5186076000</v>
      </c>
      <c r="AC37" s="1">
        <v>5186076000</v>
      </c>
      <c r="AD37" s="1">
        <v>5186076000</v>
      </c>
      <c r="AE37" s="1">
        <v>5186076000</v>
      </c>
      <c r="AF37" s="1">
        <v>5186076000</v>
      </c>
      <c r="AG37" s="1">
        <v>5186076000</v>
      </c>
      <c r="AH37" s="1">
        <v>5186076000</v>
      </c>
      <c r="AI37" s="1">
        <v>5186076000</v>
      </c>
      <c r="AJ37" s="1">
        <v>5186076000</v>
      </c>
      <c r="AK37" s="1">
        <v>5186076000</v>
      </c>
      <c r="AL37" s="1">
        <v>5186076000</v>
      </c>
      <c r="AM37" s="1">
        <v>5186076000</v>
      </c>
      <c r="AN37" s="1">
        <v>5186076000</v>
      </c>
      <c r="AO37" s="1">
        <v>5186076000</v>
      </c>
      <c r="AP37" s="1">
        <v>5186076000</v>
      </c>
      <c r="AQ37" s="1">
        <v>5186001000</v>
      </c>
      <c r="AR37" s="1">
        <v>5186076000</v>
      </c>
      <c r="AS37" s="1">
        <v>5186075000</v>
      </c>
      <c r="AT37" s="1">
        <v>5186002200</v>
      </c>
      <c r="AU37" s="1">
        <v>5185875000</v>
      </c>
      <c r="AV37" s="1">
        <v>5185875000</v>
      </c>
      <c r="AW37" s="1">
        <v>5185865600</v>
      </c>
      <c r="AX37" s="1">
        <v>5185769600</v>
      </c>
      <c r="AY37" s="1">
        <v>5185664400</v>
      </c>
      <c r="AZ37" s="1">
        <v>5185664400</v>
      </c>
      <c r="BA37" s="1">
        <v>5185659800</v>
      </c>
      <c r="BB37" s="1">
        <v>5185189800</v>
      </c>
      <c r="BC37" s="1">
        <v>5184266600</v>
      </c>
      <c r="BD37" s="1">
        <v>5184266600</v>
      </c>
      <c r="BE37" s="1">
        <v>5184140600</v>
      </c>
      <c r="BF37" s="1">
        <v>5183529200</v>
      </c>
      <c r="BG37" s="1">
        <v>5183007800</v>
      </c>
      <c r="BH37" s="1">
        <v>5182894600</v>
      </c>
      <c r="BI37" s="1">
        <v>5182501200</v>
      </c>
      <c r="BJ37" s="1">
        <v>5182501200</v>
      </c>
      <c r="BK37" s="1">
        <v>5181732200</v>
      </c>
      <c r="BL37" s="1">
        <v>5181255000</v>
      </c>
      <c r="BM37" s="1">
        <v>5180693000</v>
      </c>
      <c r="BN37" s="1">
        <v>5180693000</v>
      </c>
      <c r="BO37" s="1">
        <v>5080319400</v>
      </c>
      <c r="BP37" s="1">
        <v>5214744000</v>
      </c>
      <c r="BQ37" s="1">
        <v>5214744000</v>
      </c>
      <c r="BR37" s="1">
        <v>5150784200</v>
      </c>
      <c r="BS37" s="1">
        <v>5172580800</v>
      </c>
      <c r="BT37" s="1">
        <v>5227154400</v>
      </c>
      <c r="BU37" s="1">
        <v>5181924600</v>
      </c>
      <c r="BV37" s="1">
        <v>5249269800</v>
      </c>
      <c r="BW37" s="1">
        <v>5334952000</v>
      </c>
      <c r="BX37" s="1">
        <v>5334952000</v>
      </c>
      <c r="BY37" s="1">
        <v>5330178600</v>
      </c>
      <c r="BZ37" s="1">
        <v>5215769200</v>
      </c>
      <c r="CA37" s="1">
        <v>5235235800</v>
      </c>
    </row>
    <row r="38" spans="1:79" x14ac:dyDescent="0.2">
      <c r="A38" s="1" t="s">
        <v>5</v>
      </c>
      <c r="B38" s="1">
        <v>5186257000</v>
      </c>
      <c r="C38" s="1">
        <v>5186504800</v>
      </c>
      <c r="D38" s="1">
        <v>5186008600</v>
      </c>
      <c r="E38" s="1">
        <v>5185775400</v>
      </c>
      <c r="F38" s="1">
        <v>5185759800</v>
      </c>
      <c r="G38" s="1">
        <v>5185290400</v>
      </c>
      <c r="H38" s="1">
        <v>5185644800</v>
      </c>
      <c r="I38" s="1">
        <v>5186162400</v>
      </c>
      <c r="J38" s="1">
        <v>5185951400</v>
      </c>
      <c r="K38" s="1">
        <v>5186414200</v>
      </c>
      <c r="L38" s="1">
        <v>5185871600</v>
      </c>
      <c r="M38" s="1">
        <v>5185883000</v>
      </c>
      <c r="N38" s="1">
        <v>5185875200</v>
      </c>
      <c r="O38" s="1">
        <v>5186076000</v>
      </c>
      <c r="P38" s="1">
        <v>5185833000</v>
      </c>
      <c r="Q38" s="1">
        <v>5185833400</v>
      </c>
      <c r="R38" s="1">
        <v>5185966800</v>
      </c>
      <c r="S38" s="1">
        <v>5186076000</v>
      </c>
      <c r="T38" s="1">
        <v>5186076000</v>
      </c>
      <c r="U38" s="1">
        <v>5186076000</v>
      </c>
      <c r="V38" s="1">
        <v>5186076000</v>
      </c>
      <c r="W38" s="1">
        <v>5186076000</v>
      </c>
      <c r="X38" s="1">
        <v>5186076000</v>
      </c>
      <c r="Y38" s="1">
        <v>5186076000</v>
      </c>
      <c r="Z38" s="1">
        <v>5186076000</v>
      </c>
      <c r="AA38" s="1">
        <v>5186076000</v>
      </c>
      <c r="AB38" s="1">
        <v>5186076000</v>
      </c>
      <c r="AC38" s="1">
        <v>5186076000</v>
      </c>
      <c r="AD38" s="1">
        <v>5186076000</v>
      </c>
      <c r="AE38" s="1">
        <v>5186076000</v>
      </c>
      <c r="AF38" s="1">
        <v>5186076000</v>
      </c>
      <c r="AG38" s="1">
        <v>5186076000</v>
      </c>
      <c r="AH38" s="1">
        <v>5186076000</v>
      </c>
      <c r="AI38" s="1">
        <v>5186076000</v>
      </c>
      <c r="AJ38" s="1">
        <v>5186076000</v>
      </c>
      <c r="AK38" s="1">
        <v>5186076000</v>
      </c>
      <c r="AL38" s="1">
        <v>5186076000</v>
      </c>
      <c r="AM38" s="1">
        <v>5186076000</v>
      </c>
      <c r="AN38" s="1">
        <v>5186076000</v>
      </c>
      <c r="AO38" s="1">
        <v>5186076000</v>
      </c>
      <c r="AP38" s="1">
        <v>5186076000</v>
      </c>
      <c r="AQ38" s="1">
        <v>5186076000</v>
      </c>
      <c r="AR38" s="1">
        <v>5186076000</v>
      </c>
      <c r="AS38" s="1">
        <v>5186076000</v>
      </c>
      <c r="AT38" s="1">
        <v>5186071000</v>
      </c>
      <c r="AU38" s="1">
        <v>5185875000</v>
      </c>
      <c r="AV38" s="1">
        <v>5186000400</v>
      </c>
      <c r="AW38" s="1">
        <v>5185998000</v>
      </c>
      <c r="AX38" s="1">
        <v>5185968000</v>
      </c>
      <c r="AY38" s="1">
        <v>5185664400</v>
      </c>
      <c r="AZ38" s="1">
        <v>5185896800</v>
      </c>
      <c r="BA38" s="1">
        <v>5185898200</v>
      </c>
      <c r="BB38" s="1">
        <v>5185883600</v>
      </c>
      <c r="BC38" s="1">
        <v>5184266600</v>
      </c>
      <c r="BD38" s="1">
        <v>5185411400</v>
      </c>
      <c r="BE38" s="1">
        <v>5185316400</v>
      </c>
      <c r="BF38" s="1">
        <v>5185289200</v>
      </c>
      <c r="BG38" s="1">
        <v>5183529200</v>
      </c>
      <c r="BH38" s="1">
        <v>5183529200</v>
      </c>
      <c r="BI38" s="1">
        <v>5182501200</v>
      </c>
      <c r="BJ38" s="1">
        <v>5184713200</v>
      </c>
      <c r="BK38" s="1">
        <v>5182501200</v>
      </c>
      <c r="BL38" s="1">
        <v>5182501200</v>
      </c>
      <c r="BM38" s="1">
        <v>5180693000</v>
      </c>
      <c r="BN38" s="1">
        <v>5183197200</v>
      </c>
      <c r="BO38" s="1">
        <v>5180693000</v>
      </c>
      <c r="BP38" s="1">
        <v>5214744000</v>
      </c>
      <c r="BQ38" s="1">
        <v>5214744000</v>
      </c>
      <c r="BR38" s="1">
        <v>5183979800</v>
      </c>
      <c r="BS38" s="1">
        <v>5227154400</v>
      </c>
      <c r="BT38" s="1">
        <v>5257453400</v>
      </c>
      <c r="BU38" s="1">
        <v>5181924600</v>
      </c>
      <c r="BV38" s="1">
        <v>5259603600</v>
      </c>
      <c r="BW38" s="1">
        <v>5334952000</v>
      </c>
      <c r="BX38" s="1">
        <v>5334952000</v>
      </c>
      <c r="BY38" s="1">
        <v>5334922200</v>
      </c>
      <c r="BZ38" s="1">
        <v>5215769200</v>
      </c>
      <c r="CA38" s="1">
        <v>5235235800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A463-924E-934D-AFAA-2B9223148414}">
  <dimension ref="A1:CA52"/>
  <sheetViews>
    <sheetView workbookViewId="0"/>
  </sheetViews>
  <sheetFormatPr baseColWidth="10" defaultRowHeight="16" x14ac:dyDescent="0.2"/>
  <cols>
    <col min="1" max="1" width="40.83203125" bestFit="1" customWidth="1"/>
    <col min="2" max="7" width="20.1640625" bestFit="1" customWidth="1"/>
    <col min="8" max="54" width="19.5" bestFit="1" customWidth="1"/>
    <col min="55" max="56" width="18" bestFit="1" customWidth="1"/>
    <col min="57" max="57" width="18.6640625" bestFit="1" customWidth="1"/>
    <col min="58" max="60" width="18" bestFit="1" customWidth="1"/>
    <col min="61" max="61" width="18.6640625" bestFit="1" customWidth="1"/>
    <col min="62" max="62" width="18" bestFit="1" customWidth="1"/>
    <col min="63" max="63" width="18.6640625" bestFit="1" customWidth="1"/>
    <col min="64" max="64" width="18" bestFit="1" customWidth="1"/>
    <col min="65" max="74" width="18.6640625" bestFit="1" customWidth="1"/>
    <col min="75" max="76" width="18" bestFit="1" customWidth="1"/>
    <col min="77" max="79" width="18.6640625" bestFit="1" customWidth="1"/>
  </cols>
  <sheetData>
    <row r="1" spans="1:79" x14ac:dyDescent="0.2">
      <c r="A1" s="10" t="s">
        <v>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</row>
    <row r="2" spans="1:79" x14ac:dyDescent="0.2">
      <c r="A2" t="s">
        <v>1</v>
      </c>
      <c r="B2" t="s">
        <v>2</v>
      </c>
    </row>
    <row r="3" spans="1:79" x14ac:dyDescent="0.2">
      <c r="A3" t="s">
        <v>3</v>
      </c>
      <c r="B3" t="str">
        <f>'TSM - Income Statement Q'!B3</f>
        <v>TWD</v>
      </c>
    </row>
    <row r="4" spans="1:79" x14ac:dyDescent="0.2">
      <c r="A4" t="s">
        <v>32</v>
      </c>
      <c r="B4" t="s">
        <v>195</v>
      </c>
      <c r="C4" t="s">
        <v>196</v>
      </c>
      <c r="D4" t="s">
        <v>197</v>
      </c>
      <c r="E4" t="s">
        <v>198</v>
      </c>
      <c r="F4" t="s">
        <v>195</v>
      </c>
      <c r="G4" t="s">
        <v>196</v>
      </c>
      <c r="H4" t="s">
        <v>197</v>
      </c>
      <c r="I4" t="s">
        <v>198</v>
      </c>
      <c r="J4" t="s">
        <v>195</v>
      </c>
      <c r="K4" t="s">
        <v>196</v>
      </c>
      <c r="L4" t="s">
        <v>197</v>
      </c>
      <c r="M4" t="s">
        <v>198</v>
      </c>
      <c r="N4" t="s">
        <v>195</v>
      </c>
      <c r="O4" t="s">
        <v>196</v>
      </c>
      <c r="P4" t="s">
        <v>197</v>
      </c>
      <c r="Q4" t="s">
        <v>198</v>
      </c>
      <c r="R4" t="s">
        <v>195</v>
      </c>
      <c r="S4" t="s">
        <v>196</v>
      </c>
      <c r="T4" t="s">
        <v>197</v>
      </c>
      <c r="U4" t="s">
        <v>198</v>
      </c>
      <c r="V4" t="s">
        <v>195</v>
      </c>
      <c r="W4" t="s">
        <v>196</v>
      </c>
      <c r="X4" t="s">
        <v>197</v>
      </c>
      <c r="Y4" t="s">
        <v>198</v>
      </c>
      <c r="Z4" t="s">
        <v>195</v>
      </c>
      <c r="AA4" t="s">
        <v>196</v>
      </c>
      <c r="AB4" t="s">
        <v>197</v>
      </c>
      <c r="AC4" t="s">
        <v>198</v>
      </c>
      <c r="AD4" t="s">
        <v>195</v>
      </c>
      <c r="AE4" t="s">
        <v>196</v>
      </c>
      <c r="AF4" t="s">
        <v>197</v>
      </c>
      <c r="AG4" t="s">
        <v>198</v>
      </c>
      <c r="AH4" t="s">
        <v>195</v>
      </c>
      <c r="AI4" t="s">
        <v>196</v>
      </c>
      <c r="AJ4" t="s">
        <v>197</v>
      </c>
      <c r="AK4" t="s">
        <v>198</v>
      </c>
      <c r="AL4" t="s">
        <v>195</v>
      </c>
      <c r="AM4" t="s">
        <v>196</v>
      </c>
      <c r="AN4" t="s">
        <v>197</v>
      </c>
      <c r="AO4" t="s">
        <v>198</v>
      </c>
      <c r="AP4" t="s">
        <v>195</v>
      </c>
      <c r="AQ4" t="s">
        <v>196</v>
      </c>
      <c r="AR4" t="s">
        <v>197</v>
      </c>
      <c r="AS4" t="s">
        <v>198</v>
      </c>
      <c r="AT4" t="s">
        <v>195</v>
      </c>
      <c r="AU4" t="s">
        <v>196</v>
      </c>
      <c r="AV4" t="s">
        <v>197</v>
      </c>
      <c r="AW4" t="s">
        <v>198</v>
      </c>
      <c r="AX4" t="s">
        <v>195</v>
      </c>
      <c r="AY4" t="s">
        <v>196</v>
      </c>
      <c r="AZ4" t="s">
        <v>197</v>
      </c>
      <c r="BA4" t="s">
        <v>198</v>
      </c>
      <c r="BB4" t="s">
        <v>195</v>
      </c>
      <c r="BC4" t="s">
        <v>196</v>
      </c>
      <c r="BD4" t="s">
        <v>197</v>
      </c>
      <c r="BE4" t="s">
        <v>198</v>
      </c>
      <c r="BF4" t="s">
        <v>195</v>
      </c>
      <c r="BG4" t="s">
        <v>196</v>
      </c>
      <c r="BH4" t="s">
        <v>197</v>
      </c>
      <c r="BI4" t="s">
        <v>198</v>
      </c>
      <c r="BJ4" t="s">
        <v>195</v>
      </c>
      <c r="BK4" t="s">
        <v>196</v>
      </c>
      <c r="BL4" t="s">
        <v>197</v>
      </c>
      <c r="BM4" t="s">
        <v>198</v>
      </c>
      <c r="BN4" t="s">
        <v>195</v>
      </c>
      <c r="BO4" t="s">
        <v>196</v>
      </c>
      <c r="BP4" t="s">
        <v>197</v>
      </c>
      <c r="BQ4" t="s">
        <v>198</v>
      </c>
      <c r="BR4" t="s">
        <v>195</v>
      </c>
      <c r="BS4" t="s">
        <v>196</v>
      </c>
      <c r="BT4" t="s">
        <v>197</v>
      </c>
      <c r="BU4" t="s">
        <v>198</v>
      </c>
      <c r="BV4" t="s">
        <v>195</v>
      </c>
      <c r="BW4" t="s">
        <v>196</v>
      </c>
      <c r="BX4" t="s">
        <v>197</v>
      </c>
      <c r="BY4" t="s">
        <v>198</v>
      </c>
      <c r="BZ4" t="s">
        <v>195</v>
      </c>
      <c r="CA4" t="s">
        <v>196</v>
      </c>
    </row>
    <row r="5" spans="1:79" x14ac:dyDescent="0.2">
      <c r="A5" t="s">
        <v>34</v>
      </c>
      <c r="B5" s="9">
        <v>46112</v>
      </c>
      <c r="C5" s="9">
        <v>46022</v>
      </c>
      <c r="D5" s="9">
        <v>45930</v>
      </c>
      <c r="E5" s="9">
        <v>45838</v>
      </c>
      <c r="F5" s="9">
        <v>45747</v>
      </c>
      <c r="G5" s="9">
        <v>45657</v>
      </c>
      <c r="H5" s="9">
        <v>45565</v>
      </c>
      <c r="I5" s="9">
        <v>45473</v>
      </c>
      <c r="J5" s="9">
        <v>45382</v>
      </c>
      <c r="K5" s="9">
        <v>45291</v>
      </c>
      <c r="L5" s="9">
        <v>45199</v>
      </c>
      <c r="M5" s="9">
        <v>45107</v>
      </c>
      <c r="N5" s="9">
        <v>45016</v>
      </c>
      <c r="O5" s="9">
        <v>44926</v>
      </c>
      <c r="P5" s="9">
        <v>44834</v>
      </c>
      <c r="Q5" s="9">
        <v>44742</v>
      </c>
      <c r="R5" s="9">
        <v>44651</v>
      </c>
      <c r="S5" s="9">
        <v>44561</v>
      </c>
      <c r="T5" s="9">
        <v>44469</v>
      </c>
      <c r="U5" s="9">
        <v>44377</v>
      </c>
      <c r="V5" s="9">
        <v>44286</v>
      </c>
      <c r="W5" s="9">
        <v>44196</v>
      </c>
      <c r="X5" s="9">
        <v>44104</v>
      </c>
      <c r="Y5" s="9">
        <v>44012</v>
      </c>
      <c r="Z5" s="9">
        <v>43921</v>
      </c>
      <c r="AA5" s="9">
        <v>43830</v>
      </c>
      <c r="AB5" s="9">
        <v>43738</v>
      </c>
      <c r="AC5" s="9">
        <v>43646</v>
      </c>
      <c r="AD5" s="9">
        <v>43555</v>
      </c>
      <c r="AE5" s="9">
        <v>43465</v>
      </c>
      <c r="AF5" s="9">
        <v>43373</v>
      </c>
      <c r="AG5" s="9">
        <v>43281</v>
      </c>
      <c r="AH5" s="9">
        <v>43190</v>
      </c>
      <c r="AI5" s="9">
        <v>43100</v>
      </c>
      <c r="AJ5" s="9">
        <v>43008</v>
      </c>
      <c r="AK5" s="9">
        <v>42916</v>
      </c>
      <c r="AL5" s="9">
        <v>42825</v>
      </c>
      <c r="AM5" s="9">
        <v>42735</v>
      </c>
      <c r="AN5" s="9">
        <v>42643</v>
      </c>
      <c r="AO5" s="9">
        <v>42551</v>
      </c>
      <c r="AP5" s="9">
        <v>42460</v>
      </c>
      <c r="AQ5" s="9">
        <v>42369</v>
      </c>
      <c r="AR5" s="9">
        <v>42277</v>
      </c>
      <c r="AS5" s="9">
        <v>42185</v>
      </c>
      <c r="AT5" s="9">
        <v>42094</v>
      </c>
      <c r="AU5" s="9">
        <v>42004</v>
      </c>
      <c r="AV5" s="9">
        <v>41912</v>
      </c>
      <c r="AW5" s="9">
        <v>41820</v>
      </c>
      <c r="AX5" s="9">
        <v>41729</v>
      </c>
      <c r="AY5" s="9">
        <v>41639</v>
      </c>
      <c r="AZ5" s="9">
        <v>41547</v>
      </c>
      <c r="BA5" s="9">
        <v>41455</v>
      </c>
      <c r="BB5" s="9">
        <v>41364</v>
      </c>
      <c r="BC5" s="9">
        <v>41274</v>
      </c>
      <c r="BD5" s="9">
        <v>41182</v>
      </c>
      <c r="BE5" s="9">
        <v>41090</v>
      </c>
      <c r="BF5" s="9">
        <v>40999</v>
      </c>
      <c r="BG5" s="9">
        <v>40908</v>
      </c>
      <c r="BH5" s="9">
        <v>40816</v>
      </c>
      <c r="BI5" s="9">
        <v>40724</v>
      </c>
      <c r="BJ5" s="9">
        <v>40633</v>
      </c>
      <c r="BK5" s="9">
        <v>40543</v>
      </c>
      <c r="BL5" s="9">
        <v>40451</v>
      </c>
      <c r="BM5" s="9">
        <v>40359</v>
      </c>
      <c r="BN5" s="9">
        <v>40268</v>
      </c>
      <c r="BO5" s="9">
        <v>40178</v>
      </c>
      <c r="BP5" s="9">
        <v>40086</v>
      </c>
      <c r="BQ5" s="9">
        <v>39994</v>
      </c>
      <c r="BR5" s="9">
        <v>39903</v>
      </c>
      <c r="BS5" s="9">
        <v>39813</v>
      </c>
      <c r="BT5" s="9">
        <v>39721</v>
      </c>
      <c r="BU5" s="9">
        <v>39629</v>
      </c>
      <c r="BV5" s="9">
        <v>39538</v>
      </c>
      <c r="BW5" s="9">
        <v>39447</v>
      </c>
      <c r="BX5" s="9">
        <v>39355</v>
      </c>
      <c r="BY5" s="9">
        <v>39263</v>
      </c>
      <c r="BZ5" s="9">
        <v>39172</v>
      </c>
      <c r="CA5" s="9">
        <v>39082</v>
      </c>
    </row>
    <row r="7" spans="1:79" x14ac:dyDescent="0.2">
      <c r="A7" s="1" t="s">
        <v>74</v>
      </c>
      <c r="B7" s="1">
        <v>3034972331000</v>
      </c>
      <c r="C7" s="1">
        <v>2767856400000</v>
      </c>
      <c r="D7" s="1">
        <v>2470759384000</v>
      </c>
      <c r="E7" s="1">
        <v>2364524340000</v>
      </c>
      <c r="F7" s="1">
        <v>2394804250000</v>
      </c>
      <c r="G7" s="1">
        <v>2127627000000</v>
      </c>
      <c r="H7" s="1">
        <v>1886780555000</v>
      </c>
      <c r="I7" s="1">
        <v>1799127351000</v>
      </c>
      <c r="J7" s="1">
        <v>1698195704000</v>
      </c>
      <c r="K7" s="1">
        <v>1465427800000</v>
      </c>
      <c r="L7" s="1">
        <v>1311806535000</v>
      </c>
      <c r="M7" s="1">
        <v>1276723984000</v>
      </c>
      <c r="N7" s="1">
        <v>1385232810000</v>
      </c>
      <c r="O7" s="1">
        <v>1342814100000</v>
      </c>
      <c r="P7" s="1">
        <v>1296012784000</v>
      </c>
      <c r="Q7" s="1">
        <v>1253189197000</v>
      </c>
      <c r="R7" s="1">
        <v>1151589646000</v>
      </c>
      <c r="S7" s="1">
        <v>1064990200000</v>
      </c>
      <c r="T7" s="1">
        <v>853811966000</v>
      </c>
      <c r="U7" s="1">
        <v>747982100000</v>
      </c>
      <c r="V7" s="1">
        <v>664727857000</v>
      </c>
      <c r="W7" s="1">
        <v>660170600000</v>
      </c>
      <c r="X7" s="1">
        <v>604195113000</v>
      </c>
      <c r="Y7" s="1">
        <v>467613443000</v>
      </c>
      <c r="Z7" s="1">
        <v>430777229000</v>
      </c>
      <c r="AA7" s="1">
        <v>455399300000</v>
      </c>
      <c r="AB7" s="1">
        <v>452430300000</v>
      </c>
      <c r="AC7" s="1">
        <v>649697262000</v>
      </c>
      <c r="AD7" s="1">
        <v>645670527000</v>
      </c>
      <c r="AE7" s="1">
        <v>577814600000</v>
      </c>
      <c r="AF7" s="1">
        <v>488732121000</v>
      </c>
      <c r="AG7" s="1">
        <v>632229880000</v>
      </c>
      <c r="AH7" s="1">
        <v>577782963000</v>
      </c>
      <c r="AI7" s="1">
        <v>553391700000</v>
      </c>
      <c r="AJ7" s="1">
        <v>408077695000</v>
      </c>
      <c r="AK7" s="1">
        <v>570466958000</v>
      </c>
      <c r="AL7" s="1">
        <v>564725266000</v>
      </c>
      <c r="AM7" s="1">
        <v>541253800000</v>
      </c>
      <c r="AN7" s="1">
        <v>463971657000</v>
      </c>
      <c r="AO7" s="1">
        <v>622359302000</v>
      </c>
      <c r="AP7" s="1">
        <v>617984318000</v>
      </c>
      <c r="AQ7" s="1">
        <v>562688900000</v>
      </c>
      <c r="AR7" s="1">
        <v>515731398000</v>
      </c>
      <c r="AS7" s="1">
        <v>528895107000</v>
      </c>
      <c r="AT7" s="1">
        <v>437412411000</v>
      </c>
      <c r="AU7" s="1">
        <v>358449000000</v>
      </c>
      <c r="AV7" s="1">
        <v>225884318000</v>
      </c>
      <c r="AW7" s="1">
        <v>255053573000</v>
      </c>
      <c r="AX7" s="1">
        <v>231697295000</v>
      </c>
      <c r="AY7" s="1">
        <v>242695400000</v>
      </c>
      <c r="AZ7" s="1">
        <v>216603697000</v>
      </c>
      <c r="BA7" s="1">
        <v>225832646000</v>
      </c>
      <c r="BB7" s="1">
        <v>186028798000</v>
      </c>
      <c r="BC7" s="1">
        <v>143410600000</v>
      </c>
      <c r="BD7" s="1">
        <v>138738113000</v>
      </c>
      <c r="BE7" s="1">
        <v>178440559000</v>
      </c>
      <c r="BF7" s="1">
        <v>170819939000</v>
      </c>
      <c r="BG7" s="1">
        <v>143472300000</v>
      </c>
      <c r="BH7" s="1">
        <v>114836459000</v>
      </c>
      <c r="BI7" s="1">
        <v>150978778000</v>
      </c>
      <c r="BJ7" s="1">
        <v>129445000000</v>
      </c>
      <c r="BK7" s="1">
        <v>147887000000</v>
      </c>
      <c r="BL7" s="1">
        <v>132268758000</v>
      </c>
      <c r="BM7" s="1">
        <v>172486218000</v>
      </c>
      <c r="BN7" s="1">
        <v>159799703000</v>
      </c>
      <c r="BO7" s="1">
        <v>171276300000</v>
      </c>
      <c r="BP7" s="1">
        <v>156935077000</v>
      </c>
      <c r="BQ7" s="1">
        <v>239517000000</v>
      </c>
      <c r="BR7" s="1">
        <v>223262081000</v>
      </c>
      <c r="BS7" s="1">
        <v>194613800000</v>
      </c>
      <c r="BT7" s="1">
        <v>112152483000</v>
      </c>
      <c r="BU7" s="1">
        <v>146554157000</v>
      </c>
      <c r="BV7" s="1">
        <v>144194239000</v>
      </c>
      <c r="BW7" s="1">
        <v>94992537000</v>
      </c>
      <c r="BX7" s="1">
        <v>98107910000</v>
      </c>
      <c r="BY7" s="1">
        <v>163654211000</v>
      </c>
      <c r="BZ7" s="1">
        <v>140299200000</v>
      </c>
      <c r="CA7" s="1">
        <v>141502415000</v>
      </c>
    </row>
    <row r="8" spans="1:79" x14ac:dyDescent="0.2">
      <c r="A8" s="1" t="s">
        <v>73</v>
      </c>
      <c r="B8" s="1">
        <v>347887811000</v>
      </c>
      <c r="C8" s="1">
        <v>360441300000</v>
      </c>
      <c r="D8" s="1">
        <v>280274996000</v>
      </c>
      <c r="E8" s="1">
        <v>319107864000</v>
      </c>
      <c r="F8" s="1">
        <v>367764302000</v>
      </c>
      <c r="G8" s="1">
        <v>357520000000</v>
      </c>
      <c r="H8" s="1">
        <v>280311048000</v>
      </c>
      <c r="I8" s="1">
        <v>285131342000</v>
      </c>
      <c r="J8" s="1">
        <v>257171585000</v>
      </c>
      <c r="K8" s="1">
        <v>249375400000</v>
      </c>
      <c r="L8" s="1">
        <v>266268741000</v>
      </c>
      <c r="M8" s="1">
        <v>237926190000</v>
      </c>
      <c r="N8" s="1">
        <v>229098333000</v>
      </c>
      <c r="O8" s="1">
        <v>243686000000</v>
      </c>
      <c r="P8" s="1">
        <v>222922889000</v>
      </c>
      <c r="Q8" s="1">
        <v>197051641000</v>
      </c>
      <c r="R8" s="1">
        <v>145664807000</v>
      </c>
      <c r="S8" s="1">
        <v>139923500000</v>
      </c>
      <c r="T8" s="1">
        <v>135977646000</v>
      </c>
      <c r="U8" s="1">
        <v>135302900000</v>
      </c>
      <c r="V8" s="1">
        <v>147061091000</v>
      </c>
      <c r="W8" s="1">
        <v>139722600000</v>
      </c>
      <c r="X8" s="1">
        <v>147872514000</v>
      </c>
      <c r="Y8" s="1">
        <v>147838889000</v>
      </c>
      <c r="Z8" s="1">
        <v>141472816000</v>
      </c>
      <c r="AA8" s="1">
        <v>138902300000</v>
      </c>
      <c r="AB8" s="1">
        <v>150170187000</v>
      </c>
      <c r="AC8" s="1">
        <v>129851519000</v>
      </c>
      <c r="AD8" s="1">
        <v>125098555000</v>
      </c>
      <c r="AE8" s="1">
        <v>135941400000</v>
      </c>
      <c r="AF8" s="1">
        <v>130341925000</v>
      </c>
      <c r="AG8" s="1">
        <v>130053184000</v>
      </c>
      <c r="AH8" s="1">
        <v>118233366000</v>
      </c>
      <c r="AI8" s="1">
        <v>103185500000</v>
      </c>
      <c r="AJ8" s="1">
        <v>98809530000</v>
      </c>
      <c r="AK8" s="1">
        <v>90908418000</v>
      </c>
      <c r="AL8" s="1">
        <v>98359658000</v>
      </c>
      <c r="AM8" s="1">
        <v>94950500000</v>
      </c>
      <c r="AN8" s="1">
        <v>58850322000</v>
      </c>
      <c r="AO8" s="1">
        <v>52924901000</v>
      </c>
      <c r="AP8" s="1">
        <v>37470841000</v>
      </c>
      <c r="AQ8" s="1">
        <v>27777300000</v>
      </c>
      <c r="AR8" s="1">
        <v>12672120000</v>
      </c>
      <c r="AS8" s="1">
        <v>29863993000</v>
      </c>
      <c r="AT8" s="1">
        <v>85508730000</v>
      </c>
      <c r="AU8" s="1">
        <v>81952000000</v>
      </c>
      <c r="AV8" s="1">
        <v>67450325000</v>
      </c>
      <c r="AW8" s="1">
        <v>60497343000</v>
      </c>
      <c r="AX8" s="1">
        <v>3834969000</v>
      </c>
      <c r="AY8" s="1">
        <v>3149000000</v>
      </c>
      <c r="AZ8" s="1">
        <v>2083571000</v>
      </c>
      <c r="BA8" s="1">
        <v>2501864000</v>
      </c>
      <c r="BB8" s="1">
        <v>4466424000</v>
      </c>
      <c r="BC8" s="1">
        <v>7980900000</v>
      </c>
      <c r="BD8" s="1">
        <v>9451010000</v>
      </c>
      <c r="BE8" s="1">
        <v>8052650000</v>
      </c>
      <c r="BF8" s="1">
        <v>4150469000</v>
      </c>
      <c r="BG8" s="1">
        <v>7767000000</v>
      </c>
      <c r="BH8" s="1">
        <v>6388914000</v>
      </c>
      <c r="BI8" s="1">
        <v>3999329000</v>
      </c>
      <c r="BJ8" s="1">
        <v>6649113000</v>
      </c>
      <c r="BK8" s="1">
        <v>34708800000</v>
      </c>
      <c r="BL8" s="1">
        <v>35956740000</v>
      </c>
      <c r="BM8" s="1">
        <v>35529865000</v>
      </c>
      <c r="BN8" s="1">
        <v>34807651000</v>
      </c>
      <c r="BO8" s="1">
        <v>26370800000</v>
      </c>
      <c r="BP8" s="1">
        <v>23384048000</v>
      </c>
      <c r="BQ8" s="1">
        <v>7252000000</v>
      </c>
      <c r="BR8" s="1">
        <v>9005858000</v>
      </c>
      <c r="BS8" s="1">
        <v>18748100000</v>
      </c>
      <c r="BT8" s="1">
        <v>45574342000</v>
      </c>
      <c r="BU8" s="1">
        <v>12635612000</v>
      </c>
      <c r="BV8" s="1">
        <v>66004191000</v>
      </c>
      <c r="BW8" s="1">
        <v>78225333000</v>
      </c>
      <c r="BX8" s="1">
        <v>77899636000</v>
      </c>
      <c r="BY8" s="1">
        <v>67872016000</v>
      </c>
      <c r="BZ8" s="1">
        <v>77116569000</v>
      </c>
      <c r="CA8" s="1">
        <v>68192945000</v>
      </c>
    </row>
    <row r="9" spans="1:79" x14ac:dyDescent="0.2">
      <c r="A9" s="1" t="s">
        <v>72</v>
      </c>
      <c r="B9" s="1">
        <v>3382860143000</v>
      </c>
      <c r="C9" s="1">
        <v>3128297700000</v>
      </c>
      <c r="D9" s="1">
        <v>2751035713000</v>
      </c>
      <c r="E9" s="1">
        <v>2683632204000</v>
      </c>
      <c r="F9" s="1">
        <v>2762568552000</v>
      </c>
      <c r="G9" s="1">
        <v>2485147000000</v>
      </c>
      <c r="H9" s="1">
        <v>2162828736000</v>
      </c>
      <c r="I9" s="1">
        <v>2084258693000</v>
      </c>
      <c r="J9" s="1">
        <v>1955367289000</v>
      </c>
      <c r="K9" s="1">
        <v>1714803200000</v>
      </c>
      <c r="L9" s="1">
        <v>1578075276000</v>
      </c>
      <c r="M9" s="1">
        <v>1514650174000</v>
      </c>
      <c r="N9" s="1">
        <v>1614331143000</v>
      </c>
      <c r="O9" s="1">
        <v>1586500100000</v>
      </c>
      <c r="P9" s="1">
        <v>1518935673000</v>
      </c>
      <c r="Q9" s="1">
        <v>1450240838000</v>
      </c>
      <c r="R9" s="1">
        <v>1297254453000</v>
      </c>
      <c r="S9" s="1">
        <v>1204913700000</v>
      </c>
      <c r="T9" s="1">
        <v>989789612000</v>
      </c>
      <c r="U9" s="1">
        <v>883285000000</v>
      </c>
      <c r="V9" s="1">
        <v>811788948000</v>
      </c>
      <c r="W9" s="1">
        <v>799893200000</v>
      </c>
      <c r="X9" s="1">
        <v>752067627000</v>
      </c>
      <c r="Y9" s="1">
        <v>615452332000</v>
      </c>
      <c r="Z9" s="1">
        <v>572250045000</v>
      </c>
      <c r="AA9" s="1">
        <v>594301600000</v>
      </c>
      <c r="AB9" s="1">
        <v>602600487000</v>
      </c>
      <c r="AC9" s="1">
        <v>779548781000</v>
      </c>
      <c r="AD9" s="1">
        <v>770769082000</v>
      </c>
      <c r="AE9" s="1">
        <v>713756000000</v>
      </c>
      <c r="AF9" s="1">
        <v>619074046000</v>
      </c>
      <c r="AG9" s="1">
        <v>762283064000</v>
      </c>
      <c r="AH9" s="1">
        <v>696016329000</v>
      </c>
      <c r="AI9" s="1">
        <v>656577200000</v>
      </c>
      <c r="AJ9" s="1">
        <v>506887225000</v>
      </c>
      <c r="AK9" s="1">
        <v>661375376000</v>
      </c>
      <c r="AL9" s="1">
        <v>663084924000</v>
      </c>
      <c r="AM9" s="1">
        <v>636204300000</v>
      </c>
      <c r="AN9" s="1">
        <v>522821979000</v>
      </c>
      <c r="AO9" s="1">
        <v>675284203000</v>
      </c>
      <c r="AP9" s="1">
        <v>655455159000</v>
      </c>
      <c r="AQ9" s="1">
        <v>590466200000</v>
      </c>
      <c r="AR9" s="1">
        <v>528403518000</v>
      </c>
      <c r="AS9" s="1">
        <v>558759100000</v>
      </c>
      <c r="AT9" s="1">
        <v>522921141000</v>
      </c>
      <c r="AU9" s="1">
        <v>440401000000</v>
      </c>
      <c r="AV9" s="1">
        <v>293334643000</v>
      </c>
      <c r="AW9" s="1">
        <v>315550916000</v>
      </c>
      <c r="AX9" s="1">
        <v>235532264000</v>
      </c>
      <c r="AY9" s="1">
        <v>245844400000</v>
      </c>
      <c r="AZ9" s="1">
        <v>218687268000</v>
      </c>
      <c r="BA9" s="1">
        <v>228334510000</v>
      </c>
      <c r="BB9" s="1">
        <v>190495222000</v>
      </c>
      <c r="BC9" s="1">
        <v>151391500000</v>
      </c>
      <c r="BD9" s="1">
        <v>148189123000</v>
      </c>
      <c r="BE9" s="1">
        <v>186493209000</v>
      </c>
      <c r="BF9" s="1">
        <v>174970408000</v>
      </c>
      <c r="BG9" s="1">
        <v>151239300000</v>
      </c>
      <c r="BH9" s="1">
        <v>121225373000</v>
      </c>
      <c r="BI9" s="1">
        <v>154978107000</v>
      </c>
      <c r="BJ9" s="1">
        <v>136094113000</v>
      </c>
      <c r="BK9" s="1">
        <v>182595800000</v>
      </c>
      <c r="BL9" s="1">
        <v>168225498000</v>
      </c>
      <c r="BM9" s="1">
        <v>208016083000</v>
      </c>
      <c r="BN9" s="1">
        <v>194607354000</v>
      </c>
      <c r="BO9" s="1">
        <v>197647100000</v>
      </c>
      <c r="BP9" s="1">
        <v>180319125000</v>
      </c>
      <c r="BQ9" s="1">
        <v>246769000000</v>
      </c>
      <c r="BR9" s="1">
        <v>232267939000</v>
      </c>
      <c r="BS9" s="1">
        <v>213361900000</v>
      </c>
      <c r="BT9" s="1">
        <v>157726825000</v>
      </c>
      <c r="BU9" s="1">
        <v>159189769000</v>
      </c>
      <c r="BV9" s="1">
        <v>210198430000</v>
      </c>
      <c r="BW9" s="1">
        <v>173217870000</v>
      </c>
      <c r="BX9" s="1">
        <v>176007546000</v>
      </c>
      <c r="BY9" s="1">
        <v>231526227000</v>
      </c>
      <c r="BZ9" s="1">
        <v>217415770000</v>
      </c>
      <c r="CA9" s="1">
        <v>209695361000</v>
      </c>
    </row>
    <row r="10" spans="1:79" x14ac:dyDescent="0.2">
      <c r="A10" s="1" t="s">
        <v>71</v>
      </c>
      <c r="B10" s="1">
        <v>362925518000</v>
      </c>
      <c r="C10" s="1">
        <v>282059200000</v>
      </c>
      <c r="D10" s="1">
        <v>307871434000</v>
      </c>
      <c r="E10" s="1">
        <v>238252943000</v>
      </c>
      <c r="F10" s="1">
        <v>243949574000</v>
      </c>
      <c r="G10" s="1">
        <v>272087900000</v>
      </c>
      <c r="H10" s="1">
        <v>249483486000</v>
      </c>
      <c r="I10" s="1">
        <v>212613446000</v>
      </c>
      <c r="J10" s="1">
        <v>202059004000</v>
      </c>
      <c r="K10" s="1">
        <v>202010200000</v>
      </c>
      <c r="L10" s="1">
        <v>222906273000</v>
      </c>
      <c r="M10" s="1">
        <v>193548137000</v>
      </c>
      <c r="N10" s="1">
        <v>148124287000</v>
      </c>
      <c r="O10" s="1">
        <v>231408900000</v>
      </c>
      <c r="P10" s="1">
        <v>261614451000</v>
      </c>
      <c r="Q10" s="1">
        <v>224587295000</v>
      </c>
      <c r="R10" s="1">
        <v>213486066000</v>
      </c>
      <c r="S10" s="1">
        <v>198362900000</v>
      </c>
      <c r="T10" s="1">
        <v>187241314000</v>
      </c>
      <c r="U10" s="1">
        <v>179971600000</v>
      </c>
      <c r="V10" s="1">
        <v>167531499000</v>
      </c>
      <c r="W10" s="1">
        <v>146089000000</v>
      </c>
      <c r="X10" s="1">
        <v>162618870000</v>
      </c>
      <c r="Y10" s="1">
        <v>152180816000</v>
      </c>
      <c r="Z10" s="1">
        <v>146480802000</v>
      </c>
      <c r="AA10" s="1">
        <v>139822300000</v>
      </c>
      <c r="AB10" s="1">
        <v>145478218000</v>
      </c>
      <c r="AC10" s="1">
        <v>117672462000</v>
      </c>
      <c r="AD10" s="1">
        <v>106789644000</v>
      </c>
      <c r="AE10" s="1">
        <v>129262800000</v>
      </c>
      <c r="AF10" s="1">
        <v>129604363000</v>
      </c>
      <c r="AG10" s="1">
        <v>91381841000</v>
      </c>
      <c r="AH10" s="1">
        <v>107910754000</v>
      </c>
      <c r="AI10" s="1">
        <v>122488400000</v>
      </c>
      <c r="AJ10" s="1">
        <v>118891625000</v>
      </c>
      <c r="AK10" s="1">
        <v>111861604000</v>
      </c>
      <c r="AL10" s="1">
        <v>109162719000</v>
      </c>
      <c r="AM10" s="1">
        <v>129451600000</v>
      </c>
      <c r="AN10" s="1">
        <v>129438446000</v>
      </c>
      <c r="AO10" s="1">
        <v>113271376000</v>
      </c>
      <c r="AP10" s="1">
        <v>97098097000</v>
      </c>
      <c r="AQ10" s="1">
        <v>85690400000</v>
      </c>
      <c r="AR10" s="1">
        <v>97251130000</v>
      </c>
      <c r="AS10" s="1">
        <v>99737061000</v>
      </c>
      <c r="AT10" s="1">
        <v>99284674000</v>
      </c>
      <c r="AU10" s="1">
        <v>115226300000</v>
      </c>
      <c r="AV10" s="1">
        <v>114694162000</v>
      </c>
      <c r="AW10" s="1">
        <v>86887160000</v>
      </c>
      <c r="AX10" s="1">
        <v>74495468000</v>
      </c>
      <c r="AY10" s="1">
        <v>72163200000</v>
      </c>
      <c r="AZ10" s="1">
        <v>79866277000</v>
      </c>
      <c r="BA10" s="1">
        <v>80340331000</v>
      </c>
      <c r="BB10" s="1">
        <v>66083133000</v>
      </c>
      <c r="BC10" s="1">
        <v>58317000000</v>
      </c>
      <c r="BD10" s="1">
        <v>58569142000</v>
      </c>
      <c r="BE10" s="1">
        <v>55920755000</v>
      </c>
      <c r="BF10" s="1">
        <v>49316275000</v>
      </c>
      <c r="BG10" s="1">
        <v>46138300000</v>
      </c>
      <c r="BH10" s="1">
        <v>45593169000</v>
      </c>
      <c r="BI10" s="1">
        <v>47187791000</v>
      </c>
      <c r="BJ10" s="1">
        <v>47025034000</v>
      </c>
      <c r="BK10" s="1">
        <v>43106900000</v>
      </c>
      <c r="BL10" s="1">
        <v>47586115000</v>
      </c>
      <c r="BM10" s="1">
        <v>48557851000</v>
      </c>
      <c r="BN10" s="1">
        <v>39929843000</v>
      </c>
      <c r="BO10" s="1">
        <v>35503600000</v>
      </c>
      <c r="BP10" s="1">
        <v>35880765000</v>
      </c>
      <c r="BQ10" s="1">
        <v>33384000000</v>
      </c>
      <c r="BR10" s="1">
        <v>13875133000</v>
      </c>
      <c r="BS10" s="1">
        <v>18596900000</v>
      </c>
      <c r="BT10" s="1">
        <v>45365243000</v>
      </c>
      <c r="BU10" s="1">
        <v>41760219000</v>
      </c>
      <c r="BV10" s="1">
        <v>37925060000</v>
      </c>
      <c r="BW10" s="1">
        <v>42680157000</v>
      </c>
      <c r="BX10" s="1">
        <v>42274405000</v>
      </c>
      <c r="BY10" s="1">
        <v>38187838000</v>
      </c>
      <c r="BZ10" s="1">
        <v>33097240000</v>
      </c>
      <c r="CA10" s="1">
        <v>38781686000</v>
      </c>
    </row>
    <row r="11" spans="1:79" x14ac:dyDescent="0.2">
      <c r="A11" s="1" t="s">
        <v>70</v>
      </c>
      <c r="B11" s="1">
        <v>311385805000</v>
      </c>
      <c r="C11" s="1">
        <v>288109500000</v>
      </c>
      <c r="D11" s="1">
        <v>288689063000</v>
      </c>
      <c r="E11" s="1">
        <v>304193716000</v>
      </c>
      <c r="F11" s="1">
        <v>293387615000</v>
      </c>
      <c r="G11" s="1">
        <v>287868800000</v>
      </c>
      <c r="H11" s="1">
        <v>292222207000</v>
      </c>
      <c r="I11" s="1">
        <v>272490587000</v>
      </c>
      <c r="J11" s="1">
        <v>267123339000</v>
      </c>
      <c r="K11" s="1">
        <v>250997100000</v>
      </c>
      <c r="L11" s="1">
        <v>262090072000</v>
      </c>
      <c r="M11" s="1">
        <v>234332949000</v>
      </c>
      <c r="N11" s="1">
        <v>216067981000</v>
      </c>
      <c r="O11" s="1">
        <v>221149100000</v>
      </c>
      <c r="P11" s="1">
        <v>218335874000</v>
      </c>
      <c r="Q11" s="1">
        <v>217438091000</v>
      </c>
      <c r="R11" s="1">
        <v>200118682000</v>
      </c>
      <c r="S11" s="1">
        <v>193102300000</v>
      </c>
      <c r="T11" s="1">
        <v>182233752000</v>
      </c>
      <c r="U11" s="1">
        <v>170438700000</v>
      </c>
      <c r="V11" s="1">
        <v>154567568000</v>
      </c>
      <c r="W11" s="1">
        <v>137353400000</v>
      </c>
      <c r="X11" s="1">
        <v>109509486000</v>
      </c>
      <c r="Y11" s="1">
        <v>85788094000</v>
      </c>
      <c r="Z11" s="1">
        <v>78277834000</v>
      </c>
      <c r="AA11" s="1">
        <v>82981200000</v>
      </c>
      <c r="AB11" s="1">
        <v>96685730000</v>
      </c>
      <c r="AC11" s="1">
        <v>108231879000</v>
      </c>
      <c r="AD11" s="1">
        <v>108682382000</v>
      </c>
      <c r="AE11" s="1">
        <v>103231000000</v>
      </c>
      <c r="AF11" s="1">
        <v>105336576000</v>
      </c>
      <c r="AG11" s="1">
        <v>99032077000</v>
      </c>
      <c r="AH11" s="1">
        <v>85215899000</v>
      </c>
      <c r="AI11" s="1">
        <v>73880700000</v>
      </c>
      <c r="AJ11" s="1">
        <v>73893879000</v>
      </c>
      <c r="AK11" s="1">
        <v>61010525000</v>
      </c>
      <c r="AL11" s="1">
        <v>50389022000</v>
      </c>
      <c r="AM11" s="1">
        <v>48682200000</v>
      </c>
      <c r="AN11" s="1">
        <v>53882144000</v>
      </c>
      <c r="AO11" s="1">
        <v>60705814000</v>
      </c>
      <c r="AP11" s="1">
        <v>57242320000</v>
      </c>
      <c r="AQ11" s="1">
        <v>67052300000</v>
      </c>
      <c r="AR11" s="1">
        <v>65066214000</v>
      </c>
      <c r="AS11" s="1">
        <v>66278597000</v>
      </c>
      <c r="AT11" s="1">
        <v>64599666000</v>
      </c>
      <c r="AU11" s="1">
        <v>66338000000</v>
      </c>
      <c r="AV11" s="1">
        <v>65336989000</v>
      </c>
      <c r="AW11" s="1">
        <v>50954265000</v>
      </c>
      <c r="AX11" s="1">
        <v>43481269000</v>
      </c>
      <c r="AY11" s="1">
        <v>37494900000</v>
      </c>
      <c r="AZ11" s="1">
        <v>36916527000</v>
      </c>
      <c r="BA11" s="1">
        <v>38614928000</v>
      </c>
      <c r="BB11" s="1">
        <v>37833465000</v>
      </c>
      <c r="BC11" s="1">
        <v>37830500000</v>
      </c>
      <c r="BD11" s="1">
        <v>33249045000</v>
      </c>
      <c r="BE11" s="1">
        <v>30780466000</v>
      </c>
      <c r="BF11" s="1">
        <v>27759150000</v>
      </c>
      <c r="BG11" s="1">
        <v>24840600000</v>
      </c>
      <c r="BH11" s="1">
        <v>25692239000</v>
      </c>
      <c r="BI11" s="1">
        <v>31523206000</v>
      </c>
      <c r="BJ11" s="1">
        <v>31787239000</v>
      </c>
      <c r="BK11" s="1">
        <v>28405900000</v>
      </c>
      <c r="BL11" s="1">
        <v>26663415000</v>
      </c>
      <c r="BM11" s="1">
        <v>24799896000</v>
      </c>
      <c r="BN11" s="1">
        <v>22694233000</v>
      </c>
      <c r="BO11" s="1">
        <v>20913800000</v>
      </c>
      <c r="BP11" s="1">
        <v>19176052000</v>
      </c>
      <c r="BQ11" s="1">
        <v>18974000000</v>
      </c>
      <c r="BR11" s="1">
        <v>14775167000</v>
      </c>
      <c r="BS11" s="1">
        <v>14876600000</v>
      </c>
      <c r="BT11" s="1">
        <v>21760370000</v>
      </c>
      <c r="BU11" s="1">
        <v>20789787000</v>
      </c>
      <c r="BV11" s="1">
        <v>21879842000</v>
      </c>
      <c r="BW11" s="1">
        <v>23869753000</v>
      </c>
      <c r="BX11" s="1">
        <v>24478086000</v>
      </c>
      <c r="BY11" s="1">
        <v>24084034000</v>
      </c>
      <c r="BZ11" s="1">
        <v>22274443000</v>
      </c>
      <c r="CA11" s="1">
        <v>20058363000</v>
      </c>
    </row>
    <row r="12" spans="1:79" x14ac:dyDescent="0.2">
      <c r="A12" s="1" t="s">
        <v>69</v>
      </c>
      <c r="B12" s="1">
        <v>207406578000</v>
      </c>
      <c r="C12" s="1">
        <v>118664400000</v>
      </c>
      <c r="D12" s="1">
        <v>88419102000</v>
      </c>
      <c r="E12" s="1">
        <v>38838612000</v>
      </c>
      <c r="F12" s="1">
        <v>45758141000</v>
      </c>
      <c r="G12" s="1">
        <v>43248400000</v>
      </c>
      <c r="H12" s="1">
        <v>63112236000</v>
      </c>
      <c r="I12" s="1">
        <v>22295367000</v>
      </c>
      <c r="J12" s="1">
        <v>28217762000</v>
      </c>
      <c r="K12" s="1">
        <v>26222400000</v>
      </c>
      <c r="L12" s="1">
        <v>19406015000</v>
      </c>
      <c r="M12" s="1">
        <v>17432947000</v>
      </c>
      <c r="N12" s="1">
        <v>17204110000</v>
      </c>
      <c r="O12" s="1">
        <v>13838600000</v>
      </c>
      <c r="P12" s="1">
        <v>15346360000</v>
      </c>
      <c r="Q12" s="1">
        <v>13600172000</v>
      </c>
      <c r="R12" s="1">
        <v>11378431000</v>
      </c>
      <c r="S12" s="1">
        <v>10694000000</v>
      </c>
      <c r="T12" s="1">
        <v>11374491000</v>
      </c>
      <c r="U12" s="1">
        <v>7408700000</v>
      </c>
      <c r="V12" s="1">
        <v>5898808000</v>
      </c>
      <c r="W12" s="1">
        <v>8849700000</v>
      </c>
      <c r="X12" s="1">
        <v>5477935000</v>
      </c>
      <c r="Y12" s="1">
        <v>6610338000</v>
      </c>
      <c r="Z12" s="1">
        <v>5461359000</v>
      </c>
      <c r="AA12" s="1">
        <v>5508800000</v>
      </c>
      <c r="AB12" s="1">
        <v>4663001000</v>
      </c>
      <c r="AC12" s="1">
        <v>4726216000</v>
      </c>
      <c r="AD12" s="1">
        <v>5083707000</v>
      </c>
      <c r="AE12" s="1">
        <v>5429900000</v>
      </c>
      <c r="AF12" s="1">
        <v>5208720000</v>
      </c>
      <c r="AG12" s="1">
        <v>6345697000</v>
      </c>
      <c r="AH12" s="1">
        <v>39973678000</v>
      </c>
      <c r="AI12" s="1">
        <v>4256800000</v>
      </c>
      <c r="AJ12" s="1">
        <v>5189049000</v>
      </c>
      <c r="AK12" s="1">
        <v>3802047000</v>
      </c>
      <c r="AL12" s="1">
        <v>3025168000</v>
      </c>
      <c r="AM12" s="1">
        <v>3391000000</v>
      </c>
      <c r="AN12" s="1">
        <v>3448916000</v>
      </c>
      <c r="AO12" s="1">
        <v>3263678000</v>
      </c>
      <c r="AP12" s="1">
        <v>2695531000</v>
      </c>
      <c r="AQ12" s="1">
        <v>3535100000</v>
      </c>
      <c r="AR12" s="1">
        <v>2940634000</v>
      </c>
      <c r="AS12" s="1">
        <v>6594032000</v>
      </c>
      <c r="AT12" s="1">
        <v>3688211000</v>
      </c>
      <c r="AU12" s="1">
        <v>4600300000</v>
      </c>
      <c r="AV12" s="1">
        <v>2864405000</v>
      </c>
      <c r="AW12" s="1">
        <v>5807214000</v>
      </c>
      <c r="AX12" s="1">
        <v>2381416000</v>
      </c>
      <c r="AY12" s="1">
        <v>2984200000</v>
      </c>
      <c r="AZ12" s="1">
        <v>2740765000</v>
      </c>
      <c r="BA12" s="1">
        <v>5172584000</v>
      </c>
      <c r="BB12" s="1">
        <v>3339372000</v>
      </c>
      <c r="BC12" s="1">
        <v>2786400000</v>
      </c>
      <c r="BD12" s="1">
        <v>5318035000</v>
      </c>
      <c r="BE12" s="1">
        <v>7686473000</v>
      </c>
      <c r="BF12" s="1">
        <v>16077199000</v>
      </c>
      <c r="BG12" s="1">
        <v>2174000000</v>
      </c>
      <c r="BH12" s="1">
        <v>4425780000</v>
      </c>
      <c r="BI12" s="1">
        <v>8862704000</v>
      </c>
      <c r="BJ12" s="1">
        <v>35626885000</v>
      </c>
      <c r="BK12" s="1">
        <v>7410700000</v>
      </c>
      <c r="BL12" s="1">
        <v>4162150000</v>
      </c>
      <c r="BM12" s="1">
        <v>5241022000</v>
      </c>
      <c r="BN12" s="1">
        <v>8384609000</v>
      </c>
      <c r="BO12" s="1">
        <v>5739200000</v>
      </c>
      <c r="BP12" s="1">
        <v>8864997000</v>
      </c>
      <c r="BQ12" s="1">
        <v>10292000000</v>
      </c>
      <c r="BR12" s="1">
        <v>7638792000</v>
      </c>
      <c r="BS12" s="1">
        <v>5783000000</v>
      </c>
      <c r="BT12" s="1">
        <v>6891221000</v>
      </c>
      <c r="BU12" s="1">
        <v>7363385000</v>
      </c>
      <c r="BV12" s="1">
        <v>11304585000</v>
      </c>
      <c r="BW12" s="1">
        <v>10086268000</v>
      </c>
      <c r="BX12" s="1">
        <v>6746956000</v>
      </c>
      <c r="BY12" s="1">
        <v>11330924000</v>
      </c>
      <c r="BZ12" s="1">
        <v>13371285000</v>
      </c>
      <c r="CA12" s="1">
        <v>11255207000</v>
      </c>
    </row>
    <row r="13" spans="1:79" x14ac:dyDescent="0.2">
      <c r="A13" s="6" t="s">
        <v>68</v>
      </c>
      <c r="B13" s="4">
        <v>4264578044000</v>
      </c>
      <c r="C13" s="4">
        <v>3817130800000</v>
      </c>
      <c r="D13" s="4">
        <v>3436015312000</v>
      </c>
      <c r="E13" s="4">
        <v>3264917475000</v>
      </c>
      <c r="F13" s="4">
        <v>3345663882000</v>
      </c>
      <c r="G13" s="4">
        <v>3088352100000</v>
      </c>
      <c r="H13" s="4">
        <v>2773913863000</v>
      </c>
      <c r="I13" s="4">
        <v>2591658093000</v>
      </c>
      <c r="J13" s="4">
        <v>2452767394000</v>
      </c>
      <c r="K13" s="4">
        <v>2194032900000</v>
      </c>
      <c r="L13" s="4">
        <v>2082477636000</v>
      </c>
      <c r="M13" s="4">
        <v>1959964207000</v>
      </c>
      <c r="N13" s="4">
        <v>1995727521000</v>
      </c>
      <c r="O13" s="4">
        <v>2052896700000</v>
      </c>
      <c r="P13" s="4">
        <v>2014232358000</v>
      </c>
      <c r="Q13" s="4">
        <v>1905866396000</v>
      </c>
      <c r="R13" s="4">
        <v>1722237632000</v>
      </c>
      <c r="S13" s="4">
        <v>1607072900000</v>
      </c>
      <c r="T13" s="4">
        <v>1370639169000</v>
      </c>
      <c r="U13" s="4">
        <v>1241104000000</v>
      </c>
      <c r="V13" s="4">
        <v>1139786823000</v>
      </c>
      <c r="W13" s="4">
        <v>1092185300000</v>
      </c>
      <c r="X13" s="4">
        <v>1029673918000</v>
      </c>
      <c r="Y13" s="4">
        <v>860031580000</v>
      </c>
      <c r="Z13" s="4">
        <v>802470040000</v>
      </c>
      <c r="AA13" s="4">
        <v>822613900000</v>
      </c>
      <c r="AB13" s="4">
        <v>849427436000</v>
      </c>
      <c r="AC13" s="4">
        <v>1010179338000</v>
      </c>
      <c r="AD13" s="4">
        <v>991324815000</v>
      </c>
      <c r="AE13" s="4">
        <v>951679700000</v>
      </c>
      <c r="AF13" s="4">
        <v>859223705000</v>
      </c>
      <c r="AG13" s="4">
        <v>959042679000</v>
      </c>
      <c r="AH13" s="4">
        <v>929116660000</v>
      </c>
      <c r="AI13" s="4">
        <v>857203100000</v>
      </c>
      <c r="AJ13" s="4">
        <v>704861778000</v>
      </c>
      <c r="AK13" s="4">
        <v>838049552000</v>
      </c>
      <c r="AL13" s="4">
        <v>825661833000</v>
      </c>
      <c r="AM13" s="4">
        <v>817729100000</v>
      </c>
      <c r="AN13" s="4">
        <v>709591485000</v>
      </c>
      <c r="AO13" s="4">
        <v>852525071000</v>
      </c>
      <c r="AP13" s="4">
        <v>812491107000</v>
      </c>
      <c r="AQ13" s="4">
        <v>746744000000</v>
      </c>
      <c r="AR13" s="4">
        <v>693661496000</v>
      </c>
      <c r="AS13" s="4">
        <v>731368790000</v>
      </c>
      <c r="AT13" s="4">
        <v>690493692000</v>
      </c>
      <c r="AU13" s="4">
        <v>626565600000</v>
      </c>
      <c r="AV13" s="4">
        <v>476230199000</v>
      </c>
      <c r="AW13" s="4">
        <v>459199555000</v>
      </c>
      <c r="AX13" s="4">
        <v>355890417000</v>
      </c>
      <c r="AY13" s="4">
        <v>358486700000</v>
      </c>
      <c r="AZ13" s="4">
        <v>338210837000</v>
      </c>
      <c r="BA13" s="4">
        <v>352462353000</v>
      </c>
      <c r="BB13" s="4">
        <v>297751192000</v>
      </c>
      <c r="BC13" s="4">
        <v>250325400000</v>
      </c>
      <c r="BD13" s="4">
        <v>245325345000</v>
      </c>
      <c r="BE13" s="4">
        <v>280880903000</v>
      </c>
      <c r="BF13" s="4">
        <v>268123032000</v>
      </c>
      <c r="BG13" s="4">
        <v>224392200000</v>
      </c>
      <c r="BH13" s="4">
        <v>196936561000</v>
      </c>
      <c r="BI13" s="4">
        <v>242551808000</v>
      </c>
      <c r="BJ13" s="4">
        <v>250533271000</v>
      </c>
      <c r="BK13" s="4">
        <v>261519300000</v>
      </c>
      <c r="BL13" s="4">
        <v>246637178000</v>
      </c>
      <c r="BM13" s="4">
        <v>286614852000</v>
      </c>
      <c r="BN13" s="4">
        <v>265616039000</v>
      </c>
      <c r="BO13" s="4">
        <v>259803700000</v>
      </c>
      <c r="BP13" s="4">
        <v>244240939000</v>
      </c>
      <c r="BQ13" s="4">
        <v>309419000000</v>
      </c>
      <c r="BR13" s="4">
        <v>268557031000</v>
      </c>
      <c r="BS13" s="4">
        <v>252618400000</v>
      </c>
      <c r="BT13" s="4">
        <v>231743659000</v>
      </c>
      <c r="BU13" s="4">
        <v>229103160000</v>
      </c>
      <c r="BV13" s="4">
        <v>281307918000</v>
      </c>
      <c r="BW13" s="4">
        <v>249854048000</v>
      </c>
      <c r="BX13" s="4">
        <v>249506993000</v>
      </c>
      <c r="BY13" s="4">
        <v>305129022000</v>
      </c>
      <c r="BZ13" s="4">
        <v>286158737000</v>
      </c>
      <c r="CA13" s="4">
        <v>279790617000</v>
      </c>
    </row>
    <row r="15" spans="1:79" x14ac:dyDescent="0.2">
      <c r="A15" s="1" t="s">
        <v>67</v>
      </c>
      <c r="B15" s="1">
        <v>3953813102000</v>
      </c>
      <c r="C15" s="1">
        <v>3735759800000</v>
      </c>
      <c r="D15" s="1">
        <v>3542609617000</v>
      </c>
      <c r="E15" s="1">
        <v>3430064270000</v>
      </c>
      <c r="F15" s="1">
        <v>3442109570000</v>
      </c>
      <c r="G15" s="1">
        <v>3275108500000</v>
      </c>
      <c r="H15" s="1">
        <v>3071600000000</v>
      </c>
      <c r="I15" s="1">
        <v>3145373006000</v>
      </c>
      <c r="J15" s="1">
        <v>3091984853000</v>
      </c>
      <c r="K15" s="1">
        <v>3104899700000</v>
      </c>
      <c r="L15" s="1">
        <v>3173919078000</v>
      </c>
      <c r="M15" s="1">
        <v>2988828403000</v>
      </c>
      <c r="N15" s="1">
        <v>2875415548000</v>
      </c>
      <c r="O15" s="1">
        <v>2735751000000</v>
      </c>
      <c r="P15" s="1">
        <v>2453839994000</v>
      </c>
      <c r="Q15" s="1">
        <v>2282612319000</v>
      </c>
      <c r="R15" s="1">
        <v>2137252800000</v>
      </c>
      <c r="S15" s="1">
        <v>2007853100000</v>
      </c>
      <c r="T15" s="1">
        <v>1861855662000</v>
      </c>
      <c r="U15" s="1">
        <v>1755298400000</v>
      </c>
      <c r="V15" s="1">
        <v>1690833602000</v>
      </c>
      <c r="W15" s="1">
        <v>1583317600000</v>
      </c>
      <c r="X15" s="1">
        <v>1525262200000</v>
      </c>
      <c r="Y15" s="1">
        <v>1514597844000</v>
      </c>
      <c r="Z15" s="1">
        <v>1459935933000</v>
      </c>
      <c r="AA15" s="1">
        <v>1369609800000</v>
      </c>
      <c r="AB15" s="1">
        <v>1215462124000</v>
      </c>
      <c r="AC15" s="1">
        <v>1160913492000</v>
      </c>
      <c r="AD15" s="1">
        <v>1126695370000</v>
      </c>
      <c r="AE15" s="1">
        <v>1072050300000</v>
      </c>
      <c r="AF15" s="1">
        <v>1048516835000</v>
      </c>
      <c r="AG15" s="1">
        <v>1034268062000</v>
      </c>
      <c r="AH15" s="1">
        <v>1055366207000</v>
      </c>
      <c r="AI15" s="1">
        <v>1062542300000</v>
      </c>
      <c r="AJ15" s="1">
        <v>1065756867000</v>
      </c>
      <c r="AK15" s="1">
        <v>1077626759000</v>
      </c>
      <c r="AL15" s="1">
        <v>1037364143000</v>
      </c>
      <c r="AM15" s="1">
        <v>997777700000</v>
      </c>
      <c r="AN15" s="1">
        <v>934928493000</v>
      </c>
      <c r="AO15" s="1">
        <v>875870205000</v>
      </c>
      <c r="AP15" s="1">
        <v>844305450000</v>
      </c>
      <c r="AQ15" s="1">
        <v>853470300000</v>
      </c>
      <c r="AR15" s="1">
        <v>830825109000</v>
      </c>
      <c r="AS15" s="1">
        <v>829703176000</v>
      </c>
      <c r="AT15" s="1">
        <v>813219884000</v>
      </c>
      <c r="AU15" s="1">
        <v>818198800000</v>
      </c>
      <c r="AV15" s="1">
        <v>824309879000</v>
      </c>
      <c r="AW15" s="1">
        <v>837167426000</v>
      </c>
      <c r="AX15" s="1">
        <v>828011580000</v>
      </c>
      <c r="AY15" s="1">
        <v>792665900000</v>
      </c>
      <c r="AZ15" s="1">
        <v>727716024000</v>
      </c>
      <c r="BA15" s="1">
        <v>715595036000</v>
      </c>
      <c r="BB15" s="1">
        <v>666447384000</v>
      </c>
      <c r="BC15" s="1">
        <v>617562200000</v>
      </c>
      <c r="BD15" s="1">
        <v>580079887000</v>
      </c>
      <c r="BE15" s="1">
        <v>548148865000</v>
      </c>
      <c r="BF15" s="1">
        <v>509916462000</v>
      </c>
      <c r="BG15" s="1">
        <v>490422200000</v>
      </c>
      <c r="BH15" s="1">
        <v>472953222000</v>
      </c>
      <c r="BI15" s="1">
        <v>477887412000</v>
      </c>
      <c r="BJ15" s="1">
        <v>436589380000</v>
      </c>
      <c r="BK15" s="1">
        <v>388444000000</v>
      </c>
      <c r="BL15" s="1">
        <v>349179208000</v>
      </c>
      <c r="BM15" s="1">
        <v>328470326000</v>
      </c>
      <c r="BN15" s="1">
        <v>299629219000</v>
      </c>
      <c r="BO15" s="1">
        <v>273674800000</v>
      </c>
      <c r="BP15" s="1">
        <v>236816024000</v>
      </c>
      <c r="BQ15" s="1">
        <v>225071000000</v>
      </c>
      <c r="BR15" s="1">
        <v>227078392000</v>
      </c>
      <c r="BS15" s="1">
        <v>243645400000</v>
      </c>
      <c r="BT15" s="1">
        <v>251637423000</v>
      </c>
      <c r="BU15" s="1">
        <v>236563530000</v>
      </c>
      <c r="BV15" s="1">
        <v>261464117000</v>
      </c>
      <c r="BW15" s="1">
        <v>260264633000</v>
      </c>
      <c r="BX15" s="1">
        <v>264630605000</v>
      </c>
      <c r="BY15" s="1">
        <v>265031034000</v>
      </c>
      <c r="BZ15" s="1">
        <v>250413718000</v>
      </c>
      <c r="CA15" s="1">
        <v>251219920000</v>
      </c>
    </row>
    <row r="16" spans="1:79" x14ac:dyDescent="0.2">
      <c r="A16" s="1" t="s">
        <v>66</v>
      </c>
      <c r="B16" s="1">
        <v>5973962000</v>
      </c>
      <c r="C16" s="1">
        <v>5891100000</v>
      </c>
      <c r="D16" s="1">
        <v>5767108000</v>
      </c>
      <c r="E16" s="1">
        <v>5580129000</v>
      </c>
      <c r="F16" s="1">
        <v>6130203000</v>
      </c>
      <c r="G16" s="1">
        <v>6070900000</v>
      </c>
      <c r="H16" s="1">
        <v>5917424000</v>
      </c>
      <c r="I16" s="1">
        <v>6033115000</v>
      </c>
      <c r="J16" s="1">
        <v>5966172000</v>
      </c>
      <c r="K16" s="1">
        <v>5796400000</v>
      </c>
      <c r="L16" s="1">
        <v>6004735000</v>
      </c>
      <c r="M16" s="1">
        <v>5848444000</v>
      </c>
      <c r="N16" s="1">
        <v>5752307000</v>
      </c>
      <c r="O16" s="1">
        <v>5791800000</v>
      </c>
      <c r="P16" s="1">
        <v>5934805000</v>
      </c>
      <c r="Q16" s="1">
        <v>5657256000</v>
      </c>
      <c r="R16" s="1">
        <v>5504631000</v>
      </c>
      <c r="S16" s="1">
        <v>5379200000</v>
      </c>
      <c r="T16" s="1">
        <v>5404964000</v>
      </c>
      <c r="U16" s="1">
        <v>5408400000</v>
      </c>
      <c r="V16" s="1">
        <v>5492275000</v>
      </c>
      <c r="W16" s="1">
        <v>5436600000</v>
      </c>
      <c r="X16" s="1">
        <v>5553787000</v>
      </c>
      <c r="Y16" s="1">
        <v>5617471000</v>
      </c>
      <c r="Z16" s="1">
        <v>5727459000</v>
      </c>
      <c r="AA16" s="1">
        <v>5693400000</v>
      </c>
      <c r="AB16" s="1">
        <v>5834459000</v>
      </c>
      <c r="AC16" s="1">
        <v>5838397000</v>
      </c>
      <c r="AD16" s="1">
        <v>5807709000</v>
      </c>
      <c r="AE16" s="1">
        <v>5795500000</v>
      </c>
      <c r="AF16" s="1">
        <v>5763578000</v>
      </c>
      <c r="AG16" s="1">
        <v>5766973000</v>
      </c>
      <c r="AH16" s="1">
        <v>5571846000</v>
      </c>
      <c r="AI16" s="1">
        <v>5648700000</v>
      </c>
      <c r="AJ16" s="1">
        <v>5727459000</v>
      </c>
      <c r="AK16" s="1">
        <v>5764798000</v>
      </c>
      <c r="AL16" s="1">
        <v>5758804000</v>
      </c>
      <c r="AM16" s="1">
        <v>6008000000</v>
      </c>
      <c r="AN16" s="1">
        <v>5895582000</v>
      </c>
      <c r="AO16" s="1">
        <v>6020374000</v>
      </c>
      <c r="AP16" s="1">
        <v>6006168000</v>
      </c>
      <c r="AQ16" s="1">
        <v>6104800000</v>
      </c>
      <c r="AR16" s="1">
        <v>6050658000</v>
      </c>
      <c r="AS16" s="1">
        <v>5800534000</v>
      </c>
      <c r="AT16" s="1">
        <v>5845627000</v>
      </c>
      <c r="AU16" s="1">
        <v>5888800000</v>
      </c>
      <c r="AV16" s="1">
        <v>5718793000</v>
      </c>
      <c r="AW16" s="1">
        <v>5635146000</v>
      </c>
      <c r="AX16" s="1">
        <v>5720564000</v>
      </c>
      <c r="AY16" s="1">
        <v>5627500000</v>
      </c>
      <c r="AZ16" s="1">
        <v>5596319000</v>
      </c>
      <c r="BA16" s="1">
        <v>5650404000</v>
      </c>
      <c r="BB16" s="1">
        <v>5636917000</v>
      </c>
      <c r="BC16" s="1">
        <v>5523700000</v>
      </c>
      <c r="BD16" s="1">
        <v>5560762000</v>
      </c>
      <c r="BE16" s="1">
        <v>5639097000</v>
      </c>
      <c r="BF16" s="1">
        <v>5590597000</v>
      </c>
      <c r="BG16" s="1">
        <v>5694000000</v>
      </c>
      <c r="BH16" s="1">
        <v>5730237000</v>
      </c>
      <c r="BI16" s="1">
        <v>5487060000</v>
      </c>
      <c r="BJ16" s="1">
        <v>5582287000</v>
      </c>
      <c r="BK16" s="1">
        <v>5704900000</v>
      </c>
      <c r="BL16" s="1">
        <v>5835954000</v>
      </c>
      <c r="BM16" s="1">
        <v>5965104000</v>
      </c>
      <c r="BN16" s="1">
        <v>5902572000</v>
      </c>
      <c r="BO16" s="1">
        <v>5931300000</v>
      </c>
      <c r="BP16" s="1">
        <v>5954477000</v>
      </c>
      <c r="BQ16" s="1">
        <v>0</v>
      </c>
      <c r="BR16" s="1">
        <v>6188390000</v>
      </c>
      <c r="BS16" s="1">
        <v>6044400000</v>
      </c>
      <c r="BT16" s="1">
        <v>5929443000</v>
      </c>
      <c r="BU16" s="1">
        <v>1565704000</v>
      </c>
      <c r="BV16" s="1">
        <v>0</v>
      </c>
      <c r="BW16" s="1">
        <v>5999870000</v>
      </c>
      <c r="BX16" s="1">
        <v>0</v>
      </c>
      <c r="BY16" s="1">
        <v>6017963000</v>
      </c>
      <c r="BZ16" s="1">
        <v>0</v>
      </c>
      <c r="CA16" s="1">
        <v>5955946000</v>
      </c>
    </row>
    <row r="17" spans="1:79" x14ac:dyDescent="0.2">
      <c r="A17" s="1" t="s">
        <v>65</v>
      </c>
      <c r="B17" s="1">
        <v>18749220000</v>
      </c>
      <c r="C17" s="1">
        <v>19061500000</v>
      </c>
      <c r="D17" s="1">
        <v>19790940000</v>
      </c>
      <c r="E17" s="1">
        <v>19127165000</v>
      </c>
      <c r="F17" s="1">
        <v>19320140000</v>
      </c>
      <c r="G17" s="1">
        <v>20211600000</v>
      </c>
      <c r="H17" s="1">
        <v>16165607000</v>
      </c>
      <c r="I17" s="1">
        <v>16397484000</v>
      </c>
      <c r="J17" s="1">
        <v>16272753000</v>
      </c>
      <c r="K17" s="1">
        <v>16970300000</v>
      </c>
      <c r="L17" s="1">
        <v>17405834000</v>
      </c>
      <c r="M17" s="1">
        <v>18001489000</v>
      </c>
      <c r="N17" s="1">
        <v>18544532000</v>
      </c>
      <c r="O17" s="1">
        <v>20207400000</v>
      </c>
      <c r="P17" s="1">
        <v>20771747000</v>
      </c>
      <c r="Q17" s="1">
        <v>21551737000</v>
      </c>
      <c r="R17" s="1">
        <v>20115420000</v>
      </c>
      <c r="S17" s="1">
        <v>21442500000</v>
      </c>
      <c r="T17" s="1">
        <v>20238950000</v>
      </c>
      <c r="U17" s="1">
        <v>21126700000</v>
      </c>
      <c r="V17" s="1">
        <v>19520413000</v>
      </c>
      <c r="W17" s="1">
        <v>20331500000</v>
      </c>
      <c r="X17" s="1">
        <v>20785726000</v>
      </c>
      <c r="Y17" s="1">
        <v>21778129000</v>
      </c>
      <c r="Z17" s="1">
        <v>21504612000</v>
      </c>
      <c r="AA17" s="1">
        <v>14959600000</v>
      </c>
      <c r="AB17" s="1">
        <v>12259114000</v>
      </c>
      <c r="AC17" s="1">
        <v>11662433000</v>
      </c>
      <c r="AD17" s="1">
        <v>12166308000</v>
      </c>
      <c r="AE17" s="1">
        <v>11206600000</v>
      </c>
      <c r="AF17" s="1">
        <v>8225606000</v>
      </c>
      <c r="AG17" s="1">
        <v>8025238000</v>
      </c>
      <c r="AH17" s="1">
        <v>8102449000</v>
      </c>
      <c r="AI17" s="1">
        <v>8526500000</v>
      </c>
      <c r="AJ17" s="1">
        <v>9113940000</v>
      </c>
      <c r="AK17" s="1">
        <v>8354094000</v>
      </c>
      <c r="AL17" s="1">
        <v>8519632000</v>
      </c>
      <c r="AM17" s="1">
        <v>8606800000</v>
      </c>
      <c r="AN17" s="1">
        <v>8735031000</v>
      </c>
      <c r="AO17" s="1">
        <v>8046188000</v>
      </c>
      <c r="AP17" s="1">
        <v>7983345000</v>
      </c>
      <c r="AQ17" s="1">
        <v>7961100000</v>
      </c>
      <c r="AR17" s="1">
        <v>7145634000</v>
      </c>
      <c r="AS17" s="1">
        <v>7137973000</v>
      </c>
      <c r="AT17" s="1">
        <v>7293336000</v>
      </c>
      <c r="AU17" s="1">
        <v>7642700000</v>
      </c>
      <c r="AV17" s="1">
        <v>6223456000</v>
      </c>
      <c r="AW17" s="1">
        <v>5798161000</v>
      </c>
      <c r="AX17" s="1">
        <v>6393065000</v>
      </c>
      <c r="AY17" s="1">
        <v>5862900000</v>
      </c>
      <c r="AZ17" s="1">
        <v>5796961000</v>
      </c>
      <c r="BA17" s="1">
        <v>5491919000</v>
      </c>
      <c r="BB17" s="1">
        <v>5841520000</v>
      </c>
      <c r="BC17" s="1">
        <v>5435900000</v>
      </c>
      <c r="BD17" s="1">
        <v>5328092000</v>
      </c>
      <c r="BE17" s="1">
        <v>5221454000</v>
      </c>
      <c r="BF17" s="1">
        <v>0</v>
      </c>
      <c r="BG17" s="1">
        <v>5167600000</v>
      </c>
      <c r="BH17" s="1">
        <v>5133989000</v>
      </c>
      <c r="BI17" s="1">
        <v>5690862000</v>
      </c>
      <c r="BJ17" s="1">
        <v>5628037000</v>
      </c>
      <c r="BK17" s="1">
        <v>6027100000</v>
      </c>
      <c r="BL17" s="1">
        <v>6218321000</v>
      </c>
      <c r="BM17" s="1">
        <v>6162111000</v>
      </c>
      <c r="BN17" s="1">
        <v>6290817000</v>
      </c>
      <c r="BO17" s="1">
        <v>6458600000</v>
      </c>
      <c r="BP17" s="1">
        <v>6060452000</v>
      </c>
      <c r="BQ17" s="1">
        <v>0</v>
      </c>
      <c r="BR17" s="1">
        <v>6646575000</v>
      </c>
      <c r="BS17" s="1">
        <v>7125800000</v>
      </c>
      <c r="BT17" s="1">
        <v>7151154000</v>
      </c>
      <c r="BU17" s="1">
        <v>0</v>
      </c>
      <c r="BV17" s="1">
        <v>0</v>
      </c>
      <c r="BW17" s="1">
        <v>7913342000</v>
      </c>
      <c r="BX17" s="1">
        <v>0</v>
      </c>
      <c r="BY17" s="1">
        <v>5786640000</v>
      </c>
      <c r="BZ17" s="1">
        <v>0</v>
      </c>
      <c r="CA17" s="1">
        <v>6514355000</v>
      </c>
    </row>
    <row r="18" spans="1:79" x14ac:dyDescent="0.2">
      <c r="A18" s="1" t="s">
        <v>64</v>
      </c>
      <c r="B18" s="1">
        <v>24723182000</v>
      </c>
      <c r="C18" s="1">
        <v>24952600000</v>
      </c>
      <c r="D18" s="1">
        <v>25558048000</v>
      </c>
      <c r="E18" s="1">
        <v>24707294000</v>
      </c>
      <c r="F18" s="1">
        <v>25450343000</v>
      </c>
      <c r="G18" s="1">
        <v>26282500000</v>
      </c>
      <c r="H18" s="1">
        <v>22083031000</v>
      </c>
      <c r="I18" s="1">
        <v>22430599000</v>
      </c>
      <c r="J18" s="1">
        <v>22238925000</v>
      </c>
      <c r="K18" s="1">
        <v>22766700000</v>
      </c>
      <c r="L18" s="1">
        <v>23410569000</v>
      </c>
      <c r="M18" s="1">
        <v>23849933000</v>
      </c>
      <c r="N18" s="1">
        <v>24296839000</v>
      </c>
      <c r="O18" s="1">
        <v>25999200000</v>
      </c>
      <c r="P18" s="1">
        <v>26706552000</v>
      </c>
      <c r="Q18" s="1">
        <v>27208993000</v>
      </c>
      <c r="R18" s="1">
        <v>25620051000</v>
      </c>
      <c r="S18" s="1">
        <v>26821700000</v>
      </c>
      <c r="T18" s="1">
        <v>25643914000</v>
      </c>
      <c r="U18" s="1">
        <v>26535100000</v>
      </c>
      <c r="V18" s="1">
        <v>25012688000</v>
      </c>
      <c r="W18" s="1">
        <v>25768100000</v>
      </c>
      <c r="X18" s="1">
        <v>26339513000</v>
      </c>
      <c r="Y18" s="1">
        <v>27395600000</v>
      </c>
      <c r="Z18" s="1">
        <v>27232071000</v>
      </c>
      <c r="AA18" s="1">
        <v>20653000000</v>
      </c>
      <c r="AB18" s="1">
        <v>18093573000</v>
      </c>
      <c r="AC18" s="1">
        <v>17500830000</v>
      </c>
      <c r="AD18" s="1">
        <v>17974017000</v>
      </c>
      <c r="AE18" s="1">
        <v>17002100000</v>
      </c>
      <c r="AF18" s="1">
        <v>13989184000</v>
      </c>
      <c r="AG18" s="1">
        <v>13792211000</v>
      </c>
      <c r="AH18" s="1">
        <v>13674295000</v>
      </c>
      <c r="AI18" s="1">
        <v>14175200000</v>
      </c>
      <c r="AJ18" s="1">
        <v>14841399000</v>
      </c>
      <c r="AK18" s="1">
        <v>14118892000</v>
      </c>
      <c r="AL18" s="1">
        <v>14278436000</v>
      </c>
      <c r="AM18" s="1">
        <v>14614800000</v>
      </c>
      <c r="AN18" s="1">
        <v>14630613000</v>
      </c>
      <c r="AO18" s="1">
        <v>14066562000</v>
      </c>
      <c r="AP18" s="1">
        <v>13989513000</v>
      </c>
      <c r="AQ18" s="1">
        <v>14065900000</v>
      </c>
      <c r="AR18" s="1">
        <v>13196292000</v>
      </c>
      <c r="AS18" s="1">
        <v>12938507000</v>
      </c>
      <c r="AT18" s="1">
        <v>13138963000</v>
      </c>
      <c r="AU18" s="1">
        <v>13531500000</v>
      </c>
      <c r="AV18" s="1">
        <v>11942249000</v>
      </c>
      <c r="AW18" s="1">
        <v>11433307000</v>
      </c>
      <c r="AX18" s="1">
        <v>12113629000</v>
      </c>
      <c r="AY18" s="1">
        <v>11490400000</v>
      </c>
      <c r="AZ18" s="1">
        <v>11393280000</v>
      </c>
      <c r="BA18" s="1">
        <v>11142323000</v>
      </c>
      <c r="BB18" s="1">
        <v>11478437000</v>
      </c>
      <c r="BC18" s="1">
        <v>10959600000</v>
      </c>
      <c r="BD18" s="1">
        <v>10888854000</v>
      </c>
      <c r="BE18" s="1">
        <v>10860551000</v>
      </c>
      <c r="BF18" s="1">
        <v>5590597000</v>
      </c>
      <c r="BG18" s="1">
        <v>10861600000</v>
      </c>
      <c r="BH18" s="1">
        <v>10864226000</v>
      </c>
      <c r="BI18" s="1">
        <v>11177922000</v>
      </c>
      <c r="BJ18" s="1">
        <v>11210324000</v>
      </c>
      <c r="BK18" s="1">
        <v>11732000000</v>
      </c>
      <c r="BL18" s="1">
        <v>12054275000</v>
      </c>
      <c r="BM18" s="1">
        <v>12127215000</v>
      </c>
      <c r="BN18" s="1">
        <v>12193389000</v>
      </c>
      <c r="BO18" s="1">
        <v>12389900000</v>
      </c>
      <c r="BP18" s="1">
        <v>12014929000</v>
      </c>
      <c r="BQ18" s="1">
        <v>0</v>
      </c>
      <c r="BR18" s="1">
        <v>12834965000</v>
      </c>
      <c r="BS18" s="1">
        <v>13170200000</v>
      </c>
      <c r="BT18" s="1">
        <v>13080597000</v>
      </c>
      <c r="BU18" s="1">
        <v>1565704000</v>
      </c>
      <c r="BV18" s="1">
        <v>0</v>
      </c>
      <c r="BW18" s="1">
        <v>13913212000</v>
      </c>
      <c r="BX18" s="1">
        <v>0</v>
      </c>
      <c r="BY18" s="1">
        <v>11804603000</v>
      </c>
      <c r="BZ18" s="1">
        <v>0</v>
      </c>
      <c r="CA18" s="1">
        <v>12470301000</v>
      </c>
    </row>
    <row r="19" spans="1:79" x14ac:dyDescent="0.2">
      <c r="A19" s="1" t="s">
        <v>63</v>
      </c>
      <c r="B19" s="1">
        <v>166530529000</v>
      </c>
      <c r="C19" s="1">
        <v>172189000000</v>
      </c>
      <c r="D19" s="1">
        <v>148977534000</v>
      </c>
      <c r="E19" s="1">
        <v>137426767000</v>
      </c>
      <c r="F19" s="1">
        <v>160793296000</v>
      </c>
      <c r="G19" s="1">
        <v>148867000000</v>
      </c>
      <c r="H19" s="1">
        <v>127044656000</v>
      </c>
      <c r="I19" s="1">
        <v>140219465000</v>
      </c>
      <c r="J19" s="1">
        <v>138468577000</v>
      </c>
      <c r="K19" s="1">
        <v>129267600000</v>
      </c>
      <c r="L19" s="1">
        <v>116346645000</v>
      </c>
      <c r="M19" s="1">
        <v>94610105000</v>
      </c>
      <c r="N19" s="1">
        <v>69913622000</v>
      </c>
      <c r="O19" s="1">
        <v>68608100000</v>
      </c>
      <c r="P19" s="1">
        <v>75795898000</v>
      </c>
      <c r="Q19" s="1">
        <v>64440492000</v>
      </c>
      <c r="R19" s="1">
        <v>45736843000</v>
      </c>
      <c r="S19" s="1">
        <v>29183500000</v>
      </c>
      <c r="T19" s="1">
        <v>27730551000</v>
      </c>
      <c r="U19" s="1">
        <v>28937100000</v>
      </c>
      <c r="V19" s="1">
        <v>29130450000</v>
      </c>
      <c r="W19" s="1">
        <v>27617300000</v>
      </c>
      <c r="X19" s="1">
        <v>26514639000</v>
      </c>
      <c r="Y19" s="1">
        <v>22916825000</v>
      </c>
      <c r="Z19" s="1">
        <v>31033217000</v>
      </c>
      <c r="AA19" s="1">
        <v>30092000000</v>
      </c>
      <c r="AB19" s="1">
        <v>30134572000</v>
      </c>
      <c r="AC19" s="1">
        <v>29315314000</v>
      </c>
      <c r="AD19" s="1">
        <v>30038613000</v>
      </c>
      <c r="AE19" s="1">
        <v>29208000000</v>
      </c>
      <c r="AF19" s="1">
        <v>29802766000</v>
      </c>
      <c r="AG19" s="1">
        <v>28835306000</v>
      </c>
      <c r="AH19" s="1">
        <v>34376662000</v>
      </c>
      <c r="AI19" s="1">
        <v>41439400000</v>
      </c>
      <c r="AJ19" s="1">
        <v>40903723000</v>
      </c>
      <c r="AK19" s="1">
        <v>43818498000</v>
      </c>
      <c r="AL19" s="1">
        <v>44518812000</v>
      </c>
      <c r="AM19" s="1">
        <v>45995400000</v>
      </c>
      <c r="AN19" s="1">
        <v>49910488000</v>
      </c>
      <c r="AO19" s="1">
        <v>53398120000</v>
      </c>
      <c r="AP19" s="1">
        <v>46334552000</v>
      </c>
      <c r="AQ19" s="1">
        <v>34872800000</v>
      </c>
      <c r="AR19" s="1">
        <v>31015091000</v>
      </c>
      <c r="AS19" s="1">
        <v>27773584000</v>
      </c>
      <c r="AT19" s="1">
        <v>32180821000</v>
      </c>
      <c r="AU19" s="1">
        <v>29860200000</v>
      </c>
      <c r="AV19" s="1">
        <v>28845566000</v>
      </c>
      <c r="AW19" s="1">
        <v>28373339000</v>
      </c>
      <c r="AX19" s="1">
        <v>90847086000</v>
      </c>
      <c r="AY19" s="1">
        <v>89024100000</v>
      </c>
      <c r="AZ19" s="1">
        <v>89173524000</v>
      </c>
      <c r="BA19" s="1">
        <v>78261756000</v>
      </c>
      <c r="BB19" s="1">
        <v>70043330000</v>
      </c>
      <c r="BC19" s="1">
        <v>65723300000</v>
      </c>
      <c r="BD19" s="1">
        <v>28641148000</v>
      </c>
      <c r="BE19" s="1">
        <v>28157961000</v>
      </c>
      <c r="BF19" s="1">
        <v>29843871000</v>
      </c>
      <c r="BG19" s="1">
        <v>34450700000</v>
      </c>
      <c r="BH19" s="1">
        <v>36474097000</v>
      </c>
      <c r="BI19" s="1">
        <v>34844380000</v>
      </c>
      <c r="BJ19" s="1">
        <v>38933784000</v>
      </c>
      <c r="BK19" s="1">
        <v>39775500000</v>
      </c>
      <c r="BL19" s="1">
        <v>39784245000</v>
      </c>
      <c r="BM19" s="1">
        <v>43381439000</v>
      </c>
      <c r="BN19" s="1">
        <v>42326788000</v>
      </c>
      <c r="BO19" s="1">
        <v>37845500000</v>
      </c>
      <c r="BP19" s="1">
        <v>38553304000</v>
      </c>
      <c r="BQ19" s="1">
        <v>32498000000</v>
      </c>
      <c r="BR19" s="1">
        <v>35681888000</v>
      </c>
      <c r="BS19" s="1">
        <v>42748700000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</row>
    <row r="20" spans="1:79" x14ac:dyDescent="0.2">
      <c r="A20" s="1" t="s">
        <v>62</v>
      </c>
      <c r="B20" s="1">
        <v>0</v>
      </c>
      <c r="C20" s="1">
        <v>62940300000</v>
      </c>
      <c r="D20" s="1">
        <v>62098853000</v>
      </c>
      <c r="E20" s="1">
        <v>64996327000</v>
      </c>
      <c r="F20" s="1">
        <v>66666777000</v>
      </c>
      <c r="G20" s="1">
        <v>65943300000</v>
      </c>
      <c r="H20" s="1">
        <v>65944214000</v>
      </c>
      <c r="I20" s="1">
        <v>65160047000</v>
      </c>
      <c r="J20" s="1">
        <v>63729274000</v>
      </c>
      <c r="K20" s="1">
        <v>64175800000</v>
      </c>
      <c r="L20" s="1">
        <v>71030144000</v>
      </c>
      <c r="M20" s="1">
        <v>68379721000</v>
      </c>
      <c r="N20" s="1">
        <v>68775652000</v>
      </c>
      <c r="O20" s="1">
        <v>69185900000</v>
      </c>
      <c r="P20" s="1">
        <v>63058097000</v>
      </c>
      <c r="Q20" s="1">
        <v>57848313000</v>
      </c>
      <c r="R20" s="1">
        <v>53903541000</v>
      </c>
      <c r="S20" s="1">
        <v>49153900000</v>
      </c>
      <c r="T20" s="1">
        <v>41925391000</v>
      </c>
      <c r="U20" s="1">
        <v>36180400000</v>
      </c>
      <c r="V20" s="1">
        <v>31254225000</v>
      </c>
      <c r="W20" s="1">
        <v>25958200000</v>
      </c>
      <c r="X20" s="1">
        <v>22505789000</v>
      </c>
      <c r="Y20" s="1">
        <v>20493373000</v>
      </c>
      <c r="Z20" s="1">
        <v>19309120000</v>
      </c>
      <c r="AA20" s="1">
        <v>17928400000</v>
      </c>
      <c r="AB20" s="1">
        <v>17179511000</v>
      </c>
      <c r="AC20" s="1">
        <v>17123994000</v>
      </c>
      <c r="AD20" s="1">
        <v>16959414000</v>
      </c>
      <c r="AE20" s="1">
        <v>16806400000</v>
      </c>
      <c r="AF20" s="1">
        <v>14697325000</v>
      </c>
      <c r="AG20" s="1">
        <v>13632059000</v>
      </c>
      <c r="AH20" s="1">
        <v>12987042000</v>
      </c>
      <c r="AI20" s="1">
        <v>12105500000</v>
      </c>
      <c r="AJ20" s="1">
        <v>11237149000</v>
      </c>
      <c r="AK20" s="1">
        <v>10010278000</v>
      </c>
      <c r="AL20" s="1">
        <v>10644401000</v>
      </c>
      <c r="AM20" s="1">
        <v>8271400000</v>
      </c>
      <c r="AN20" s="1">
        <v>7506051000</v>
      </c>
      <c r="AO20" s="1">
        <v>6643607000</v>
      </c>
      <c r="AP20" s="1">
        <v>7561741000</v>
      </c>
      <c r="AQ20" s="1">
        <v>6385000000</v>
      </c>
      <c r="AR20" s="1">
        <v>5743803000</v>
      </c>
      <c r="AS20" s="1">
        <v>5342444000</v>
      </c>
      <c r="AT20" s="1">
        <v>6246031000</v>
      </c>
      <c r="AU20" s="1">
        <v>5138800000</v>
      </c>
      <c r="AV20" s="1">
        <v>5033530000</v>
      </c>
      <c r="AW20" s="1">
        <v>5009457000</v>
      </c>
      <c r="AX20" s="1">
        <v>7893479000</v>
      </c>
      <c r="AY20" s="1">
        <v>7145000000</v>
      </c>
      <c r="AZ20" s="1">
        <v>7165944000</v>
      </c>
      <c r="BA20" s="1">
        <v>8667948000</v>
      </c>
      <c r="BB20" s="1">
        <v>11610593000</v>
      </c>
      <c r="BC20" s="1">
        <v>13111300000</v>
      </c>
      <c r="BD20" s="1">
        <v>10137266000</v>
      </c>
      <c r="BE20" s="1">
        <v>10344401000</v>
      </c>
      <c r="BF20" s="1">
        <v>7245201000</v>
      </c>
      <c r="BG20" s="1">
        <v>13589400000</v>
      </c>
      <c r="BH20" s="1">
        <v>11281440000</v>
      </c>
      <c r="BI20" s="1">
        <v>11092048000</v>
      </c>
      <c r="BJ20" s="1">
        <v>6599175000</v>
      </c>
      <c r="BK20" s="1">
        <v>7362800000</v>
      </c>
      <c r="BL20" s="1">
        <v>10414275000</v>
      </c>
      <c r="BM20" s="1">
        <v>9820064000</v>
      </c>
      <c r="BN20" s="1">
        <v>6770699000</v>
      </c>
      <c r="BO20" s="1">
        <v>7988300000</v>
      </c>
      <c r="BP20" s="1">
        <v>7196676000</v>
      </c>
      <c r="BQ20" s="1">
        <v>0</v>
      </c>
      <c r="BR20" s="1">
        <v>5732151000</v>
      </c>
      <c r="BS20" s="1">
        <v>6636900000</v>
      </c>
      <c r="BT20" s="1">
        <v>7542873000</v>
      </c>
      <c r="BU20" s="1">
        <v>4718453000</v>
      </c>
      <c r="BV20" s="1">
        <v>0</v>
      </c>
      <c r="BW20" s="1">
        <v>7329571000</v>
      </c>
      <c r="BX20" s="1">
        <v>0</v>
      </c>
      <c r="BY20" s="1">
        <v>8544382000</v>
      </c>
      <c r="BZ20" s="1">
        <v>0</v>
      </c>
      <c r="CA20" s="1">
        <v>7431393000</v>
      </c>
    </row>
    <row r="21" spans="1:79" x14ac:dyDescent="0.2">
      <c r="A21" s="1" t="s">
        <v>61</v>
      </c>
      <c r="B21" s="1">
        <v>249408783000</v>
      </c>
      <c r="C21" s="1">
        <v>119870000000</v>
      </c>
      <c r="D21" s="1">
        <v>138847712000</v>
      </c>
      <c r="E21" s="1">
        <v>84237416000</v>
      </c>
      <c r="F21" s="1">
        <v>92603552000</v>
      </c>
      <c r="G21" s="1">
        <v>87211300000</v>
      </c>
      <c r="H21" s="1">
        <v>104787068000</v>
      </c>
      <c r="I21" s="1">
        <v>17522804000</v>
      </c>
      <c r="J21" s="1">
        <v>18702059000</v>
      </c>
      <c r="K21" s="1">
        <v>17053900000</v>
      </c>
      <c r="L21" s="1">
        <v>17372309000</v>
      </c>
      <c r="M21" s="1">
        <v>13832676000</v>
      </c>
      <c r="N21" s="1">
        <v>11715166000</v>
      </c>
      <c r="O21" s="1">
        <v>12018200000</v>
      </c>
      <c r="P21" s="1">
        <v>9668867000</v>
      </c>
      <c r="Q21" s="1">
        <v>7964822000</v>
      </c>
      <c r="R21" s="1">
        <v>7925800000</v>
      </c>
      <c r="S21" s="1">
        <v>5217100000</v>
      </c>
      <c r="T21" s="1">
        <v>4517197000</v>
      </c>
      <c r="U21" s="1">
        <v>4633800000</v>
      </c>
      <c r="V21" s="1">
        <v>3113673000</v>
      </c>
      <c r="W21" s="1">
        <v>5754000000</v>
      </c>
      <c r="X21" s="1">
        <v>5276155000</v>
      </c>
      <c r="Y21" s="1">
        <v>3229300000</v>
      </c>
      <c r="Z21" s="1">
        <v>3315315000</v>
      </c>
      <c r="AA21" s="1">
        <v>3827900000</v>
      </c>
      <c r="AB21" s="1">
        <v>3937234000</v>
      </c>
      <c r="AC21" s="1">
        <v>4310703000</v>
      </c>
      <c r="AD21" s="1">
        <v>4444556000</v>
      </c>
      <c r="AE21" s="1">
        <v>3284700000</v>
      </c>
      <c r="AF21" s="1">
        <v>3658973000</v>
      </c>
      <c r="AG21" s="1">
        <v>3842637000</v>
      </c>
      <c r="AH21" s="1">
        <v>3634940000</v>
      </c>
      <c r="AI21" s="1">
        <v>4266500000</v>
      </c>
      <c r="AJ21" s="1">
        <v>3823466000</v>
      </c>
      <c r="AK21" s="1">
        <v>2809798000</v>
      </c>
      <c r="AL21" s="1">
        <v>2196136000</v>
      </c>
      <c r="AM21" s="1">
        <v>1908300000</v>
      </c>
      <c r="AN21" s="1">
        <v>2119633000</v>
      </c>
      <c r="AO21" s="1">
        <v>1987995000</v>
      </c>
      <c r="AP21" s="1">
        <v>1843273000</v>
      </c>
      <c r="AQ21" s="1">
        <v>1859400000</v>
      </c>
      <c r="AR21" s="1">
        <v>1777019000</v>
      </c>
      <c r="AS21" s="1">
        <v>1726565000</v>
      </c>
      <c r="AT21" s="1">
        <v>1615664000</v>
      </c>
      <c r="AU21" s="1">
        <v>1558100000</v>
      </c>
      <c r="AV21" s="1">
        <v>3633417000</v>
      </c>
      <c r="AW21" s="1">
        <v>3861683000</v>
      </c>
      <c r="AX21" s="1">
        <v>3983090000</v>
      </c>
      <c r="AY21" s="1">
        <v>3988600000</v>
      </c>
      <c r="AZ21" s="1">
        <v>3880606000</v>
      </c>
      <c r="BA21" s="1">
        <v>3756038000</v>
      </c>
      <c r="BB21" s="1">
        <v>4298790000</v>
      </c>
      <c r="BC21" s="1">
        <v>3661900000</v>
      </c>
      <c r="BD21" s="1">
        <v>3579270000</v>
      </c>
      <c r="BE21" s="1">
        <v>5513372000</v>
      </c>
      <c r="BF21" s="1">
        <v>11171222000</v>
      </c>
      <c r="BG21" s="1">
        <v>5825500000</v>
      </c>
      <c r="BH21" s="1">
        <v>6131541000</v>
      </c>
      <c r="BI21" s="1">
        <v>6262043000</v>
      </c>
      <c r="BJ21" s="1">
        <v>6260032000</v>
      </c>
      <c r="BK21" s="1">
        <v>10095300000</v>
      </c>
      <c r="BL21" s="1">
        <v>9482868000</v>
      </c>
      <c r="BM21" s="1">
        <v>361696000</v>
      </c>
      <c r="BN21" s="1">
        <v>293004000</v>
      </c>
      <c r="BO21" s="1">
        <v>2994000000</v>
      </c>
      <c r="BP21" s="1">
        <v>3075246000</v>
      </c>
      <c r="BQ21" s="1">
        <v>20555000000</v>
      </c>
      <c r="BR21" s="1">
        <v>2890967000</v>
      </c>
      <c r="BS21" s="1">
        <v>97000000</v>
      </c>
      <c r="BT21" s="1">
        <v>44561280000</v>
      </c>
      <c r="BU21" s="1">
        <v>124538192000</v>
      </c>
      <c r="BV21" s="1">
        <v>53939889000</v>
      </c>
      <c r="BW21" s="1">
        <v>39566711000</v>
      </c>
      <c r="BX21" s="1">
        <v>70957116000</v>
      </c>
      <c r="BY21" s="1">
        <v>47950341000</v>
      </c>
      <c r="BZ21" s="1">
        <v>72350567000</v>
      </c>
      <c r="CA21" s="1">
        <v>43043702000</v>
      </c>
    </row>
    <row r="22" spans="1:79" x14ac:dyDescent="0.2">
      <c r="A22" s="6" t="s">
        <v>60</v>
      </c>
      <c r="B22" s="4">
        <v>4394475596000</v>
      </c>
      <c r="C22" s="4">
        <v>4115711700000</v>
      </c>
      <c r="D22" s="4">
        <v>3918091764000</v>
      </c>
      <c r="E22" s="4">
        <v>3741432074000</v>
      </c>
      <c r="F22" s="4">
        <v>3787623538000</v>
      </c>
      <c r="G22" s="4">
        <v>3603412600000</v>
      </c>
      <c r="H22" s="4">
        <v>3391744313000</v>
      </c>
      <c r="I22" s="4">
        <v>3390705921000</v>
      </c>
      <c r="J22" s="4">
        <v>3335123688000</v>
      </c>
      <c r="K22" s="4">
        <v>3338163700000</v>
      </c>
      <c r="L22" s="4">
        <v>3402078745000</v>
      </c>
      <c r="M22" s="4">
        <v>3189500838000</v>
      </c>
      <c r="N22" s="4">
        <v>3050116827000</v>
      </c>
      <c r="O22" s="4">
        <v>2911562400000</v>
      </c>
      <c r="P22" s="4">
        <v>2629069408000</v>
      </c>
      <c r="Q22" s="4">
        <v>2440074939000</v>
      </c>
      <c r="R22" s="4">
        <v>2270439035000</v>
      </c>
      <c r="S22" s="4">
        <v>2118229300000</v>
      </c>
      <c r="T22" s="4">
        <v>1961672715000</v>
      </c>
      <c r="U22" s="4">
        <v>1851584800000</v>
      </c>
      <c r="V22" s="4">
        <v>1779344638000</v>
      </c>
      <c r="W22" s="4">
        <v>1668415200000</v>
      </c>
      <c r="X22" s="4">
        <v>1605898296000</v>
      </c>
      <c r="Y22" s="4">
        <v>1588632942000</v>
      </c>
      <c r="Z22" s="4">
        <v>1540825656000</v>
      </c>
      <c r="AA22" s="4">
        <v>1442111100000</v>
      </c>
      <c r="AB22" s="4">
        <v>1284807014000</v>
      </c>
      <c r="AC22" s="4">
        <v>1229164333000</v>
      </c>
      <c r="AD22" s="4">
        <v>1196111970000</v>
      </c>
      <c r="AE22" s="4">
        <v>1138351500000</v>
      </c>
      <c r="AF22" s="4">
        <v>1110665083000</v>
      </c>
      <c r="AG22" s="4">
        <v>1094370275000</v>
      </c>
      <c r="AH22" s="4">
        <v>1120039146000</v>
      </c>
      <c r="AI22" s="4">
        <v>1134528900000</v>
      </c>
      <c r="AJ22" s="4">
        <v>1136562604000</v>
      </c>
      <c r="AK22" s="4">
        <v>1148384225000</v>
      </c>
      <c r="AL22" s="4">
        <v>1109001928000</v>
      </c>
      <c r="AM22" s="4">
        <v>1068567600000</v>
      </c>
      <c r="AN22" s="4">
        <v>1009095278000</v>
      </c>
      <c r="AO22" s="4">
        <v>951966489000</v>
      </c>
      <c r="AP22" s="4">
        <v>914034529000</v>
      </c>
      <c r="AQ22" s="4">
        <v>910653400000</v>
      </c>
      <c r="AR22" s="4">
        <v>882557314000</v>
      </c>
      <c r="AS22" s="4">
        <v>877484276000</v>
      </c>
      <c r="AT22" s="4">
        <v>866401363000</v>
      </c>
      <c r="AU22" s="4">
        <v>868287400000</v>
      </c>
      <c r="AV22" s="4">
        <v>873764641000</v>
      </c>
      <c r="AW22" s="4">
        <v>885845212000</v>
      </c>
      <c r="AX22" s="4">
        <v>942848864000</v>
      </c>
      <c r="AY22" s="4">
        <v>904314000000</v>
      </c>
      <c r="AZ22" s="4">
        <v>839329378000</v>
      </c>
      <c r="BA22" s="4">
        <v>817423101000</v>
      </c>
      <c r="BB22" s="4">
        <v>763878534000</v>
      </c>
      <c r="BC22" s="4">
        <v>711018300000</v>
      </c>
      <c r="BD22" s="4">
        <v>633326425000</v>
      </c>
      <c r="BE22" s="4">
        <v>603025150000</v>
      </c>
      <c r="BF22" s="4">
        <v>563767353000</v>
      </c>
      <c r="BG22" s="4">
        <v>555149400000</v>
      </c>
      <c r="BH22" s="4">
        <v>537704526000</v>
      </c>
      <c r="BI22" s="4">
        <v>541263805000</v>
      </c>
      <c r="BJ22" s="4">
        <v>499592695000</v>
      </c>
      <c r="BK22" s="4">
        <v>457409600000</v>
      </c>
      <c r="BL22" s="4">
        <v>420914871000</v>
      </c>
      <c r="BM22" s="4">
        <v>394160740000</v>
      </c>
      <c r="BN22" s="4">
        <v>361213099000</v>
      </c>
      <c r="BO22" s="4">
        <v>334892500000</v>
      </c>
      <c r="BP22" s="4">
        <v>297656179000</v>
      </c>
      <c r="BQ22" s="4">
        <v>278124000000</v>
      </c>
      <c r="BR22" s="4">
        <v>284218363000</v>
      </c>
      <c r="BS22" s="4">
        <v>306298200000</v>
      </c>
      <c r="BT22" s="4">
        <v>316822172000</v>
      </c>
      <c r="BU22" s="4">
        <v>367385879000</v>
      </c>
      <c r="BV22" s="4">
        <v>315404006000</v>
      </c>
      <c r="BW22" s="4">
        <v>321074127000</v>
      </c>
      <c r="BX22" s="4">
        <v>335587721000</v>
      </c>
      <c r="BY22" s="4">
        <v>333330359000</v>
      </c>
      <c r="BZ22" s="4">
        <v>322764284000</v>
      </c>
      <c r="CA22" s="4">
        <v>314165316000</v>
      </c>
    </row>
    <row r="24" spans="1:79" x14ac:dyDescent="0.2">
      <c r="A24" s="1" t="s">
        <v>59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</row>
    <row r="25" spans="1:79" x14ac:dyDescent="0.2">
      <c r="A25" s="6" t="s">
        <v>58</v>
      </c>
      <c r="B25" s="5">
        <v>8659053639000</v>
      </c>
      <c r="C25" s="5">
        <v>7932842500000</v>
      </c>
      <c r="D25" s="5">
        <v>7354107076000</v>
      </c>
      <c r="E25" s="5">
        <v>7006349549000</v>
      </c>
      <c r="F25" s="5">
        <v>7133287420000</v>
      </c>
      <c r="G25" s="5">
        <v>6691764700000</v>
      </c>
      <c r="H25" s="5">
        <v>6165658176000</v>
      </c>
      <c r="I25" s="5">
        <v>5982364014000</v>
      </c>
      <c r="J25" s="5">
        <v>5787891082000</v>
      </c>
      <c r="K25" s="5">
        <v>5532196600000</v>
      </c>
      <c r="L25" s="5">
        <v>5484556381000</v>
      </c>
      <c r="M25" s="5">
        <v>5149465045000</v>
      </c>
      <c r="N25" s="5">
        <v>5045844348000</v>
      </c>
      <c r="O25" s="5">
        <v>4964459100000</v>
      </c>
      <c r="P25" s="5">
        <v>4643301766000</v>
      </c>
      <c r="Q25" s="5">
        <v>4345941335000</v>
      </c>
      <c r="R25" s="5">
        <v>3992676667000</v>
      </c>
      <c r="S25" s="5">
        <v>3725302200000</v>
      </c>
      <c r="T25" s="5">
        <v>3332311884000</v>
      </c>
      <c r="U25" s="5">
        <v>3092688800000</v>
      </c>
      <c r="V25" s="5">
        <v>2919131461000</v>
      </c>
      <c r="W25" s="5">
        <v>2760600500000</v>
      </c>
      <c r="X25" s="5">
        <v>2635572214000</v>
      </c>
      <c r="Y25" s="5">
        <v>2448664522000</v>
      </c>
      <c r="Z25" s="5">
        <v>2343295696000</v>
      </c>
      <c r="AA25" s="5">
        <v>2264725000000</v>
      </c>
      <c r="AB25" s="5">
        <v>2134234450000</v>
      </c>
      <c r="AC25" s="5">
        <v>2239343671000</v>
      </c>
      <c r="AD25" s="5">
        <v>2187436785000</v>
      </c>
      <c r="AE25" s="5">
        <v>2090031200000</v>
      </c>
      <c r="AF25" s="5">
        <v>1969888788000</v>
      </c>
      <c r="AG25" s="5">
        <v>2053412954000</v>
      </c>
      <c r="AH25" s="5">
        <v>2049155806000</v>
      </c>
      <c r="AI25" s="5">
        <v>1991732000000</v>
      </c>
      <c r="AJ25" s="5">
        <v>1841424382000</v>
      </c>
      <c r="AK25" s="5">
        <v>1986433777000</v>
      </c>
      <c r="AL25" s="5">
        <v>1934663761000</v>
      </c>
      <c r="AM25" s="5">
        <v>1886296700000</v>
      </c>
      <c r="AN25" s="5">
        <v>1718686763000</v>
      </c>
      <c r="AO25" s="5">
        <v>1804491560000</v>
      </c>
      <c r="AP25" s="5">
        <v>1726525636000</v>
      </c>
      <c r="AQ25" s="5">
        <v>1657397400000</v>
      </c>
      <c r="AR25" s="5">
        <v>1576218810000</v>
      </c>
      <c r="AS25" s="5">
        <v>1608853066000</v>
      </c>
      <c r="AT25" s="5">
        <v>1556895055000</v>
      </c>
      <c r="AU25" s="5">
        <v>1494853000000</v>
      </c>
      <c r="AV25" s="5">
        <v>1349994840000</v>
      </c>
      <c r="AW25" s="5">
        <v>1345044767000</v>
      </c>
      <c r="AX25" s="5">
        <v>1298739281000</v>
      </c>
      <c r="AY25" s="5">
        <v>1262800700000</v>
      </c>
      <c r="AZ25" s="5">
        <v>1177540215000</v>
      </c>
      <c r="BA25" s="5">
        <v>1169885454000</v>
      </c>
      <c r="BB25" s="5">
        <v>1061629726000</v>
      </c>
      <c r="BC25" s="5">
        <v>961343700000</v>
      </c>
      <c r="BD25" s="5">
        <v>878651770000</v>
      </c>
      <c r="BE25" s="5">
        <v>883906053000</v>
      </c>
      <c r="BF25" s="5">
        <v>831890385000</v>
      </c>
      <c r="BG25" s="5">
        <v>779541600000</v>
      </c>
      <c r="BH25" s="5">
        <v>734641087000</v>
      </c>
      <c r="BI25" s="5">
        <v>783815613000</v>
      </c>
      <c r="BJ25" s="5">
        <v>750125966000</v>
      </c>
      <c r="BK25" s="5">
        <v>718928900000</v>
      </c>
      <c r="BL25" s="5">
        <v>667552049000</v>
      </c>
      <c r="BM25" s="5">
        <v>680775592000</v>
      </c>
      <c r="BN25" s="5">
        <v>626829138000</v>
      </c>
      <c r="BO25" s="5">
        <v>594696200000</v>
      </c>
      <c r="BP25" s="5">
        <v>541897118000</v>
      </c>
      <c r="BQ25" s="5">
        <v>587543000000</v>
      </c>
      <c r="BR25" s="5">
        <v>552775394000</v>
      </c>
      <c r="BS25" s="5">
        <v>558916600000</v>
      </c>
      <c r="BT25" s="5">
        <v>548565831000</v>
      </c>
      <c r="BU25" s="5">
        <v>596489039000</v>
      </c>
      <c r="BV25" s="5">
        <v>596711924000</v>
      </c>
      <c r="BW25" s="5">
        <v>570928175000</v>
      </c>
      <c r="BX25" s="5">
        <v>585094714000</v>
      </c>
      <c r="BY25" s="5">
        <v>638459381000</v>
      </c>
      <c r="BZ25" s="5">
        <v>608923022000</v>
      </c>
      <c r="CA25" s="5">
        <v>593955933000</v>
      </c>
    </row>
    <row r="27" spans="1:79" x14ac:dyDescent="0.2">
      <c r="A27" s="1" t="s">
        <v>57</v>
      </c>
      <c r="B27" s="1">
        <v>99834194000</v>
      </c>
      <c r="C27" s="1">
        <v>260281900000</v>
      </c>
      <c r="D27" s="1">
        <v>259855651000</v>
      </c>
      <c r="E27" s="1">
        <v>244911589000</v>
      </c>
      <c r="F27" s="1">
        <v>274724329000</v>
      </c>
      <c r="G27" s="1">
        <v>265435800000</v>
      </c>
      <c r="H27" s="1">
        <v>70660041000</v>
      </c>
      <c r="I27" s="1">
        <v>199507410000</v>
      </c>
      <c r="J27" s="1">
        <v>183604226000</v>
      </c>
      <c r="K27" s="1">
        <v>227211400000</v>
      </c>
      <c r="L27" s="1">
        <v>282999749000</v>
      </c>
      <c r="M27" s="1">
        <v>188547603000</v>
      </c>
      <c r="N27" s="1">
        <v>203676992000</v>
      </c>
      <c r="O27" s="1">
        <v>268379300000</v>
      </c>
      <c r="P27" s="1">
        <v>219927774000</v>
      </c>
      <c r="Q27" s="1">
        <v>218514033000</v>
      </c>
      <c r="R27" s="1">
        <v>171568695000</v>
      </c>
      <c r="S27" s="1">
        <v>193027800000</v>
      </c>
      <c r="T27" s="1">
        <v>170100957000</v>
      </c>
      <c r="U27" s="1">
        <v>146871900000</v>
      </c>
      <c r="V27" s="1">
        <v>145690859000</v>
      </c>
      <c r="W27" s="1">
        <v>196792300000</v>
      </c>
      <c r="X27" s="1">
        <v>139546202000</v>
      </c>
      <c r="Y27" s="1">
        <v>135839940000</v>
      </c>
      <c r="Z27" s="1">
        <v>139749092000</v>
      </c>
      <c r="AA27" s="1">
        <v>179581800000</v>
      </c>
      <c r="AB27" s="1">
        <v>128761982000</v>
      </c>
      <c r="AC27" s="1">
        <v>102831608000</v>
      </c>
      <c r="AD27" s="1">
        <v>104071875000</v>
      </c>
      <c r="AE27" s="1">
        <v>76114600000</v>
      </c>
      <c r="AF27" s="1">
        <v>87323830000</v>
      </c>
      <c r="AG27" s="1">
        <v>69314578000</v>
      </c>
      <c r="AH27" s="1">
        <v>75645959000</v>
      </c>
      <c r="AI27" s="1">
        <v>84136600000</v>
      </c>
      <c r="AJ27" s="1">
        <v>75520938000</v>
      </c>
      <c r="AK27" s="1">
        <v>74886745000</v>
      </c>
      <c r="AL27" s="1">
        <v>80753520000</v>
      </c>
      <c r="AM27" s="1">
        <v>89216800000</v>
      </c>
      <c r="AN27" s="1">
        <v>83726369000</v>
      </c>
      <c r="AO27" s="1">
        <v>70219412000</v>
      </c>
      <c r="AP27" s="1">
        <v>52467013000</v>
      </c>
      <c r="AQ27" s="1">
        <v>44587500000</v>
      </c>
      <c r="AR27" s="1">
        <v>52395829000</v>
      </c>
      <c r="AS27" s="1">
        <v>63384512000</v>
      </c>
      <c r="AT27" s="1">
        <v>45968124000</v>
      </c>
      <c r="AU27" s="1">
        <v>48859300000</v>
      </c>
      <c r="AV27" s="1">
        <v>49102669000</v>
      </c>
      <c r="AW27" s="1">
        <v>54673261000</v>
      </c>
      <c r="AX27" s="1">
        <v>68842106000</v>
      </c>
      <c r="AY27" s="1">
        <v>104480500000</v>
      </c>
      <c r="AZ27" s="1">
        <v>71859698000</v>
      </c>
      <c r="BA27" s="1">
        <v>75275306000</v>
      </c>
      <c r="BB27" s="1">
        <v>61064327000</v>
      </c>
      <c r="BC27" s="1">
        <v>59322200000</v>
      </c>
      <c r="BD27" s="1">
        <v>13773108000</v>
      </c>
      <c r="BE27" s="1">
        <v>14126994000</v>
      </c>
      <c r="BF27" s="1">
        <v>13262122000</v>
      </c>
      <c r="BG27" s="1">
        <v>46071000000</v>
      </c>
      <c r="BH27" s="1">
        <v>9163393000</v>
      </c>
      <c r="BI27" s="1">
        <v>11710578000</v>
      </c>
      <c r="BJ27" s="1">
        <v>11923131000</v>
      </c>
      <c r="BK27" s="1">
        <v>12104200000</v>
      </c>
      <c r="BL27" s="1">
        <v>11474968000</v>
      </c>
      <c r="BM27" s="1">
        <v>11552093000</v>
      </c>
      <c r="BN27" s="1">
        <v>10511246000</v>
      </c>
      <c r="BO27" s="1">
        <v>39830200000</v>
      </c>
      <c r="BP27" s="1">
        <v>9593847000</v>
      </c>
      <c r="BQ27" s="1">
        <v>10105000000</v>
      </c>
      <c r="BR27" s="1">
        <v>5314336000</v>
      </c>
      <c r="BS27" s="1">
        <v>5553200000</v>
      </c>
      <c r="BT27" s="1">
        <v>8385477000</v>
      </c>
      <c r="BU27" s="1">
        <v>8722702000</v>
      </c>
      <c r="BV27" s="1">
        <v>10332148000</v>
      </c>
      <c r="BW27" s="1">
        <v>11578128000</v>
      </c>
      <c r="BX27" s="1">
        <v>12450904000</v>
      </c>
      <c r="BY27" s="1">
        <v>9651340000</v>
      </c>
      <c r="BZ27" s="1">
        <v>10127755000</v>
      </c>
      <c r="CA27" s="1">
        <v>8679267000</v>
      </c>
    </row>
    <row r="28" spans="1:79" x14ac:dyDescent="0.2">
      <c r="A28" s="1" t="s">
        <v>56</v>
      </c>
      <c r="B28" s="1">
        <v>159807813000</v>
      </c>
      <c r="C28" s="1">
        <v>136925700000</v>
      </c>
      <c r="D28" s="1">
        <v>76225613000</v>
      </c>
      <c r="E28" s="1">
        <v>0</v>
      </c>
      <c r="F28" s="1">
        <v>61771648000</v>
      </c>
      <c r="G28" s="1">
        <v>59857900000</v>
      </c>
      <c r="H28" s="1">
        <v>61565355000</v>
      </c>
      <c r="I28" s="1">
        <v>23075426000</v>
      </c>
      <c r="J28" s="1">
        <v>12500151000</v>
      </c>
      <c r="K28" s="1">
        <v>9293300000</v>
      </c>
      <c r="L28" s="1">
        <v>7420132000</v>
      </c>
      <c r="M28" s="1">
        <v>8125556000</v>
      </c>
      <c r="N28" s="1">
        <v>8040000000</v>
      </c>
      <c r="O28" s="1">
        <v>19313900000</v>
      </c>
      <c r="P28" s="1">
        <v>23426667000</v>
      </c>
      <c r="Q28" s="1">
        <v>115584794000</v>
      </c>
      <c r="R28" s="1">
        <v>144550897000</v>
      </c>
      <c r="S28" s="1">
        <v>119488000000</v>
      </c>
      <c r="T28" s="1">
        <v>118844065000</v>
      </c>
      <c r="U28" s="1">
        <v>139380900000</v>
      </c>
      <c r="V28" s="1">
        <v>137123748000</v>
      </c>
      <c r="W28" s="1">
        <v>91159000000</v>
      </c>
      <c r="X28" s="1">
        <v>155377630000</v>
      </c>
      <c r="Y28" s="1">
        <v>188840348000</v>
      </c>
      <c r="Z28" s="1">
        <v>155103242000</v>
      </c>
      <c r="AA28" s="1">
        <v>150322300000</v>
      </c>
      <c r="AB28" s="1">
        <v>85573710000</v>
      </c>
      <c r="AC28" s="1">
        <v>78261120000</v>
      </c>
      <c r="AD28" s="1">
        <v>76592550000</v>
      </c>
      <c r="AE28" s="1">
        <v>123654700000</v>
      </c>
      <c r="AF28" s="1">
        <v>73974625000</v>
      </c>
      <c r="AG28" s="1">
        <v>30835300000</v>
      </c>
      <c r="AH28" s="1">
        <v>56731350000</v>
      </c>
      <c r="AI28" s="1">
        <v>122167900000</v>
      </c>
      <c r="AJ28" s="1">
        <v>54430200000</v>
      </c>
      <c r="AK28" s="1">
        <v>54745200000</v>
      </c>
      <c r="AL28" s="1">
        <v>54666000000</v>
      </c>
      <c r="AM28" s="1">
        <v>96058200000</v>
      </c>
      <c r="AN28" s="1">
        <v>37648800000</v>
      </c>
      <c r="AO28" s="1">
        <v>38739600000</v>
      </c>
      <c r="AP28" s="1">
        <v>34690040000</v>
      </c>
      <c r="AQ28" s="1">
        <v>62984100000</v>
      </c>
      <c r="AR28" s="1">
        <v>33564120000</v>
      </c>
      <c r="AS28" s="1">
        <v>5592600000</v>
      </c>
      <c r="AT28" s="1">
        <v>18683595000</v>
      </c>
      <c r="AU28" s="1">
        <v>36158500000</v>
      </c>
      <c r="AV28" s="1">
        <v>35883358000</v>
      </c>
      <c r="AW28" s="1">
        <v>34705206000</v>
      </c>
      <c r="AX28" s="1">
        <v>24843645000</v>
      </c>
      <c r="AY28" s="1">
        <v>15645000000</v>
      </c>
      <c r="AZ28" s="1">
        <v>18053096000</v>
      </c>
      <c r="BA28" s="1">
        <v>31466400000</v>
      </c>
      <c r="BB28" s="1">
        <v>35974050000</v>
      </c>
      <c r="BC28" s="1">
        <v>34843000000</v>
      </c>
      <c r="BD28" s="1">
        <v>29874650000</v>
      </c>
      <c r="BE28" s="1">
        <v>30897585000</v>
      </c>
      <c r="BF28" s="1">
        <v>34781466000</v>
      </c>
      <c r="BG28" s="1">
        <v>30489000000</v>
      </c>
      <c r="BH28" s="1">
        <v>40550904000</v>
      </c>
      <c r="BI28" s="1">
        <v>37640881000</v>
      </c>
      <c r="BJ28" s="1">
        <v>38917127000</v>
      </c>
      <c r="BK28" s="1">
        <v>31455300000</v>
      </c>
      <c r="BL28" s="1">
        <v>38780945000</v>
      </c>
      <c r="BM28" s="1">
        <v>19149447000</v>
      </c>
      <c r="BN28" s="1">
        <v>1274788000</v>
      </c>
      <c r="BO28" s="1">
        <v>949300000</v>
      </c>
      <c r="BP28" s="1">
        <v>0</v>
      </c>
      <c r="BQ28" s="1">
        <v>309000000</v>
      </c>
      <c r="BR28" s="1">
        <v>0</v>
      </c>
      <c r="BS28" s="1">
        <v>8307600000</v>
      </c>
      <c r="BT28" s="1">
        <v>0</v>
      </c>
      <c r="BU28" s="1">
        <v>7989557000</v>
      </c>
      <c r="BV28" s="1">
        <v>0</v>
      </c>
      <c r="BW28" s="1">
        <v>291886000</v>
      </c>
      <c r="BX28" s="1">
        <v>4856505000</v>
      </c>
      <c r="BY28" s="1">
        <v>4887951000</v>
      </c>
      <c r="BZ28" s="1">
        <v>4766003000</v>
      </c>
      <c r="CA28" s="1">
        <v>2506403000</v>
      </c>
    </row>
    <row r="29" spans="1:79" x14ac:dyDescent="0.2">
      <c r="A29" s="1" t="s">
        <v>55</v>
      </c>
      <c r="B29" s="1">
        <v>0</v>
      </c>
      <c r="C29" s="1">
        <v>0</v>
      </c>
      <c r="D29" s="1">
        <v>0</v>
      </c>
      <c r="E29" s="1">
        <v>182884380000</v>
      </c>
      <c r="F29" s="1">
        <v>217332999000</v>
      </c>
      <c r="G29" s="1">
        <v>191569400000</v>
      </c>
      <c r="H29" s="1">
        <v>0</v>
      </c>
      <c r="I29" s="1">
        <v>110302021000</v>
      </c>
      <c r="J29" s="1">
        <v>139222213000</v>
      </c>
      <c r="K29" s="1">
        <v>128134600000</v>
      </c>
      <c r="L29" s="1">
        <v>102953391000</v>
      </c>
      <c r="M29" s="1">
        <v>70060259000</v>
      </c>
      <c r="N29" s="1">
        <v>157215093000</v>
      </c>
      <c r="O29" s="1">
        <v>163138600000</v>
      </c>
      <c r="P29" s="1">
        <v>76005324000</v>
      </c>
      <c r="Q29" s="1">
        <v>62063783000</v>
      </c>
      <c r="R29" s="1">
        <v>87693132000</v>
      </c>
      <c r="S29" s="1">
        <v>78496600000</v>
      </c>
      <c r="T29" s="1">
        <v>33614402000</v>
      </c>
      <c r="U29" s="1">
        <v>51832000000</v>
      </c>
      <c r="V29" s="1">
        <v>74018602000</v>
      </c>
      <c r="W29" s="1">
        <v>68656700000</v>
      </c>
      <c r="X29" s="1">
        <v>33705272000</v>
      </c>
      <c r="Y29" s="1">
        <v>33020177000</v>
      </c>
      <c r="Z29" s="1">
        <v>47565681000</v>
      </c>
      <c r="AA29" s="1">
        <v>40094300000</v>
      </c>
      <c r="AB29" s="1">
        <v>33205431000</v>
      </c>
      <c r="AC29" s="1">
        <v>22068494000</v>
      </c>
      <c r="AD29" s="1">
        <v>45719763000</v>
      </c>
      <c r="AE29" s="1">
        <v>55281600000</v>
      </c>
      <c r="AF29" s="1">
        <v>39157673000</v>
      </c>
      <c r="AG29" s="1">
        <v>28789175000</v>
      </c>
      <c r="AH29" s="1">
        <v>44096800000</v>
      </c>
      <c r="AI29" s="1">
        <v>61662800000</v>
      </c>
      <c r="AJ29" s="1">
        <v>20663395000</v>
      </c>
      <c r="AK29" s="1">
        <v>33463459000</v>
      </c>
      <c r="AL29" s="1">
        <v>52874433000</v>
      </c>
      <c r="AM29" s="1">
        <v>70352800000</v>
      </c>
      <c r="AN29" s="1">
        <v>27970532000</v>
      </c>
      <c r="AO29" s="1">
        <v>31168780000</v>
      </c>
      <c r="AP29" s="1">
        <v>41474426000</v>
      </c>
      <c r="AQ29" s="1">
        <v>60444700000</v>
      </c>
      <c r="AR29" s="1">
        <v>24464158000</v>
      </c>
      <c r="AS29" s="1">
        <v>30335340000</v>
      </c>
      <c r="AT29" s="1">
        <v>38954401000</v>
      </c>
      <c r="AU29" s="1">
        <v>52388100000</v>
      </c>
      <c r="AV29" s="1">
        <v>19412953000</v>
      </c>
      <c r="AW29" s="1">
        <v>17585111000</v>
      </c>
      <c r="AX29" s="1">
        <v>28433542000</v>
      </c>
      <c r="AY29" s="1">
        <v>36759400000</v>
      </c>
      <c r="AZ29" s="1">
        <v>17025992000</v>
      </c>
      <c r="BA29" s="1">
        <v>11125990000</v>
      </c>
      <c r="BB29" s="1">
        <v>20164514000</v>
      </c>
      <c r="BC29" s="1">
        <v>25264900000</v>
      </c>
      <c r="BD29" s="1">
        <v>10855245000</v>
      </c>
      <c r="BE29" s="1">
        <v>6787548000</v>
      </c>
      <c r="BF29" s="1">
        <v>13511557000</v>
      </c>
      <c r="BG29" s="1">
        <v>13464400000</v>
      </c>
      <c r="BH29" s="1">
        <v>7692817000</v>
      </c>
      <c r="BI29" s="1">
        <v>6104840000</v>
      </c>
      <c r="BJ29" s="1">
        <v>9844973000</v>
      </c>
      <c r="BK29" s="1">
        <v>7184700000</v>
      </c>
      <c r="BL29" s="1">
        <v>5303113000</v>
      </c>
      <c r="BM29" s="1">
        <v>3521100000</v>
      </c>
      <c r="BN29" s="1">
        <v>11057936000</v>
      </c>
      <c r="BO29" s="1">
        <v>8800300000</v>
      </c>
      <c r="BP29" s="1">
        <v>5749028000</v>
      </c>
      <c r="BQ29" s="1">
        <v>0</v>
      </c>
      <c r="BR29" s="1">
        <v>9835673000</v>
      </c>
      <c r="BS29" s="1">
        <v>9331800000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</row>
    <row r="30" spans="1:79" x14ac:dyDescent="0.2">
      <c r="A30" s="1" t="s">
        <v>54</v>
      </c>
      <c r="B30" s="1">
        <v>50414358000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86742915000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</row>
    <row r="31" spans="1:79" x14ac:dyDescent="0.2">
      <c r="A31" s="1" t="s">
        <v>53</v>
      </c>
      <c r="B31" s="1">
        <v>1403821738000</v>
      </c>
      <c r="C31" s="1">
        <v>1125206400000</v>
      </c>
      <c r="D31" s="1">
        <v>939825360000</v>
      </c>
      <c r="E31" s="1">
        <v>949518365000</v>
      </c>
      <c r="F31" s="1">
        <v>845974022000</v>
      </c>
      <c r="G31" s="1">
        <v>791792800000</v>
      </c>
      <c r="H31" s="1">
        <v>858989806000</v>
      </c>
      <c r="I31" s="1">
        <v>716030823000</v>
      </c>
      <c r="J31" s="1">
        <v>690853489000</v>
      </c>
      <c r="K31" s="1">
        <v>578165800000</v>
      </c>
      <c r="L31" s="1">
        <v>576661544000</v>
      </c>
      <c r="M31" s="1">
        <v>544095589000</v>
      </c>
      <c r="N31" s="1">
        <v>504157836000</v>
      </c>
      <c r="O31" s="1">
        <v>535731800000</v>
      </c>
      <c r="P31" s="1">
        <v>488071522000</v>
      </c>
      <c r="Q31" s="1">
        <v>449078371000</v>
      </c>
      <c r="R31" s="1">
        <v>419054983000</v>
      </c>
      <c r="S31" s="1">
        <v>367340400000</v>
      </c>
      <c r="T31" s="1">
        <v>333062026000</v>
      </c>
      <c r="U31" s="1">
        <v>321473500000</v>
      </c>
      <c r="V31" s="1">
        <v>304815403000</v>
      </c>
      <c r="W31" s="1">
        <v>275290400000</v>
      </c>
      <c r="X31" s="1">
        <v>259612619000</v>
      </c>
      <c r="Y31" s="1">
        <v>257095263000</v>
      </c>
      <c r="Z31" s="1">
        <v>247050044000</v>
      </c>
      <c r="AA31" s="1">
        <v>228365400000</v>
      </c>
      <c r="AB31" s="1">
        <v>247240002000</v>
      </c>
      <c r="AC31" s="1">
        <v>419095156000</v>
      </c>
      <c r="AD31" s="1">
        <v>151883446000</v>
      </c>
      <c r="AE31" s="1">
        <v>101786200000</v>
      </c>
      <c r="AF31" s="1">
        <v>121174074000</v>
      </c>
      <c r="AG31" s="1">
        <v>334058111000</v>
      </c>
      <c r="AH31" s="1">
        <v>165761133000</v>
      </c>
      <c r="AI31" s="1">
        <v>118922900000</v>
      </c>
      <c r="AJ31" s="1">
        <v>147907771000</v>
      </c>
      <c r="AK31" s="1">
        <v>360411741000</v>
      </c>
      <c r="AL31" s="1">
        <v>133286571000</v>
      </c>
      <c r="AM31" s="1">
        <v>92658200000</v>
      </c>
      <c r="AN31" s="1">
        <v>108209411000</v>
      </c>
      <c r="AO31" s="1">
        <v>258611262000</v>
      </c>
      <c r="AP31" s="1">
        <v>107261744000</v>
      </c>
      <c r="AQ31" s="1">
        <v>71755800000</v>
      </c>
      <c r="AR31" s="1">
        <v>91265263000</v>
      </c>
      <c r="AS31" s="1">
        <v>210067289000</v>
      </c>
      <c r="AT31" s="1">
        <v>83959025000</v>
      </c>
      <c r="AU31" s="1">
        <v>87379300000</v>
      </c>
      <c r="AV31" s="1">
        <v>67849187000</v>
      </c>
      <c r="AW31" s="1">
        <v>139671499000</v>
      </c>
      <c r="AX31" s="1">
        <v>52277871000</v>
      </c>
      <c r="AY31" s="1">
        <v>47089100000</v>
      </c>
      <c r="AZ31" s="1">
        <v>41345402000</v>
      </c>
      <c r="BA31" s="1">
        <v>125763771000</v>
      </c>
      <c r="BB31" s="1">
        <v>41003433000</v>
      </c>
      <c r="BC31" s="1">
        <v>38673100000</v>
      </c>
      <c r="BD31" s="1">
        <v>64549480000</v>
      </c>
      <c r="BE31" s="1">
        <v>160034788000</v>
      </c>
      <c r="BF31" s="1">
        <v>64645496000</v>
      </c>
      <c r="BG31" s="1">
        <v>34858900000</v>
      </c>
      <c r="BH31" s="1">
        <v>50957443000</v>
      </c>
      <c r="BI31" s="1">
        <v>150032302000</v>
      </c>
      <c r="BJ31" s="1">
        <v>66572182000</v>
      </c>
      <c r="BK31" s="1">
        <v>72446900000</v>
      </c>
      <c r="BL31" s="1">
        <v>53676913000</v>
      </c>
      <c r="BM31" s="1">
        <v>132042661000</v>
      </c>
      <c r="BN31" s="1">
        <v>55330886000</v>
      </c>
      <c r="BO31" s="1">
        <v>29553500000</v>
      </c>
      <c r="BP31" s="1">
        <v>39665847000</v>
      </c>
      <c r="BQ31" s="1">
        <v>119216000000</v>
      </c>
      <c r="BR31" s="1">
        <v>30224971000</v>
      </c>
      <c r="BS31" s="1">
        <v>33614200000</v>
      </c>
      <c r="BT31" s="1">
        <v>53587212000</v>
      </c>
      <c r="BU31" s="1">
        <v>125559229000</v>
      </c>
      <c r="BV31" s="1">
        <v>51660739000</v>
      </c>
      <c r="BW31" s="1">
        <v>36842446000</v>
      </c>
      <c r="BX31" s="1">
        <v>33474027000</v>
      </c>
      <c r="BY31" s="1">
        <v>118086453000</v>
      </c>
      <c r="BZ31" s="1">
        <v>30250877000</v>
      </c>
      <c r="CA31" s="1">
        <v>99154533000</v>
      </c>
    </row>
    <row r="32" spans="1:79" x14ac:dyDescent="0.2">
      <c r="A32" s="6" t="s">
        <v>52</v>
      </c>
      <c r="B32" s="4">
        <v>1713878103000</v>
      </c>
      <c r="C32" s="4">
        <v>1522414000000</v>
      </c>
      <c r="D32" s="4">
        <v>1275906624000</v>
      </c>
      <c r="E32" s="4">
        <v>1377314334000</v>
      </c>
      <c r="F32" s="4">
        <v>1399802998000</v>
      </c>
      <c r="G32" s="4">
        <v>1308655900000</v>
      </c>
      <c r="H32" s="4">
        <v>1080399099000</v>
      </c>
      <c r="I32" s="4">
        <v>1048915680000</v>
      </c>
      <c r="J32" s="4">
        <v>1026180079000</v>
      </c>
      <c r="K32" s="4">
        <v>942805100000</v>
      </c>
      <c r="L32" s="4">
        <v>970034816000</v>
      </c>
      <c r="M32" s="4">
        <v>810829007000</v>
      </c>
      <c r="N32" s="4">
        <v>873089921000</v>
      </c>
      <c r="O32" s="4">
        <v>986563600000</v>
      </c>
      <c r="P32" s="4">
        <v>807431287000</v>
      </c>
      <c r="Q32" s="4">
        <v>845240981000</v>
      </c>
      <c r="R32" s="4">
        <v>822867707000</v>
      </c>
      <c r="S32" s="4">
        <v>758352800000</v>
      </c>
      <c r="T32" s="4">
        <v>655621450000</v>
      </c>
      <c r="U32" s="4">
        <v>659558300000</v>
      </c>
      <c r="V32" s="4">
        <v>661648612000</v>
      </c>
      <c r="W32" s="4">
        <v>631898400000</v>
      </c>
      <c r="X32" s="4">
        <v>588241723000</v>
      </c>
      <c r="Y32" s="4">
        <v>614795728000</v>
      </c>
      <c r="Z32" s="4">
        <v>589468059000</v>
      </c>
      <c r="AA32" s="4">
        <v>598363800000</v>
      </c>
      <c r="AB32" s="4">
        <v>494781125000</v>
      </c>
      <c r="AC32" s="4">
        <v>622256378000</v>
      </c>
      <c r="AD32" s="4">
        <v>378267634000</v>
      </c>
      <c r="AE32" s="4">
        <v>356837100000</v>
      </c>
      <c r="AF32" s="4">
        <v>321630202000</v>
      </c>
      <c r="AG32" s="4">
        <v>462997164000</v>
      </c>
      <c r="AH32" s="4">
        <v>342235242000</v>
      </c>
      <c r="AI32" s="4">
        <v>386890200000</v>
      </c>
      <c r="AJ32" s="4">
        <v>298522304000</v>
      </c>
      <c r="AK32" s="4">
        <v>523507145000</v>
      </c>
      <c r="AL32" s="4">
        <v>321580524000</v>
      </c>
      <c r="AM32" s="4">
        <v>348286000000</v>
      </c>
      <c r="AN32" s="4">
        <v>257555112000</v>
      </c>
      <c r="AO32" s="4">
        <v>398739054000</v>
      </c>
      <c r="AP32" s="4">
        <v>235893223000</v>
      </c>
      <c r="AQ32" s="4">
        <v>239772100000</v>
      </c>
      <c r="AR32" s="4">
        <v>201689370000</v>
      </c>
      <c r="AS32" s="4">
        <v>309379741000</v>
      </c>
      <c r="AT32" s="4">
        <v>187565145000</v>
      </c>
      <c r="AU32" s="4">
        <v>224785200000</v>
      </c>
      <c r="AV32" s="4">
        <v>172248167000</v>
      </c>
      <c r="AW32" s="4">
        <v>246635077000</v>
      </c>
      <c r="AX32" s="4">
        <v>174397164000</v>
      </c>
      <c r="AY32" s="4">
        <v>203974000000</v>
      </c>
      <c r="AZ32" s="4">
        <v>148284188000</v>
      </c>
      <c r="BA32" s="4">
        <v>243631467000</v>
      </c>
      <c r="BB32" s="4">
        <v>158206324000</v>
      </c>
      <c r="BC32" s="4">
        <v>158103200000</v>
      </c>
      <c r="BD32" s="4">
        <v>119052483000</v>
      </c>
      <c r="BE32" s="4">
        <v>211846915000</v>
      </c>
      <c r="BF32" s="4">
        <v>126200641000</v>
      </c>
      <c r="BG32" s="4">
        <v>124883300000</v>
      </c>
      <c r="BH32" s="4">
        <v>108364557000</v>
      </c>
      <c r="BI32" s="4">
        <v>205488601000</v>
      </c>
      <c r="BJ32" s="4">
        <v>127257413000</v>
      </c>
      <c r="BK32" s="4">
        <v>123191100000</v>
      </c>
      <c r="BL32" s="4">
        <v>109235939000</v>
      </c>
      <c r="BM32" s="4">
        <v>166265301000</v>
      </c>
      <c r="BN32" s="4">
        <v>78174856000</v>
      </c>
      <c r="BO32" s="4">
        <v>79133300000</v>
      </c>
      <c r="BP32" s="4">
        <v>55008722000</v>
      </c>
      <c r="BQ32" s="4">
        <v>129630000000</v>
      </c>
      <c r="BR32" s="4">
        <v>45374980000</v>
      </c>
      <c r="BS32" s="4">
        <v>56806800000</v>
      </c>
      <c r="BT32" s="4">
        <v>61972690000</v>
      </c>
      <c r="BU32" s="4">
        <v>142271488000</v>
      </c>
      <c r="BV32" s="4">
        <v>61992887000</v>
      </c>
      <c r="BW32" s="4">
        <v>48712458000</v>
      </c>
      <c r="BX32" s="4">
        <v>50781436000</v>
      </c>
      <c r="BY32" s="4">
        <v>132625743000</v>
      </c>
      <c r="BZ32" s="4">
        <v>45144635000</v>
      </c>
      <c r="CA32" s="4">
        <v>110340203000</v>
      </c>
    </row>
    <row r="34" spans="1:79" x14ac:dyDescent="0.2">
      <c r="A34" s="1" t="s">
        <v>51</v>
      </c>
      <c r="B34" s="1">
        <v>934322357000</v>
      </c>
      <c r="C34" s="1">
        <v>927657000000</v>
      </c>
      <c r="D34" s="1">
        <v>949207252000</v>
      </c>
      <c r="E34" s="1">
        <v>915035099000</v>
      </c>
      <c r="F34" s="1">
        <v>1016105720000</v>
      </c>
      <c r="G34" s="1">
        <v>987184200000</v>
      </c>
      <c r="H34" s="1">
        <v>962193148000</v>
      </c>
      <c r="I34" s="1">
        <v>1002565544000</v>
      </c>
      <c r="J34" s="1">
        <v>994027584000</v>
      </c>
      <c r="K34" s="1">
        <v>946964600000</v>
      </c>
      <c r="L34" s="1">
        <v>966907798000</v>
      </c>
      <c r="M34" s="1">
        <v>937056070000</v>
      </c>
      <c r="N34" s="1">
        <v>884770024000</v>
      </c>
      <c r="O34" s="1">
        <v>868860500000</v>
      </c>
      <c r="P34" s="1">
        <v>875624002000</v>
      </c>
      <c r="Q34" s="1">
        <v>779719008000</v>
      </c>
      <c r="R34" s="1">
        <v>653803868000</v>
      </c>
      <c r="S34" s="1">
        <v>634143900000</v>
      </c>
      <c r="T34" s="1">
        <v>484258621000</v>
      </c>
      <c r="U34" s="1">
        <v>434666600000</v>
      </c>
      <c r="V34" s="1">
        <v>300536891000</v>
      </c>
      <c r="W34" s="1">
        <v>276633300000</v>
      </c>
      <c r="X34" s="1">
        <v>247208692000</v>
      </c>
      <c r="Y34" s="1">
        <v>101604554000</v>
      </c>
      <c r="Z34" s="1">
        <v>65965813000</v>
      </c>
      <c r="AA34" s="1">
        <v>40141800000</v>
      </c>
      <c r="AB34" s="1">
        <v>40131539000</v>
      </c>
      <c r="AC34" s="1">
        <v>50705489000</v>
      </c>
      <c r="AD34" s="1">
        <v>52207533000</v>
      </c>
      <c r="AE34" s="1">
        <v>56900000000</v>
      </c>
      <c r="AF34" s="1">
        <v>56900000000</v>
      </c>
      <c r="AG34" s="1">
        <v>83400000000</v>
      </c>
      <c r="AH34" s="1">
        <v>83400000000</v>
      </c>
      <c r="AI34" s="1">
        <v>91800000000</v>
      </c>
      <c r="AJ34" s="1">
        <v>91814520000</v>
      </c>
      <c r="AK34" s="1">
        <v>99316940000</v>
      </c>
      <c r="AL34" s="1">
        <v>134218129000</v>
      </c>
      <c r="AM34" s="1">
        <v>153115400000</v>
      </c>
      <c r="AN34" s="1">
        <v>152163165000</v>
      </c>
      <c r="AO34" s="1">
        <v>181302511000</v>
      </c>
      <c r="AP34" s="1">
        <v>181181058000</v>
      </c>
      <c r="AQ34" s="1">
        <v>191997600000</v>
      </c>
      <c r="AR34" s="1">
        <v>192005754000</v>
      </c>
      <c r="AS34" s="1">
        <v>202661120000</v>
      </c>
      <c r="AT34" s="1">
        <v>214048383000</v>
      </c>
      <c r="AU34" s="1">
        <v>214515900000</v>
      </c>
      <c r="AV34" s="1">
        <v>212610548000</v>
      </c>
      <c r="AW34" s="1">
        <v>211654450000</v>
      </c>
      <c r="AX34" s="1">
        <v>212621376000</v>
      </c>
      <c r="AY34" s="1">
        <v>211583800000</v>
      </c>
      <c r="AZ34" s="1">
        <v>211215166000</v>
      </c>
      <c r="BA34" s="1">
        <v>170561448000</v>
      </c>
      <c r="BB34" s="1">
        <v>127093935000</v>
      </c>
      <c r="BC34" s="1">
        <v>82107500000</v>
      </c>
      <c r="BD34" s="1">
        <v>77730784000</v>
      </c>
      <c r="BE34" s="1">
        <v>37388564000</v>
      </c>
      <c r="BF34" s="1">
        <v>37299181000</v>
      </c>
      <c r="BG34" s="1">
        <v>20458500000</v>
      </c>
      <c r="BH34" s="1">
        <v>20343887000</v>
      </c>
      <c r="BI34" s="1">
        <v>2170865000</v>
      </c>
      <c r="BJ34" s="1">
        <v>1718965000</v>
      </c>
      <c r="BK34" s="1">
        <v>5496600000</v>
      </c>
      <c r="BL34" s="1">
        <v>5569999000</v>
      </c>
      <c r="BM34" s="1">
        <v>12605519000</v>
      </c>
      <c r="BN34" s="1">
        <v>11286072000</v>
      </c>
      <c r="BO34" s="1">
        <v>5786100000</v>
      </c>
      <c r="BP34" s="1">
        <v>14967865000</v>
      </c>
      <c r="BQ34" s="1">
        <v>4500000000</v>
      </c>
      <c r="BR34" s="1">
        <v>16627961000</v>
      </c>
      <c r="BS34" s="1">
        <v>16191000000</v>
      </c>
      <c r="BT34" s="1">
        <v>6736528000</v>
      </c>
      <c r="BU34" s="1">
        <v>4494126000</v>
      </c>
      <c r="BV34" s="1">
        <v>4497523000</v>
      </c>
      <c r="BW34" s="1">
        <v>14886164000</v>
      </c>
      <c r="BX34" s="1">
        <v>12483498000</v>
      </c>
      <c r="BY34" s="1">
        <v>14392530000</v>
      </c>
      <c r="BZ34" s="1">
        <v>12510757000</v>
      </c>
      <c r="CA34" s="1">
        <v>18253319000</v>
      </c>
    </row>
    <row r="35" spans="1:79" x14ac:dyDescent="0.2">
      <c r="A35" s="1" t="s">
        <v>50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641546000</v>
      </c>
      <c r="U35" s="1">
        <v>392400000</v>
      </c>
      <c r="V35" s="1">
        <v>349500000</v>
      </c>
      <c r="W35" s="1">
        <v>265600000</v>
      </c>
      <c r="X35" s="1">
        <v>167727000</v>
      </c>
      <c r="Y35" s="1">
        <v>171622000</v>
      </c>
      <c r="Z35" s="1">
        <v>176664000</v>
      </c>
      <c r="AA35" s="1">
        <v>176900000</v>
      </c>
      <c r="AB35" s="1">
        <v>210198000</v>
      </c>
      <c r="AC35" s="1">
        <v>210970000</v>
      </c>
      <c r="AD35" s="1">
        <v>1820748000</v>
      </c>
      <c r="AE35" s="1">
        <v>3353300000</v>
      </c>
      <c r="AF35" s="1">
        <v>4445580000</v>
      </c>
      <c r="AG35" s="1">
        <v>5365159000</v>
      </c>
      <c r="AH35" s="1">
        <v>5991361000</v>
      </c>
      <c r="AI35" s="1">
        <v>7586800000</v>
      </c>
      <c r="AJ35" s="1">
        <v>9243250000</v>
      </c>
      <c r="AK35" s="1">
        <v>10818377000</v>
      </c>
      <c r="AL35" s="1">
        <v>12321468000</v>
      </c>
      <c r="AM35" s="1">
        <v>14670400000</v>
      </c>
      <c r="AN35" s="1">
        <v>15872972000</v>
      </c>
      <c r="AO35" s="1">
        <v>17950414000</v>
      </c>
      <c r="AP35" s="1">
        <v>19492280000</v>
      </c>
      <c r="AQ35" s="1">
        <v>21564800000</v>
      </c>
      <c r="AR35" s="1">
        <v>23208034000</v>
      </c>
      <c r="AS35" s="1">
        <v>21916587000</v>
      </c>
      <c r="AT35" s="1">
        <v>23715049000</v>
      </c>
      <c r="AU35" s="1">
        <v>25538500000</v>
      </c>
      <c r="AV35" s="1">
        <v>0</v>
      </c>
      <c r="AW35" s="1">
        <v>0</v>
      </c>
      <c r="AX35" s="1">
        <v>0</v>
      </c>
      <c r="AY35" s="1">
        <v>151700000</v>
      </c>
      <c r="AZ35" s="1">
        <v>149622000</v>
      </c>
      <c r="BA35" s="1">
        <v>166112000</v>
      </c>
      <c r="BB35" s="1">
        <v>184780000</v>
      </c>
      <c r="BC35" s="1">
        <v>203900000</v>
      </c>
      <c r="BD35" s="1">
        <v>0</v>
      </c>
      <c r="BE35" s="1">
        <v>0</v>
      </c>
      <c r="BF35" s="1">
        <v>0</v>
      </c>
      <c r="BG35" s="1">
        <v>444000000</v>
      </c>
      <c r="BH35" s="1">
        <v>0</v>
      </c>
      <c r="BI35" s="1">
        <v>0</v>
      </c>
      <c r="BJ35" s="1">
        <v>0</v>
      </c>
      <c r="BK35" s="1">
        <v>789100000</v>
      </c>
      <c r="BL35" s="1">
        <v>0</v>
      </c>
      <c r="BM35" s="1">
        <v>0</v>
      </c>
      <c r="BN35" s="1">
        <v>0</v>
      </c>
      <c r="BO35" s="1">
        <v>1006000000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</row>
    <row r="36" spans="1:79" x14ac:dyDescent="0.2">
      <c r="A36" s="1" t="s">
        <v>49</v>
      </c>
      <c r="B36" s="1">
        <v>3880906000</v>
      </c>
      <c r="C36" s="1">
        <v>3888800000</v>
      </c>
      <c r="D36" s="1">
        <v>3961495000</v>
      </c>
      <c r="E36" s="1">
        <v>3954595000</v>
      </c>
      <c r="F36" s="1">
        <v>3968524000</v>
      </c>
      <c r="G36" s="1">
        <v>3988500000</v>
      </c>
      <c r="H36" s="1">
        <v>61237000</v>
      </c>
      <c r="I36" s="1">
        <v>57243000</v>
      </c>
      <c r="J36" s="1">
        <v>42863000</v>
      </c>
      <c r="K36" s="1">
        <v>53800000</v>
      </c>
      <c r="L36" s="1">
        <v>212549000</v>
      </c>
      <c r="M36" s="1">
        <v>373563000</v>
      </c>
      <c r="N36" s="1">
        <v>726005000</v>
      </c>
      <c r="O36" s="1">
        <v>1031400000</v>
      </c>
      <c r="P36" s="1">
        <v>1466389000</v>
      </c>
      <c r="Q36" s="1">
        <v>940675000</v>
      </c>
      <c r="R36" s="1">
        <v>1899315000</v>
      </c>
      <c r="S36" s="1">
        <v>1873900000</v>
      </c>
      <c r="T36" s="1">
        <v>2306909000</v>
      </c>
      <c r="U36" s="1">
        <v>2142800000</v>
      </c>
      <c r="V36" s="1">
        <v>1895572000</v>
      </c>
      <c r="W36" s="1">
        <v>1729900000</v>
      </c>
      <c r="X36" s="1">
        <v>1022263000</v>
      </c>
      <c r="Y36" s="1">
        <v>354306000</v>
      </c>
      <c r="Z36" s="1">
        <v>356609000</v>
      </c>
      <c r="AA36" s="1">
        <v>344400000</v>
      </c>
      <c r="AB36" s="1">
        <v>115856000</v>
      </c>
      <c r="AC36" s="1">
        <v>147176000</v>
      </c>
      <c r="AD36" s="1">
        <v>204933000</v>
      </c>
      <c r="AE36" s="1">
        <v>233300000</v>
      </c>
      <c r="AF36" s="1">
        <v>254887000</v>
      </c>
      <c r="AG36" s="1">
        <v>242158000</v>
      </c>
      <c r="AH36" s="1">
        <v>285644000</v>
      </c>
      <c r="AI36" s="1">
        <v>302200000</v>
      </c>
      <c r="AJ36" s="1">
        <v>120360000</v>
      </c>
      <c r="AK36" s="1">
        <v>160709000</v>
      </c>
      <c r="AL36" s="1">
        <v>90944000</v>
      </c>
      <c r="AM36" s="1">
        <v>141200000</v>
      </c>
      <c r="AN36" s="1">
        <v>37510000</v>
      </c>
      <c r="AO36" s="1">
        <v>3631000</v>
      </c>
      <c r="AP36" s="1">
        <v>13831000</v>
      </c>
      <c r="AQ36" s="1">
        <v>31300000</v>
      </c>
      <c r="AR36" s="1">
        <v>153932000</v>
      </c>
      <c r="AS36" s="1">
        <v>232340000</v>
      </c>
      <c r="AT36" s="1">
        <v>159538000</v>
      </c>
      <c r="AU36" s="1">
        <v>199700000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</row>
    <row r="37" spans="1:79" x14ac:dyDescent="0.2">
      <c r="A37" s="1" t="s">
        <v>48</v>
      </c>
      <c r="B37" s="1">
        <v>75881965000</v>
      </c>
      <c r="C37" s="1">
        <v>82663500000</v>
      </c>
      <c r="D37" s="1">
        <v>89453903000</v>
      </c>
      <c r="E37" s="1">
        <v>93413671000</v>
      </c>
      <c r="F37" s="1">
        <v>111785721000</v>
      </c>
      <c r="G37" s="1">
        <v>112664500000</v>
      </c>
      <c r="H37" s="1">
        <v>98968065000</v>
      </c>
      <c r="I37" s="1">
        <v>110677342000</v>
      </c>
      <c r="J37" s="1">
        <v>101924302000</v>
      </c>
      <c r="K37" s="1">
        <v>188506600000</v>
      </c>
      <c r="L37" s="1">
        <v>174583111000</v>
      </c>
      <c r="M37" s="1">
        <v>195738206000</v>
      </c>
      <c r="N37" s="1">
        <v>194360800000</v>
      </c>
      <c r="O37" s="1">
        <v>190171200000</v>
      </c>
      <c r="P37" s="1">
        <v>206463929000</v>
      </c>
      <c r="Q37" s="1">
        <v>209578546000</v>
      </c>
      <c r="R37" s="1">
        <v>192637023000</v>
      </c>
      <c r="S37" s="1">
        <v>179249100000</v>
      </c>
      <c r="T37" s="1">
        <v>111163048000</v>
      </c>
      <c r="U37" s="1">
        <v>13893800000</v>
      </c>
      <c r="V37" s="1">
        <v>13703924000</v>
      </c>
      <c r="W37" s="1">
        <v>14309500000</v>
      </c>
      <c r="X37" s="1">
        <v>10665434000</v>
      </c>
      <c r="Y37" s="1">
        <v>10524930000</v>
      </c>
      <c r="Z37" s="1">
        <v>10300020000</v>
      </c>
      <c r="AA37" s="1">
        <v>11310800000</v>
      </c>
      <c r="AB37" s="1">
        <v>11498731000</v>
      </c>
      <c r="AC37" s="1">
        <v>11602131000</v>
      </c>
      <c r="AD37" s="1">
        <v>11418335000</v>
      </c>
      <c r="AE37" s="1">
        <v>11602400000</v>
      </c>
      <c r="AF37" s="1">
        <v>10828118000</v>
      </c>
      <c r="AG37" s="1">
        <v>10773188000</v>
      </c>
      <c r="AH37" s="1">
        <v>10638530000</v>
      </c>
      <c r="AI37" s="1">
        <v>18595300000</v>
      </c>
      <c r="AJ37" s="1">
        <v>10311259000</v>
      </c>
      <c r="AK37" s="1">
        <v>10264961000</v>
      </c>
      <c r="AL37" s="1">
        <v>10142671000</v>
      </c>
      <c r="AM37" s="1">
        <v>25049500000</v>
      </c>
      <c r="AN37" s="1">
        <v>9165355000</v>
      </c>
      <c r="AO37" s="1">
        <v>9164972000</v>
      </c>
      <c r="AP37" s="1">
        <v>8999168000</v>
      </c>
      <c r="AQ37" s="1">
        <v>9061500000</v>
      </c>
      <c r="AR37" s="1">
        <v>8166776000</v>
      </c>
      <c r="AS37" s="1">
        <v>8035723000</v>
      </c>
      <c r="AT37" s="1">
        <v>7491187000</v>
      </c>
      <c r="AU37" s="1">
        <v>7453000000</v>
      </c>
      <c r="AV37" s="1">
        <v>8577874000</v>
      </c>
      <c r="AW37" s="1">
        <v>9794946000</v>
      </c>
      <c r="AX37" s="1">
        <v>13722640000</v>
      </c>
      <c r="AY37" s="1">
        <v>12978200000</v>
      </c>
      <c r="AZ37" s="1">
        <v>13716478000</v>
      </c>
      <c r="BA37" s="1">
        <v>9290156000</v>
      </c>
      <c r="BB37" s="1">
        <v>7495602000</v>
      </c>
      <c r="BC37" s="1">
        <v>7334800000</v>
      </c>
      <c r="BD37" s="1">
        <v>4722446000</v>
      </c>
      <c r="BE37" s="1">
        <v>4612926000</v>
      </c>
      <c r="BF37" s="1">
        <v>4808154000</v>
      </c>
      <c r="BG37" s="1">
        <v>6497200000</v>
      </c>
      <c r="BH37" s="1">
        <v>4809433000</v>
      </c>
      <c r="BI37" s="1">
        <v>7793682000</v>
      </c>
      <c r="BJ37" s="1">
        <v>8757629000</v>
      </c>
      <c r="BK37" s="1">
        <v>10747700000</v>
      </c>
      <c r="BL37" s="1">
        <v>11842034000</v>
      </c>
      <c r="BM37" s="1">
        <v>5032035000</v>
      </c>
      <c r="BN37" s="1">
        <v>5063508000</v>
      </c>
      <c r="BO37" s="1">
        <v>9722300000</v>
      </c>
      <c r="BP37" s="1">
        <v>5293860000</v>
      </c>
      <c r="BQ37" s="1">
        <v>16060000000</v>
      </c>
      <c r="BR37" s="1">
        <v>5458694000</v>
      </c>
      <c r="BS37" s="1">
        <v>5546300000</v>
      </c>
      <c r="BT37" s="1">
        <v>15247291000</v>
      </c>
      <c r="BU37" s="1">
        <v>7061439000</v>
      </c>
      <c r="BV37" s="1">
        <v>17534263000</v>
      </c>
      <c r="BW37" s="1">
        <v>16605046000</v>
      </c>
      <c r="BX37" s="1">
        <v>18350416000</v>
      </c>
      <c r="BY37" s="1">
        <v>16806441000</v>
      </c>
      <c r="BZ37" s="1">
        <v>19394983000</v>
      </c>
      <c r="CA37" s="1">
        <v>17702730000</v>
      </c>
    </row>
    <row r="38" spans="1:79" x14ac:dyDescent="0.2">
      <c r="A38" s="6" t="s">
        <v>47</v>
      </c>
      <c r="B38" s="4">
        <v>1014084912000</v>
      </c>
      <c r="C38" s="4">
        <v>1014209300000</v>
      </c>
      <c r="D38" s="4">
        <v>1042622650000</v>
      </c>
      <c r="E38" s="4">
        <v>1012403365000</v>
      </c>
      <c r="F38" s="4">
        <v>1131859965000</v>
      </c>
      <c r="G38" s="4">
        <v>1103837200000</v>
      </c>
      <c r="H38" s="4">
        <v>1063336786000</v>
      </c>
      <c r="I38" s="4">
        <v>1113300129000</v>
      </c>
      <c r="J38" s="4">
        <v>1095994749000</v>
      </c>
      <c r="K38" s="4">
        <v>1135525000000</v>
      </c>
      <c r="L38" s="4">
        <v>1141703458000</v>
      </c>
      <c r="M38" s="4">
        <v>1133167839000</v>
      </c>
      <c r="N38" s="4">
        <v>1079856829000</v>
      </c>
      <c r="O38" s="4">
        <v>1060063100000</v>
      </c>
      <c r="P38" s="4">
        <v>1083554320000</v>
      </c>
      <c r="Q38" s="4">
        <v>990238229000</v>
      </c>
      <c r="R38" s="4">
        <v>848340206000</v>
      </c>
      <c r="S38" s="4">
        <v>815266900000</v>
      </c>
      <c r="T38" s="4">
        <v>598370124000</v>
      </c>
      <c r="U38" s="4">
        <v>451095600000</v>
      </c>
      <c r="V38" s="4">
        <v>316485887000</v>
      </c>
      <c r="W38" s="4">
        <v>292938300000</v>
      </c>
      <c r="X38" s="4">
        <v>259064116000</v>
      </c>
      <c r="Y38" s="4">
        <v>112655412000</v>
      </c>
      <c r="Z38" s="4">
        <v>76799106000</v>
      </c>
      <c r="AA38" s="4">
        <v>51973900000</v>
      </c>
      <c r="AB38" s="4">
        <v>51956324000</v>
      </c>
      <c r="AC38" s="4">
        <v>62665766000</v>
      </c>
      <c r="AD38" s="4">
        <v>65651549000</v>
      </c>
      <c r="AE38" s="4">
        <v>72089000000</v>
      </c>
      <c r="AF38" s="4">
        <v>72428585000</v>
      </c>
      <c r="AG38" s="4">
        <v>99780505000</v>
      </c>
      <c r="AH38" s="4">
        <v>100315535000</v>
      </c>
      <c r="AI38" s="4">
        <v>110395300000</v>
      </c>
      <c r="AJ38" s="4">
        <v>111489389000</v>
      </c>
      <c r="AK38" s="4">
        <v>120560987000</v>
      </c>
      <c r="AL38" s="4">
        <v>156773212000</v>
      </c>
      <c r="AM38" s="4">
        <v>178164900000</v>
      </c>
      <c r="AN38" s="4">
        <v>177239002000</v>
      </c>
      <c r="AO38" s="4">
        <v>208421528000</v>
      </c>
      <c r="AP38" s="4">
        <v>209686337000</v>
      </c>
      <c r="AQ38" s="4">
        <v>222655200000</v>
      </c>
      <c r="AR38" s="4">
        <v>223534496000</v>
      </c>
      <c r="AS38" s="4">
        <v>232845770000</v>
      </c>
      <c r="AT38" s="4">
        <v>245414157000</v>
      </c>
      <c r="AU38" s="4">
        <v>247707100000</v>
      </c>
      <c r="AV38" s="4">
        <v>221188422000</v>
      </c>
      <c r="AW38" s="4">
        <v>221449396000</v>
      </c>
      <c r="AX38" s="4">
        <v>226344016000</v>
      </c>
      <c r="AY38" s="4">
        <v>224713700000</v>
      </c>
      <c r="AZ38" s="4">
        <v>225081266000</v>
      </c>
      <c r="BA38" s="4">
        <v>180017716000</v>
      </c>
      <c r="BB38" s="4">
        <v>134774317000</v>
      </c>
      <c r="BC38" s="4">
        <v>89646200000</v>
      </c>
      <c r="BD38" s="4">
        <v>82453230000</v>
      </c>
      <c r="BE38" s="4">
        <v>42001490000</v>
      </c>
      <c r="BF38" s="4">
        <v>42107335000</v>
      </c>
      <c r="BG38" s="4">
        <v>27399700000</v>
      </c>
      <c r="BH38" s="4">
        <v>25153320000</v>
      </c>
      <c r="BI38" s="4">
        <v>9964547000</v>
      </c>
      <c r="BJ38" s="4">
        <v>10476594000</v>
      </c>
      <c r="BK38" s="4">
        <v>17033400000</v>
      </c>
      <c r="BL38" s="4">
        <v>17412033000</v>
      </c>
      <c r="BM38" s="4">
        <v>17637554000</v>
      </c>
      <c r="BN38" s="4">
        <v>16349580000</v>
      </c>
      <c r="BO38" s="4">
        <v>16514400000</v>
      </c>
      <c r="BP38" s="4">
        <v>20261725000</v>
      </c>
      <c r="BQ38" s="4">
        <v>20560000000</v>
      </c>
      <c r="BR38" s="4">
        <v>22086655000</v>
      </c>
      <c r="BS38" s="4">
        <v>21737300000</v>
      </c>
      <c r="BT38" s="4">
        <v>21983819000</v>
      </c>
      <c r="BU38" s="4">
        <v>11555565000</v>
      </c>
      <c r="BV38" s="4">
        <v>22031786000</v>
      </c>
      <c r="BW38" s="4">
        <v>31491210000</v>
      </c>
      <c r="BX38" s="4">
        <v>30833915000</v>
      </c>
      <c r="BY38" s="4">
        <v>31198972000</v>
      </c>
      <c r="BZ38" s="4">
        <v>31905739000</v>
      </c>
      <c r="CA38" s="4">
        <v>35956048000</v>
      </c>
    </row>
    <row r="40" spans="1:79" x14ac:dyDescent="0.2">
      <c r="A40" s="1" t="s">
        <v>46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</row>
    <row r="41" spans="1:79" x14ac:dyDescent="0.2">
      <c r="A41" s="6" t="s">
        <v>45</v>
      </c>
      <c r="B41" s="5">
        <v>2727963567000</v>
      </c>
      <c r="C41" s="5">
        <v>2536623300000</v>
      </c>
      <c r="D41" s="5">
        <v>2318529274000</v>
      </c>
      <c r="E41" s="5">
        <v>2389717699000</v>
      </c>
      <c r="F41" s="5">
        <v>2531662963000</v>
      </c>
      <c r="G41" s="5">
        <v>2412493100000</v>
      </c>
      <c r="H41" s="5">
        <v>2143735885000</v>
      </c>
      <c r="I41" s="5">
        <v>2162215809000</v>
      </c>
      <c r="J41" s="5">
        <v>2122174828000</v>
      </c>
      <c r="K41" s="5">
        <v>2078330100000</v>
      </c>
      <c r="L41" s="5">
        <v>2111738274000</v>
      </c>
      <c r="M41" s="5">
        <v>1943996846000</v>
      </c>
      <c r="N41" s="5">
        <v>1952946750000</v>
      </c>
      <c r="O41" s="5">
        <v>2046626700000</v>
      </c>
      <c r="P41" s="5">
        <v>1890985607000</v>
      </c>
      <c r="Q41" s="5">
        <v>1835479210000</v>
      </c>
      <c r="R41" s="5">
        <v>1671207913000</v>
      </c>
      <c r="S41" s="5">
        <v>1573619700000</v>
      </c>
      <c r="T41" s="5">
        <v>1253991574000</v>
      </c>
      <c r="U41" s="5">
        <v>1110653900000</v>
      </c>
      <c r="V41" s="5">
        <v>978134499000</v>
      </c>
      <c r="W41" s="5">
        <v>924836700000</v>
      </c>
      <c r="X41" s="5">
        <v>847305839000</v>
      </c>
      <c r="Y41" s="5">
        <v>727451140000</v>
      </c>
      <c r="Z41" s="5">
        <v>666267165000</v>
      </c>
      <c r="AA41" s="5">
        <v>650337700000</v>
      </c>
      <c r="AB41" s="5">
        <v>546737449000</v>
      </c>
      <c r="AC41" s="5">
        <v>684922144000</v>
      </c>
      <c r="AD41" s="5">
        <v>443919183000</v>
      </c>
      <c r="AE41" s="5">
        <v>428926100000</v>
      </c>
      <c r="AF41" s="5">
        <v>394058787000</v>
      </c>
      <c r="AG41" s="5">
        <v>562777669000</v>
      </c>
      <c r="AH41" s="5">
        <v>442550777000</v>
      </c>
      <c r="AI41" s="5">
        <v>497285500000</v>
      </c>
      <c r="AJ41" s="5">
        <v>410011693000</v>
      </c>
      <c r="AK41" s="5">
        <v>644068132000</v>
      </c>
      <c r="AL41" s="5">
        <v>478353736000</v>
      </c>
      <c r="AM41" s="5">
        <v>526450900000</v>
      </c>
      <c r="AN41" s="5">
        <v>434794114000</v>
      </c>
      <c r="AO41" s="5">
        <v>607160582000</v>
      </c>
      <c r="AP41" s="5">
        <v>445579560000</v>
      </c>
      <c r="AQ41" s="5">
        <v>462427300000</v>
      </c>
      <c r="AR41" s="5">
        <v>425223866000</v>
      </c>
      <c r="AS41" s="5">
        <v>542225511000</v>
      </c>
      <c r="AT41" s="5">
        <v>432979302000</v>
      </c>
      <c r="AU41" s="5">
        <v>472492300000</v>
      </c>
      <c r="AV41" s="5">
        <v>393436589000</v>
      </c>
      <c r="AW41" s="5">
        <v>468084473000</v>
      </c>
      <c r="AX41" s="5">
        <v>400741180000</v>
      </c>
      <c r="AY41" s="5">
        <v>428687700000</v>
      </c>
      <c r="AZ41" s="5">
        <v>373365454000</v>
      </c>
      <c r="BA41" s="5">
        <v>423649183000</v>
      </c>
      <c r="BB41" s="5">
        <v>292980641000</v>
      </c>
      <c r="BC41" s="5">
        <v>247749400000</v>
      </c>
      <c r="BD41" s="5">
        <v>201505713000</v>
      </c>
      <c r="BE41" s="5">
        <v>253848405000</v>
      </c>
      <c r="BF41" s="5">
        <v>168307976000</v>
      </c>
      <c r="BG41" s="5">
        <v>152283000000</v>
      </c>
      <c r="BH41" s="5">
        <v>133517877000</v>
      </c>
      <c r="BI41" s="5">
        <v>215453148000</v>
      </c>
      <c r="BJ41" s="5">
        <v>137734007000</v>
      </c>
      <c r="BK41" s="5">
        <v>140224500000</v>
      </c>
      <c r="BL41" s="5">
        <v>126647972000</v>
      </c>
      <c r="BM41" s="5">
        <v>183902855000</v>
      </c>
      <c r="BN41" s="5">
        <v>94524436000</v>
      </c>
      <c r="BO41" s="5">
        <v>95647700000</v>
      </c>
      <c r="BP41" s="5">
        <v>75270447000</v>
      </c>
      <c r="BQ41" s="5">
        <v>150190000000</v>
      </c>
      <c r="BR41" s="5">
        <v>67461635000</v>
      </c>
      <c r="BS41" s="5">
        <v>78544100000</v>
      </c>
      <c r="BT41" s="5">
        <v>83956509000</v>
      </c>
      <c r="BU41" s="5">
        <v>153827052000</v>
      </c>
      <c r="BV41" s="5">
        <v>84024673000</v>
      </c>
      <c r="BW41" s="5">
        <v>80203668000</v>
      </c>
      <c r="BX41" s="5">
        <v>81615351000</v>
      </c>
      <c r="BY41" s="5">
        <v>163824715000</v>
      </c>
      <c r="BZ41" s="5">
        <v>77050375000</v>
      </c>
      <c r="CA41" s="5">
        <v>146296251000</v>
      </c>
    </row>
    <row r="43" spans="1:79" x14ac:dyDescent="0.2">
      <c r="A43" s="1" t="s">
        <v>44</v>
      </c>
      <c r="B43" s="1">
        <v>259267220000</v>
      </c>
      <c r="C43" s="1">
        <v>259325300000</v>
      </c>
      <c r="D43" s="1">
        <v>259325245000</v>
      </c>
      <c r="E43" s="1">
        <v>0</v>
      </c>
      <c r="F43" s="1">
        <v>259326155000</v>
      </c>
      <c r="G43" s="1">
        <v>259327300000</v>
      </c>
      <c r="H43" s="1">
        <v>258741425000</v>
      </c>
      <c r="I43" s="1">
        <v>259336292000</v>
      </c>
      <c r="J43" s="1">
        <v>259336292000</v>
      </c>
      <c r="K43" s="1">
        <v>259320700000</v>
      </c>
      <c r="L43" s="1">
        <v>259320710000</v>
      </c>
      <c r="M43" s="1">
        <v>259320710000</v>
      </c>
      <c r="N43" s="1">
        <v>259320710000</v>
      </c>
      <c r="O43" s="1">
        <v>259303800000</v>
      </c>
      <c r="P43" s="1">
        <v>259303805000</v>
      </c>
      <c r="Q43" s="1">
        <v>259303805000</v>
      </c>
      <c r="R43" s="1">
        <v>259317675000</v>
      </c>
      <c r="S43" s="1">
        <v>259303800000</v>
      </c>
      <c r="T43" s="1">
        <v>259303805000</v>
      </c>
      <c r="U43" s="1">
        <v>259303800000</v>
      </c>
      <c r="V43" s="1">
        <v>259303805000</v>
      </c>
      <c r="W43" s="1">
        <v>259303800000</v>
      </c>
      <c r="X43" s="1">
        <v>259303805000</v>
      </c>
      <c r="Y43" s="1">
        <v>259303805000</v>
      </c>
      <c r="Z43" s="1">
        <v>259303805000</v>
      </c>
      <c r="AA43" s="1">
        <v>259303800000</v>
      </c>
      <c r="AB43" s="1">
        <v>259303805000</v>
      </c>
      <c r="AC43" s="1">
        <v>259303805000</v>
      </c>
      <c r="AD43" s="1">
        <v>259303805000</v>
      </c>
      <c r="AE43" s="1">
        <v>259303800000</v>
      </c>
      <c r="AF43" s="1">
        <v>259303805000</v>
      </c>
      <c r="AG43" s="1">
        <v>259303805000</v>
      </c>
      <c r="AH43" s="1">
        <v>259303805000</v>
      </c>
      <c r="AI43" s="1">
        <v>259303800000</v>
      </c>
      <c r="AJ43" s="1">
        <v>259303805000</v>
      </c>
      <c r="AK43" s="1">
        <v>259303805000</v>
      </c>
      <c r="AL43" s="1">
        <v>259303805000</v>
      </c>
      <c r="AM43" s="1">
        <v>259303800000</v>
      </c>
      <c r="AN43" s="1">
        <v>259303805000</v>
      </c>
      <c r="AO43" s="1">
        <v>259303805000</v>
      </c>
      <c r="AP43" s="1">
        <v>259303805000</v>
      </c>
      <c r="AQ43" s="1">
        <v>259303800000</v>
      </c>
      <c r="AR43" s="1">
        <v>259303805000</v>
      </c>
      <c r="AS43" s="1">
        <v>259303805000</v>
      </c>
      <c r="AT43" s="1">
        <v>259303020000</v>
      </c>
      <c r="AU43" s="1">
        <v>259296600000</v>
      </c>
      <c r="AV43" s="1">
        <v>259293750000</v>
      </c>
      <c r="AW43" s="1">
        <v>259293750000</v>
      </c>
      <c r="AX43" s="1">
        <v>259291239000</v>
      </c>
      <c r="AY43" s="1">
        <v>259286200000</v>
      </c>
      <c r="AZ43" s="1">
        <v>259283910000</v>
      </c>
      <c r="BA43" s="1">
        <v>259283058000</v>
      </c>
      <c r="BB43" s="1">
        <v>259282327000</v>
      </c>
      <c r="BC43" s="1">
        <v>259244400000</v>
      </c>
      <c r="BD43" s="1">
        <v>259220476000</v>
      </c>
      <c r="BE43" s="1">
        <v>259207094000</v>
      </c>
      <c r="BF43" s="1">
        <v>259206046000</v>
      </c>
      <c r="BG43" s="1">
        <v>259162200000</v>
      </c>
      <c r="BH43" s="1">
        <v>259151492000</v>
      </c>
      <c r="BI43" s="1">
        <v>259142831000</v>
      </c>
      <c r="BJ43" s="1">
        <v>259141933000</v>
      </c>
      <c r="BK43" s="1">
        <v>259100800000</v>
      </c>
      <c r="BL43" s="1">
        <v>259073440000</v>
      </c>
      <c r="BM43" s="1">
        <v>259050172000</v>
      </c>
      <c r="BN43" s="1">
        <v>259037692000</v>
      </c>
      <c r="BO43" s="1">
        <v>259027100000</v>
      </c>
      <c r="BP43" s="1">
        <v>259006623000</v>
      </c>
      <c r="BQ43" s="1">
        <v>258964000000</v>
      </c>
      <c r="BR43" s="1">
        <v>256260122000</v>
      </c>
      <c r="BS43" s="1">
        <v>256254400000</v>
      </c>
      <c r="BT43" s="1">
        <v>258366583000</v>
      </c>
      <c r="BU43" s="1">
        <v>261193556000</v>
      </c>
      <c r="BV43" s="1">
        <v>256146099000</v>
      </c>
      <c r="BW43" s="1">
        <v>264286168000</v>
      </c>
      <c r="BX43" s="1">
        <v>263685379000</v>
      </c>
      <c r="BY43" s="1">
        <v>264660340000</v>
      </c>
      <c r="BZ43" s="1">
        <v>258390153000</v>
      </c>
      <c r="CA43" s="1">
        <v>258326180000</v>
      </c>
    </row>
    <row r="44" spans="1:79" x14ac:dyDescent="0.2">
      <c r="A44" s="1" t="s">
        <v>43</v>
      </c>
      <c r="B44" s="1">
        <v>5192004934000</v>
      </c>
      <c r="C44" s="1">
        <v>5038944200000</v>
      </c>
      <c r="D44" s="1">
        <v>4260828797000</v>
      </c>
      <c r="E44" s="1">
        <v>4119740394000</v>
      </c>
      <c r="F44" s="1">
        <v>3851130370000</v>
      </c>
      <c r="G44" s="1">
        <v>3872973400000</v>
      </c>
      <c r="H44" s="1">
        <v>3346232342000</v>
      </c>
      <c r="I44" s="1">
        <v>3127527816000</v>
      </c>
      <c r="J44" s="1">
        <v>3294563704000</v>
      </c>
      <c r="K44" s="1">
        <v>3128639600000</v>
      </c>
      <c r="L44" s="1">
        <v>2682157537000</v>
      </c>
      <c r="M44" s="1">
        <v>2542569779000</v>
      </c>
      <c r="N44" s="1">
        <v>2773288070000</v>
      </c>
      <c r="O44" s="1">
        <v>2594891200000</v>
      </c>
      <c r="P44" s="1">
        <v>2066562035000</v>
      </c>
      <c r="Q44" s="1">
        <v>1844911241000</v>
      </c>
      <c r="R44" s="1">
        <v>2038261537000</v>
      </c>
      <c r="S44" s="1">
        <v>1887802900000</v>
      </c>
      <c r="T44" s="1">
        <v>1811273605000</v>
      </c>
      <c r="U44" s="1">
        <v>1714407300000</v>
      </c>
      <c r="V44" s="1">
        <v>1663271807000</v>
      </c>
      <c r="W44" s="1">
        <v>1573840100000</v>
      </c>
      <c r="X44" s="1">
        <v>1513976388000</v>
      </c>
      <c r="Y44" s="1">
        <v>1441491990000</v>
      </c>
      <c r="Z44" s="1">
        <v>1385495748000</v>
      </c>
      <c r="AA44" s="1">
        <v>1325630400000</v>
      </c>
      <c r="AB44" s="1">
        <v>1281906438000</v>
      </c>
      <c r="AC44" s="1">
        <v>1245575785000</v>
      </c>
      <c r="AD44" s="1">
        <v>1437946154000</v>
      </c>
      <c r="AE44" s="1">
        <v>1360258900000</v>
      </c>
      <c r="AF44" s="1">
        <v>1277737659000</v>
      </c>
      <c r="AG44" s="1">
        <v>1189470511000</v>
      </c>
      <c r="AH44" s="1">
        <v>1324689900000</v>
      </c>
      <c r="AI44" s="1">
        <v>1205051300000</v>
      </c>
      <c r="AJ44" s="1">
        <v>1134320860000</v>
      </c>
      <c r="AK44" s="1">
        <v>1044395423000</v>
      </c>
      <c r="AL44" s="1">
        <v>1159637067000</v>
      </c>
      <c r="AM44" s="1">
        <v>1041810700000</v>
      </c>
      <c r="AN44" s="1">
        <v>972758173000</v>
      </c>
      <c r="AO44" s="1">
        <v>875999117000</v>
      </c>
      <c r="AP44" s="1">
        <v>959075079000</v>
      </c>
      <c r="AQ44" s="1">
        <v>866629600000</v>
      </c>
      <c r="AR44" s="1">
        <v>822218442000</v>
      </c>
      <c r="AS44" s="1">
        <v>746889218000</v>
      </c>
      <c r="AT44" s="1">
        <v>784155185000</v>
      </c>
      <c r="AU44" s="1">
        <v>681224200000</v>
      </c>
      <c r="AV44" s="1">
        <v>624315567000</v>
      </c>
      <c r="AW44" s="1">
        <v>547980330000</v>
      </c>
      <c r="AX44" s="1">
        <v>566063897000</v>
      </c>
      <c r="AY44" s="1">
        <v>504531200000</v>
      </c>
      <c r="AZ44" s="1">
        <v>473974705000</v>
      </c>
      <c r="BA44" s="1">
        <v>422022762000</v>
      </c>
      <c r="BB44" s="1">
        <v>447988344000</v>
      </c>
      <c r="BC44" s="1">
        <v>398911900000</v>
      </c>
      <c r="BD44" s="1">
        <v>369032021000</v>
      </c>
      <c r="BE44" s="1">
        <v>196302944000</v>
      </c>
      <c r="BF44" s="1">
        <v>355665342000</v>
      </c>
      <c r="BG44" s="1">
        <v>317794400000</v>
      </c>
      <c r="BH44" s="1">
        <v>290671966000</v>
      </c>
      <c r="BI44" s="1">
        <v>260277442000</v>
      </c>
      <c r="BJ44" s="1">
        <v>302057344000</v>
      </c>
      <c r="BK44" s="1">
        <v>265779600000</v>
      </c>
      <c r="BL44" s="1">
        <v>225059122000</v>
      </c>
      <c r="BM44" s="1">
        <v>178119595000</v>
      </c>
      <c r="BN44" s="1">
        <v>215545799000</v>
      </c>
      <c r="BO44" s="1">
        <v>181882700000</v>
      </c>
      <c r="BP44" s="1">
        <v>149216633000</v>
      </c>
      <c r="BQ44" s="1">
        <v>118665000000</v>
      </c>
      <c r="BR44" s="1">
        <v>171612540000</v>
      </c>
      <c r="BS44" s="1">
        <v>170053700000</v>
      </c>
      <c r="BT44" s="1">
        <v>170333660000</v>
      </c>
      <c r="BU44" s="1">
        <v>151754685000</v>
      </c>
      <c r="BV44" s="1">
        <v>208527054000</v>
      </c>
      <c r="BW44" s="1">
        <v>218881746000</v>
      </c>
      <c r="BX44" s="1">
        <v>183960480000</v>
      </c>
      <c r="BY44" s="1">
        <v>154257871000</v>
      </c>
      <c r="BZ44" s="1">
        <v>216025685000</v>
      </c>
      <c r="CA44" s="1">
        <v>136772446000</v>
      </c>
    </row>
    <row r="45" spans="1:79" x14ac:dyDescent="0.2">
      <c r="A45" s="1" t="s">
        <v>42</v>
      </c>
      <c r="B45" s="1">
        <v>400924196000</v>
      </c>
      <c r="C45" s="1">
        <v>0</v>
      </c>
      <c r="D45" s="1">
        <v>492701747000</v>
      </c>
      <c r="E45" s="1">
        <v>311146899000</v>
      </c>
      <c r="F45" s="1">
        <v>311146899000</v>
      </c>
      <c r="G45" s="1">
        <v>40413126000</v>
      </c>
      <c r="H45" s="1">
        <v>325484863000</v>
      </c>
      <c r="I45" s="1">
        <v>311146899000</v>
      </c>
      <c r="J45" s="1">
        <v>0</v>
      </c>
      <c r="K45" s="1">
        <v>0</v>
      </c>
      <c r="L45" s="1">
        <v>328375262000</v>
      </c>
      <c r="M45" s="1">
        <v>334740824000</v>
      </c>
      <c r="N45" s="1">
        <v>0</v>
      </c>
      <c r="O45" s="1">
        <v>0</v>
      </c>
      <c r="P45" s="1">
        <v>346211562000</v>
      </c>
      <c r="Q45" s="1">
        <v>358214360000</v>
      </c>
      <c r="R45" s="1">
        <v>0</v>
      </c>
      <c r="S45" s="1">
        <v>370451000000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321822000000</v>
      </c>
      <c r="AB45" s="1">
        <v>0</v>
      </c>
      <c r="AC45" s="1">
        <v>-7385940000</v>
      </c>
      <c r="AD45" s="1">
        <v>-10725023000</v>
      </c>
      <c r="AE45" s="1">
        <v>-15449900000</v>
      </c>
      <c r="AF45" s="1">
        <v>0</v>
      </c>
      <c r="AG45" s="1">
        <v>-15080494000</v>
      </c>
      <c r="AH45" s="1">
        <v>-34401067000</v>
      </c>
      <c r="AI45" s="1">
        <v>-26917900000</v>
      </c>
      <c r="AJ45" s="1">
        <v>-19189089000</v>
      </c>
      <c r="AK45" s="1">
        <v>0</v>
      </c>
      <c r="AL45" s="1">
        <v>0</v>
      </c>
      <c r="AM45" s="1">
        <v>1663900000</v>
      </c>
      <c r="AN45" s="1">
        <v>0</v>
      </c>
      <c r="AO45" s="1">
        <v>0</v>
      </c>
      <c r="AP45" s="1">
        <v>0</v>
      </c>
      <c r="AQ45" s="1">
        <v>11774100000</v>
      </c>
      <c r="AR45" s="1">
        <v>13138191000</v>
      </c>
      <c r="AS45" s="1">
        <v>0</v>
      </c>
      <c r="AT45" s="1">
        <v>24110858000</v>
      </c>
      <c r="AU45" s="1">
        <v>0</v>
      </c>
      <c r="AV45" s="1">
        <v>0</v>
      </c>
      <c r="AW45" s="1">
        <v>0</v>
      </c>
      <c r="AX45" s="1">
        <v>16583227000</v>
      </c>
      <c r="AY45" s="1">
        <v>0</v>
      </c>
      <c r="AZ45" s="1">
        <v>14776668000</v>
      </c>
      <c r="BA45" s="1">
        <v>8777348000</v>
      </c>
      <c r="BB45" s="1">
        <v>0</v>
      </c>
      <c r="BC45" s="1">
        <v>-2785800000</v>
      </c>
      <c r="BD45" s="1">
        <v>-9783741000</v>
      </c>
      <c r="BE45" s="1">
        <v>115930103000</v>
      </c>
      <c r="BF45" s="1">
        <v>-9064188000</v>
      </c>
      <c r="BG45" s="1">
        <v>-7606300000</v>
      </c>
      <c r="BH45" s="1">
        <v>-6813401000</v>
      </c>
      <c r="BI45" s="1">
        <v>-11273139000</v>
      </c>
      <c r="BJ45" s="1">
        <v>-9306876000</v>
      </c>
      <c r="BK45" s="1">
        <v>-6433900000</v>
      </c>
      <c r="BL45" s="1">
        <v>-3243000000</v>
      </c>
      <c r="BM45" s="1">
        <v>-52378000</v>
      </c>
      <c r="BN45" s="1">
        <v>-1976620000</v>
      </c>
      <c r="BO45" s="1">
        <v>-1313100000</v>
      </c>
      <c r="BP45" s="1">
        <v>-777877000</v>
      </c>
      <c r="BQ45" s="1">
        <v>0</v>
      </c>
      <c r="BR45" s="1">
        <v>3709172000</v>
      </c>
      <c r="BS45" s="1">
        <v>193800000</v>
      </c>
      <c r="BT45" s="1">
        <v>-1703613000</v>
      </c>
      <c r="BU45" s="1">
        <v>-6310323000</v>
      </c>
      <c r="BV45" s="1">
        <v>-6412009000</v>
      </c>
      <c r="BW45" s="1">
        <v>-389181000</v>
      </c>
      <c r="BX45" s="1">
        <v>-162970000</v>
      </c>
      <c r="BY45" s="1">
        <v>-166464000</v>
      </c>
      <c r="BZ45" s="1">
        <v>1026014000</v>
      </c>
      <c r="CA45" s="1">
        <v>-1029424000</v>
      </c>
    </row>
    <row r="46" spans="1:79" x14ac:dyDescent="0.2">
      <c r="A46" s="1" t="s">
        <v>41</v>
      </c>
      <c r="B46" s="1">
        <v>26731927000</v>
      </c>
      <c r="C46" s="1">
        <v>56769200000</v>
      </c>
      <c r="D46" s="1">
        <v>-14548817000</v>
      </c>
      <c r="E46" s="1">
        <v>150186682000</v>
      </c>
      <c r="F46" s="1">
        <v>142559156000</v>
      </c>
      <c r="G46" s="1">
        <v>71552674000</v>
      </c>
      <c r="H46" s="1">
        <v>72390172000</v>
      </c>
      <c r="I46" s="1">
        <v>93391867000</v>
      </c>
      <c r="J46" s="1">
        <v>81831934000</v>
      </c>
      <c r="K46" s="1">
        <v>41562100000</v>
      </c>
      <c r="L46" s="1">
        <v>78496148000</v>
      </c>
      <c r="M46" s="1">
        <v>52119142000</v>
      </c>
      <c r="N46" s="1">
        <v>45625178000</v>
      </c>
      <c r="O46" s="1">
        <v>48824700000</v>
      </c>
      <c r="P46" s="1">
        <v>65896904000</v>
      </c>
      <c r="Q46" s="1">
        <v>33923786000</v>
      </c>
      <c r="R46" s="1">
        <v>16850884000</v>
      </c>
      <c r="S46" s="1">
        <v>-368297900000</v>
      </c>
      <c r="T46" s="1">
        <v>5442652000</v>
      </c>
      <c r="U46" s="1">
        <v>6159800000</v>
      </c>
      <c r="V46" s="1">
        <v>16360784000</v>
      </c>
      <c r="W46" s="1">
        <v>1667400000</v>
      </c>
      <c r="X46" s="1">
        <v>14080836000</v>
      </c>
      <c r="Y46" s="1">
        <v>19582186000</v>
      </c>
      <c r="Z46" s="1">
        <v>31466447000</v>
      </c>
      <c r="AA46" s="1">
        <v>-293050600000</v>
      </c>
      <c r="AB46" s="1">
        <v>45645823000</v>
      </c>
      <c r="AC46" s="1">
        <v>56320929000</v>
      </c>
      <c r="AD46" s="1">
        <v>56320688000</v>
      </c>
      <c r="AE46" s="1">
        <v>56316000000</v>
      </c>
      <c r="AF46" s="1">
        <v>38130450000</v>
      </c>
      <c r="AG46" s="1">
        <v>56307720000</v>
      </c>
      <c r="AH46" s="1">
        <v>56305751000</v>
      </c>
      <c r="AI46" s="1">
        <v>56309600000</v>
      </c>
      <c r="AJ46" s="1">
        <v>56281271000</v>
      </c>
      <c r="AK46" s="1">
        <v>37986269000</v>
      </c>
      <c r="AL46" s="1">
        <v>36572491000</v>
      </c>
      <c r="AM46" s="1">
        <v>56272300000</v>
      </c>
      <c r="AN46" s="1">
        <v>51051056000</v>
      </c>
      <c r="AO46" s="1">
        <v>61151215000</v>
      </c>
      <c r="AP46" s="1">
        <v>61594223000</v>
      </c>
      <c r="AQ46" s="1">
        <v>56300200000</v>
      </c>
      <c r="AR46" s="1">
        <v>56298728000</v>
      </c>
      <c r="AS46" s="1">
        <v>60387358000</v>
      </c>
      <c r="AT46" s="1">
        <v>56274436000</v>
      </c>
      <c r="AU46" s="1">
        <v>81712700000</v>
      </c>
      <c r="AV46" s="1">
        <v>72810290000</v>
      </c>
      <c r="AW46" s="1">
        <v>69512434000</v>
      </c>
      <c r="AX46" s="1">
        <v>55835280000</v>
      </c>
      <c r="AY46" s="1">
        <v>70028900000</v>
      </c>
      <c r="AZ46" s="1">
        <v>55841716000</v>
      </c>
      <c r="BA46" s="1">
        <v>64605935000</v>
      </c>
      <c r="BB46" s="1">
        <v>58860597000</v>
      </c>
      <c r="BC46" s="1">
        <v>55680600000</v>
      </c>
      <c r="BD46" s="1">
        <v>56074435000</v>
      </c>
      <c r="BE46" s="1">
        <v>56025149000</v>
      </c>
      <c r="BF46" s="1">
        <v>55125127000</v>
      </c>
      <c r="BG46" s="1">
        <v>55471700000</v>
      </c>
      <c r="BH46" s="1">
        <v>55618141000</v>
      </c>
      <c r="BI46" s="1">
        <v>55802387000</v>
      </c>
      <c r="BJ46" s="1">
        <v>55781482000</v>
      </c>
      <c r="BK46" s="1">
        <v>55698400000</v>
      </c>
      <c r="BL46" s="1">
        <v>55634070000</v>
      </c>
      <c r="BM46" s="1">
        <v>55566995000</v>
      </c>
      <c r="BN46" s="1">
        <v>55530845000</v>
      </c>
      <c r="BO46" s="1">
        <v>55486000000</v>
      </c>
      <c r="BP46" s="1">
        <v>55439919000</v>
      </c>
      <c r="BQ46" s="1">
        <v>56132000000</v>
      </c>
      <c r="BR46" s="1">
        <v>49965450000</v>
      </c>
      <c r="BS46" s="1">
        <v>49875200000</v>
      </c>
      <c r="BT46" s="1">
        <v>33874943000</v>
      </c>
      <c r="BU46" s="1">
        <v>36024069000</v>
      </c>
      <c r="BV46" s="1">
        <v>50749079000</v>
      </c>
      <c r="BW46" s="1">
        <v>4345852000</v>
      </c>
      <c r="BX46" s="1">
        <v>52671888000</v>
      </c>
      <c r="BY46" s="1">
        <v>52892476161</v>
      </c>
      <c r="BZ46" s="1">
        <v>53319653000</v>
      </c>
      <c r="CA46" s="1">
        <v>52923368000</v>
      </c>
    </row>
    <row r="47" spans="1:79" x14ac:dyDescent="0.2">
      <c r="A47" s="6" t="s">
        <v>40</v>
      </c>
      <c r="B47" s="5">
        <v>5889670143000</v>
      </c>
      <c r="C47" s="5">
        <v>5355038700000</v>
      </c>
      <c r="D47" s="5">
        <v>4998306972000</v>
      </c>
      <c r="E47" s="5">
        <v>4581073975000</v>
      </c>
      <c r="F47" s="5">
        <v>4564162580000</v>
      </c>
      <c r="G47" s="5">
        <v>4244266500000</v>
      </c>
      <c r="H47" s="5">
        <v>3990019153000</v>
      </c>
      <c r="I47" s="5">
        <v>3791402874000</v>
      </c>
      <c r="J47" s="5">
        <v>3635731930000</v>
      </c>
      <c r="K47" s="5">
        <v>3429522400000</v>
      </c>
      <c r="L47" s="5">
        <v>3348349657000</v>
      </c>
      <c r="M47" s="5">
        <v>3188750455000</v>
      </c>
      <c r="N47" s="5">
        <v>3078233958000</v>
      </c>
      <c r="O47" s="5">
        <v>2903019700000</v>
      </c>
      <c r="P47" s="5">
        <v>2737974306000</v>
      </c>
      <c r="Q47" s="5">
        <v>2496353192000</v>
      </c>
      <c r="R47" s="5">
        <v>2314430096000</v>
      </c>
      <c r="S47" s="5">
        <v>2149259800000</v>
      </c>
      <c r="T47" s="5">
        <v>2076020062000</v>
      </c>
      <c r="U47" s="5">
        <v>1979870900000</v>
      </c>
      <c r="V47" s="5">
        <v>1938936396000</v>
      </c>
      <c r="W47" s="5">
        <v>1834811300000</v>
      </c>
      <c r="X47" s="5">
        <v>1787361029000</v>
      </c>
      <c r="Y47" s="5">
        <v>1720377981000</v>
      </c>
      <c r="Z47" s="5">
        <v>1676266000000</v>
      </c>
      <c r="AA47" s="5">
        <v>1613705600000</v>
      </c>
      <c r="AB47" s="5">
        <v>1586856066000</v>
      </c>
      <c r="AC47" s="5">
        <v>1553814579000</v>
      </c>
      <c r="AD47" s="5">
        <v>1742845624000</v>
      </c>
      <c r="AE47" s="5">
        <v>1660428800000</v>
      </c>
      <c r="AF47" s="5">
        <v>1575171914000</v>
      </c>
      <c r="AG47" s="5">
        <v>1490001542000</v>
      </c>
      <c r="AH47" s="5">
        <v>1605898389000</v>
      </c>
      <c r="AI47" s="5">
        <v>1493746800000</v>
      </c>
      <c r="AJ47" s="5">
        <v>1430716847000</v>
      </c>
      <c r="AK47" s="5">
        <v>1341685497000</v>
      </c>
      <c r="AL47" s="5">
        <v>1455513363000</v>
      </c>
      <c r="AM47" s="5">
        <v>1359050700000</v>
      </c>
      <c r="AN47" s="5">
        <v>1283113034000</v>
      </c>
      <c r="AO47" s="5">
        <v>1196454137000</v>
      </c>
      <c r="AP47" s="5">
        <v>1279973107000</v>
      </c>
      <c r="AQ47" s="5">
        <v>1194007700000</v>
      </c>
      <c r="AR47" s="5">
        <v>1150959166000</v>
      </c>
      <c r="AS47" s="5">
        <v>1066580381000</v>
      </c>
      <c r="AT47" s="5">
        <v>1123843499000</v>
      </c>
      <c r="AU47" s="5">
        <v>1022233500000</v>
      </c>
      <c r="AV47" s="5">
        <v>956419607000</v>
      </c>
      <c r="AW47" s="5">
        <v>876786514000</v>
      </c>
      <c r="AX47" s="5">
        <v>897773643000</v>
      </c>
      <c r="AY47" s="5">
        <v>833846300000</v>
      </c>
      <c r="AZ47" s="5">
        <v>803876999000</v>
      </c>
      <c r="BA47" s="5">
        <v>745911755000</v>
      </c>
      <c r="BB47" s="5">
        <v>766131268000</v>
      </c>
      <c r="BC47" s="5">
        <v>711051100000</v>
      </c>
      <c r="BD47" s="5">
        <v>674543191000</v>
      </c>
      <c r="BE47" s="5">
        <v>627465290000</v>
      </c>
      <c r="BF47" s="5">
        <v>660932327000</v>
      </c>
      <c r="BG47" s="5">
        <v>624822000000</v>
      </c>
      <c r="BH47" s="5">
        <v>598628198000</v>
      </c>
      <c r="BI47" s="5">
        <v>563949521000</v>
      </c>
      <c r="BJ47" s="5">
        <v>607673883000</v>
      </c>
      <c r="BK47" s="5">
        <v>574144900000</v>
      </c>
      <c r="BL47" s="5">
        <v>536523632000</v>
      </c>
      <c r="BM47" s="5">
        <v>492684384000</v>
      </c>
      <c r="BN47" s="5">
        <v>528137716000</v>
      </c>
      <c r="BO47" s="5">
        <v>495082700000</v>
      </c>
      <c r="BP47" s="5">
        <v>462885298000</v>
      </c>
      <c r="BQ47" s="5">
        <v>433761000000</v>
      </c>
      <c r="BR47" s="5">
        <v>481547284000</v>
      </c>
      <c r="BS47" s="5">
        <v>476377100000</v>
      </c>
      <c r="BT47" s="5">
        <v>460871573000</v>
      </c>
      <c r="BU47" s="5">
        <v>442661986000</v>
      </c>
      <c r="BV47" s="5">
        <v>509010223000</v>
      </c>
      <c r="BW47" s="5">
        <v>487124585000</v>
      </c>
      <c r="BX47" s="5">
        <v>500154777000</v>
      </c>
      <c r="BY47" s="5">
        <v>471644223000</v>
      </c>
      <c r="BZ47" s="5">
        <v>528761506000</v>
      </c>
      <c r="CA47" s="5">
        <v>446992570000</v>
      </c>
    </row>
    <row r="49" spans="1:79" x14ac:dyDescent="0.2">
      <c r="A49" s="1" t="s">
        <v>39</v>
      </c>
      <c r="B49" s="1">
        <v>8659053639000</v>
      </c>
      <c r="C49" s="1">
        <v>7932842500000</v>
      </c>
      <c r="D49" s="1">
        <v>7354107076000</v>
      </c>
      <c r="E49" s="1">
        <v>7006349549000</v>
      </c>
      <c r="F49" s="1">
        <v>7133287420000</v>
      </c>
      <c r="G49" s="1">
        <v>6691764700000</v>
      </c>
      <c r="H49" s="1">
        <v>6165658176000</v>
      </c>
      <c r="I49" s="1">
        <v>5982364014000</v>
      </c>
      <c r="J49" s="1">
        <v>5787891082000</v>
      </c>
      <c r="K49" s="1">
        <v>5532196600000</v>
      </c>
      <c r="L49" s="1">
        <v>5484556381000</v>
      </c>
      <c r="M49" s="1">
        <v>5149465045000</v>
      </c>
      <c r="N49" s="1">
        <v>5045844348000</v>
      </c>
      <c r="O49" s="1">
        <v>4964459100000</v>
      </c>
      <c r="P49" s="1">
        <v>4643301766000</v>
      </c>
      <c r="Q49" s="1">
        <v>4345941335000</v>
      </c>
      <c r="R49" s="1">
        <v>3992676667000</v>
      </c>
      <c r="S49" s="1">
        <v>3725302200000</v>
      </c>
      <c r="T49" s="1">
        <v>3332311884000</v>
      </c>
      <c r="U49" s="1">
        <v>3092688800000</v>
      </c>
      <c r="V49" s="1">
        <v>2919131461000</v>
      </c>
      <c r="W49" s="1">
        <v>2760600500000</v>
      </c>
      <c r="X49" s="1">
        <v>2635572214000</v>
      </c>
      <c r="Y49" s="1">
        <v>2448664522000</v>
      </c>
      <c r="Z49" s="1">
        <v>2343295696000</v>
      </c>
      <c r="AA49" s="1">
        <v>2264725000000</v>
      </c>
      <c r="AB49" s="1">
        <v>2134234450000</v>
      </c>
      <c r="AC49" s="1">
        <v>2239343671000</v>
      </c>
      <c r="AD49" s="1">
        <v>2187436785000</v>
      </c>
      <c r="AE49" s="1">
        <v>2090031200000</v>
      </c>
      <c r="AF49" s="1">
        <v>1969888788000</v>
      </c>
      <c r="AG49" s="1">
        <v>2053412954000</v>
      </c>
      <c r="AH49" s="1">
        <v>2049155806000</v>
      </c>
      <c r="AI49" s="1">
        <v>1991732000000</v>
      </c>
      <c r="AJ49" s="1">
        <v>1841424382000</v>
      </c>
      <c r="AK49" s="1">
        <v>1986433777000</v>
      </c>
      <c r="AL49" s="1">
        <v>1934663761000</v>
      </c>
      <c r="AM49" s="1">
        <v>1886296700000</v>
      </c>
      <c r="AN49" s="1">
        <v>1718686763000</v>
      </c>
      <c r="AO49" s="1">
        <v>1804491560000</v>
      </c>
      <c r="AP49" s="1">
        <v>1726525636000</v>
      </c>
      <c r="AQ49" s="1">
        <v>1657397400000</v>
      </c>
      <c r="AR49" s="1">
        <v>1576218810000</v>
      </c>
      <c r="AS49" s="1">
        <v>1608853066000</v>
      </c>
      <c r="AT49" s="1">
        <v>1556895055000</v>
      </c>
      <c r="AU49" s="1">
        <v>1494853000000</v>
      </c>
      <c r="AV49" s="1">
        <v>1349994840000</v>
      </c>
      <c r="AW49" s="1">
        <v>1345044767000</v>
      </c>
      <c r="AX49" s="1">
        <v>1298739281000</v>
      </c>
      <c r="AY49" s="1">
        <v>1262800700000</v>
      </c>
      <c r="AZ49" s="1">
        <v>1177540215000</v>
      </c>
      <c r="BA49" s="1">
        <v>1169885454000</v>
      </c>
      <c r="BB49" s="1">
        <v>1061629726000</v>
      </c>
      <c r="BC49" s="1">
        <v>961343700000</v>
      </c>
      <c r="BD49" s="1">
        <v>878651770000</v>
      </c>
      <c r="BE49" s="1">
        <v>883906053000</v>
      </c>
      <c r="BF49" s="1">
        <v>831890385000</v>
      </c>
      <c r="BG49" s="1">
        <v>779541600000</v>
      </c>
      <c r="BH49" s="1">
        <v>734641087000</v>
      </c>
      <c r="BI49" s="1">
        <v>783815613000</v>
      </c>
      <c r="BJ49" s="1">
        <v>750125966000</v>
      </c>
      <c r="BK49" s="1">
        <v>718928900000</v>
      </c>
      <c r="BL49" s="1">
        <v>667552049000</v>
      </c>
      <c r="BM49" s="1">
        <v>680775592000</v>
      </c>
      <c r="BN49" s="1">
        <v>626829138000</v>
      </c>
      <c r="BO49" s="1">
        <v>594696200000</v>
      </c>
      <c r="BP49" s="1">
        <v>541897118000</v>
      </c>
      <c r="BQ49" s="1">
        <v>587543000000</v>
      </c>
      <c r="BR49" s="1">
        <v>552775394000</v>
      </c>
      <c r="BS49" s="1">
        <v>558916600000</v>
      </c>
      <c r="BT49" s="1">
        <v>548565831000</v>
      </c>
      <c r="BU49" s="1">
        <v>596489039000</v>
      </c>
      <c r="BV49" s="1">
        <v>596711924000</v>
      </c>
      <c r="BW49" s="1">
        <v>570928175000</v>
      </c>
      <c r="BX49" s="1">
        <v>585094714000</v>
      </c>
      <c r="BY49" s="1">
        <v>638459381000</v>
      </c>
      <c r="BZ49" s="1">
        <v>608923022000</v>
      </c>
      <c r="CA49" s="1">
        <v>593955933000</v>
      </c>
    </row>
    <row r="50" spans="1:79" x14ac:dyDescent="0.2">
      <c r="A50" s="1" t="s">
        <v>38</v>
      </c>
      <c r="B50" s="1">
        <v>514418341000</v>
      </c>
      <c r="C50" s="1">
        <v>532630300000</v>
      </c>
      <c r="D50" s="1">
        <v>429252530000</v>
      </c>
      <c r="E50" s="1">
        <v>456534631000</v>
      </c>
      <c r="F50" s="1">
        <v>528557598000</v>
      </c>
      <c r="G50" s="1">
        <v>506387000000</v>
      </c>
      <c r="H50" s="1">
        <v>407355703000</v>
      </c>
      <c r="I50" s="1">
        <v>425350807000</v>
      </c>
      <c r="J50" s="1">
        <v>395640162000</v>
      </c>
      <c r="K50" s="1">
        <v>378643000000</v>
      </c>
      <c r="L50" s="1">
        <v>382615386000</v>
      </c>
      <c r="M50" s="1">
        <v>332536295000</v>
      </c>
      <c r="N50" s="1">
        <v>299011955000</v>
      </c>
      <c r="O50" s="1">
        <v>312294100000</v>
      </c>
      <c r="P50" s="1">
        <v>298718787000</v>
      </c>
      <c r="Q50" s="1">
        <v>261492133000</v>
      </c>
      <c r="R50" s="1">
        <v>191401650000</v>
      </c>
      <c r="S50" s="1">
        <v>169107000000</v>
      </c>
      <c r="T50" s="1">
        <v>163708197000</v>
      </c>
      <c r="U50" s="1">
        <v>164240000000</v>
      </c>
      <c r="V50" s="1">
        <v>176191541000</v>
      </c>
      <c r="W50" s="1">
        <v>167339900000</v>
      </c>
      <c r="X50" s="1">
        <v>174387153000</v>
      </c>
      <c r="Y50" s="1">
        <v>170755714000</v>
      </c>
      <c r="Z50" s="1">
        <v>172506033000</v>
      </c>
      <c r="AA50" s="1">
        <v>168994300000</v>
      </c>
      <c r="AB50" s="1">
        <v>180304759000</v>
      </c>
      <c r="AC50" s="1">
        <v>159166833000</v>
      </c>
      <c r="AD50" s="1">
        <v>155137168000</v>
      </c>
      <c r="AE50" s="1">
        <v>165149400000</v>
      </c>
      <c r="AF50" s="1">
        <v>160144691000</v>
      </c>
      <c r="AG50" s="1">
        <v>158888490000</v>
      </c>
      <c r="AH50" s="1">
        <v>152610028000</v>
      </c>
      <c r="AI50" s="1">
        <v>144624900000</v>
      </c>
      <c r="AJ50" s="1">
        <v>139713253000</v>
      </c>
      <c r="AK50" s="1">
        <v>134726916000</v>
      </c>
      <c r="AL50" s="1">
        <v>142878470000</v>
      </c>
      <c r="AM50" s="1">
        <v>140945900000</v>
      </c>
      <c r="AN50" s="1">
        <v>108760810000</v>
      </c>
      <c r="AO50" s="1">
        <v>106323021000</v>
      </c>
      <c r="AP50" s="1">
        <v>83805393000</v>
      </c>
      <c r="AQ50" s="1">
        <v>62650100000</v>
      </c>
      <c r="AR50" s="1">
        <v>43687211000</v>
      </c>
      <c r="AS50" s="1">
        <v>57637577000</v>
      </c>
      <c r="AT50" s="1">
        <v>117689551000</v>
      </c>
      <c r="AU50" s="1">
        <v>111812200000</v>
      </c>
      <c r="AV50" s="1">
        <v>96295891000</v>
      </c>
      <c r="AW50" s="1">
        <v>88870682000</v>
      </c>
      <c r="AX50" s="1">
        <v>94682055000</v>
      </c>
      <c r="AY50" s="1">
        <v>92173100000</v>
      </c>
      <c r="AZ50" s="1">
        <v>91257095000</v>
      </c>
      <c r="BA50" s="1">
        <v>80763620000</v>
      </c>
      <c r="BB50" s="1">
        <v>74509754000</v>
      </c>
      <c r="BC50" s="1">
        <v>73704200000</v>
      </c>
      <c r="BD50" s="1">
        <v>38092158000</v>
      </c>
      <c r="BE50" s="1">
        <v>36210611000</v>
      </c>
      <c r="BF50" s="1">
        <v>33994340000</v>
      </c>
      <c r="BG50" s="1">
        <v>42217700000</v>
      </c>
      <c r="BH50" s="1">
        <v>42863011000</v>
      </c>
      <c r="BI50" s="1">
        <v>38843709000</v>
      </c>
      <c r="BJ50" s="1">
        <v>45582897000</v>
      </c>
      <c r="BK50" s="1">
        <v>74484300000</v>
      </c>
      <c r="BL50" s="1">
        <v>75740985000</v>
      </c>
      <c r="BM50" s="1">
        <v>78911304000</v>
      </c>
      <c r="BN50" s="1">
        <v>77134439000</v>
      </c>
      <c r="BO50" s="1">
        <v>64216300000</v>
      </c>
      <c r="BP50" s="1">
        <v>61937352000</v>
      </c>
      <c r="BQ50" s="1">
        <v>39750000000</v>
      </c>
      <c r="BR50" s="1">
        <v>44687746000</v>
      </c>
      <c r="BS50" s="1">
        <v>61496800000</v>
      </c>
      <c r="BT50" s="1">
        <v>45574342000</v>
      </c>
      <c r="BU50" s="1">
        <v>12635612000</v>
      </c>
      <c r="BV50" s="1">
        <v>66004191000</v>
      </c>
      <c r="BW50" s="1">
        <v>78225333000</v>
      </c>
      <c r="BX50" s="1">
        <v>77899636000</v>
      </c>
      <c r="BY50" s="1">
        <v>67872016000</v>
      </c>
      <c r="BZ50" s="1">
        <v>77116569000</v>
      </c>
      <c r="CA50" s="1">
        <v>68192945000</v>
      </c>
    </row>
    <row r="51" spans="1:79" x14ac:dyDescent="0.2">
      <c r="A51" s="1" t="s">
        <v>37</v>
      </c>
      <c r="B51" s="1">
        <v>1094130170000</v>
      </c>
      <c r="C51" s="1">
        <v>1064582700000</v>
      </c>
      <c r="D51" s="1">
        <v>1025432865000</v>
      </c>
      <c r="E51" s="1">
        <v>915035099000</v>
      </c>
      <c r="F51" s="1">
        <v>1077877368000</v>
      </c>
      <c r="G51" s="1">
        <v>1047042100000</v>
      </c>
      <c r="H51" s="1">
        <v>1023758503000</v>
      </c>
      <c r="I51" s="1">
        <v>1025640970000</v>
      </c>
      <c r="J51" s="1">
        <v>1006527735000</v>
      </c>
      <c r="K51" s="1">
        <v>956257900000</v>
      </c>
      <c r="L51" s="1">
        <v>974327930000</v>
      </c>
      <c r="M51" s="1">
        <v>945181626000</v>
      </c>
      <c r="N51" s="1">
        <v>892810024000</v>
      </c>
      <c r="O51" s="1">
        <v>888174400000</v>
      </c>
      <c r="P51" s="1">
        <v>899050669000</v>
      </c>
      <c r="Q51" s="1">
        <v>895303802000</v>
      </c>
      <c r="R51" s="1">
        <v>798354765000</v>
      </c>
      <c r="S51" s="1">
        <v>753631900000</v>
      </c>
      <c r="T51" s="1">
        <v>603102686000</v>
      </c>
      <c r="U51" s="1">
        <v>574047500000</v>
      </c>
      <c r="V51" s="1">
        <v>437660639000</v>
      </c>
      <c r="W51" s="1">
        <v>367792300000</v>
      </c>
      <c r="X51" s="1">
        <v>402586322000</v>
      </c>
      <c r="Y51" s="1">
        <v>290444902000</v>
      </c>
      <c r="Z51" s="1">
        <v>221069055000</v>
      </c>
      <c r="AA51" s="1">
        <v>190464100000</v>
      </c>
      <c r="AB51" s="1">
        <v>125705249000</v>
      </c>
      <c r="AC51" s="1">
        <v>128966609000</v>
      </c>
      <c r="AD51" s="1">
        <v>128800083000</v>
      </c>
      <c r="AE51" s="1">
        <v>180554700000</v>
      </c>
      <c r="AF51" s="1">
        <v>130874625000</v>
      </c>
      <c r="AG51" s="1">
        <v>114235300000</v>
      </c>
      <c r="AH51" s="1">
        <v>140131350000</v>
      </c>
      <c r="AI51" s="1">
        <v>213967900000</v>
      </c>
      <c r="AJ51" s="1">
        <v>146244720000</v>
      </c>
      <c r="AK51" s="1">
        <v>154062140000</v>
      </c>
      <c r="AL51" s="1">
        <v>188884129000</v>
      </c>
      <c r="AM51" s="1">
        <v>249173600000</v>
      </c>
      <c r="AN51" s="1">
        <v>189811965000</v>
      </c>
      <c r="AO51" s="1">
        <v>220042111000</v>
      </c>
      <c r="AP51" s="1">
        <v>215871098000</v>
      </c>
      <c r="AQ51" s="1">
        <v>254981700000</v>
      </c>
      <c r="AR51" s="1">
        <v>225569874000</v>
      </c>
      <c r="AS51" s="1">
        <v>208253720000</v>
      </c>
      <c r="AT51" s="1">
        <v>232731978000</v>
      </c>
      <c r="AU51" s="1">
        <v>250674400000</v>
      </c>
      <c r="AV51" s="1">
        <v>248493906000</v>
      </c>
      <c r="AW51" s="1">
        <v>246359656000</v>
      </c>
      <c r="AX51" s="1">
        <v>237465021000</v>
      </c>
      <c r="AY51" s="1">
        <v>227228800000</v>
      </c>
      <c r="AZ51" s="1">
        <v>229268262000</v>
      </c>
      <c r="BA51" s="1">
        <v>202027848000</v>
      </c>
      <c r="BB51" s="1">
        <v>163067985000</v>
      </c>
      <c r="BC51" s="1">
        <v>116950500000</v>
      </c>
      <c r="BD51" s="1">
        <v>107605434000</v>
      </c>
      <c r="BE51" s="1">
        <v>68286149000</v>
      </c>
      <c r="BF51" s="1">
        <v>72080647000</v>
      </c>
      <c r="BG51" s="1">
        <v>50947500000</v>
      </c>
      <c r="BH51" s="1">
        <v>60894791000</v>
      </c>
      <c r="BI51" s="1">
        <v>39811746000</v>
      </c>
      <c r="BJ51" s="1">
        <v>40636092000</v>
      </c>
      <c r="BK51" s="1">
        <v>36951900000</v>
      </c>
      <c r="BL51" s="1">
        <v>44350944000</v>
      </c>
      <c r="BM51" s="1">
        <v>31754966000</v>
      </c>
      <c r="BN51" s="1">
        <v>12560860000</v>
      </c>
      <c r="BO51" s="1">
        <v>6735400000</v>
      </c>
      <c r="BP51" s="1">
        <v>14967865000</v>
      </c>
      <c r="BQ51" s="1">
        <v>4809000000</v>
      </c>
      <c r="BR51" s="1">
        <v>16627961000</v>
      </c>
      <c r="BS51" s="1">
        <v>24498600000</v>
      </c>
      <c r="BT51" s="1">
        <v>6736528000</v>
      </c>
      <c r="BU51" s="1">
        <v>12483683000</v>
      </c>
      <c r="BV51" s="1">
        <v>4497523000</v>
      </c>
      <c r="BW51" s="1">
        <v>15178050000</v>
      </c>
      <c r="BX51" s="1">
        <v>17340003000</v>
      </c>
      <c r="BY51" s="1">
        <v>19280481000</v>
      </c>
      <c r="BZ51" s="1">
        <v>17276759000</v>
      </c>
      <c r="CA51" s="1">
        <v>20759721000</v>
      </c>
    </row>
    <row r="52" spans="1:79" x14ac:dyDescent="0.2">
      <c r="A52" s="1" t="s">
        <v>36</v>
      </c>
      <c r="B52" s="1">
        <v>-1940842161000</v>
      </c>
      <c r="C52" s="1">
        <v>-1703273700000</v>
      </c>
      <c r="D52" s="1">
        <v>-1445326519000</v>
      </c>
      <c r="E52" s="1">
        <v>-1449489241000</v>
      </c>
      <c r="F52" s="1">
        <v>-1316926882000</v>
      </c>
      <c r="G52" s="1">
        <v>-1080584900000</v>
      </c>
      <c r="H52" s="1">
        <v>-863022052000</v>
      </c>
      <c r="I52" s="1">
        <v>-773486381000</v>
      </c>
      <c r="J52" s="1">
        <v>-691667969000</v>
      </c>
      <c r="K52" s="1">
        <v>-509169900000</v>
      </c>
      <c r="L52" s="1">
        <v>-337478605000</v>
      </c>
      <c r="M52" s="1">
        <v>-331542358000</v>
      </c>
      <c r="N52" s="1">
        <v>-492422786000</v>
      </c>
      <c r="O52" s="1">
        <v>-454639700000</v>
      </c>
      <c r="P52" s="1">
        <v>-396962115000</v>
      </c>
      <c r="Q52" s="1">
        <v>-357885395000</v>
      </c>
      <c r="R52" s="1">
        <v>-353234881000</v>
      </c>
      <c r="S52" s="1">
        <v>-311358300000</v>
      </c>
      <c r="T52" s="1">
        <v>-250709280000</v>
      </c>
      <c r="U52" s="1">
        <v>-173934600000</v>
      </c>
      <c r="V52" s="1">
        <v>-227067218000</v>
      </c>
      <c r="W52" s="1">
        <v>-292378300000</v>
      </c>
      <c r="X52" s="1">
        <v>-201608791000</v>
      </c>
      <c r="Y52" s="1">
        <v>-177168541000</v>
      </c>
      <c r="Z52" s="1">
        <v>-209708174000</v>
      </c>
      <c r="AA52" s="1">
        <v>-264935200000</v>
      </c>
      <c r="AB52" s="1">
        <v>-326725051000</v>
      </c>
      <c r="AC52" s="1">
        <v>-520730653000</v>
      </c>
      <c r="AD52" s="1">
        <v>-516870444000</v>
      </c>
      <c r="AE52" s="1">
        <v>-397259900000</v>
      </c>
      <c r="AF52" s="1">
        <v>-357857496000</v>
      </c>
      <c r="AG52" s="1">
        <v>-517994580000</v>
      </c>
      <c r="AH52" s="1">
        <v>-437651613000</v>
      </c>
      <c r="AI52" s="1">
        <v>-339423800000</v>
      </c>
      <c r="AJ52" s="1">
        <v>-261832975000</v>
      </c>
      <c r="AK52" s="1">
        <v>-416404818000</v>
      </c>
      <c r="AL52" s="1">
        <v>-375841137000</v>
      </c>
      <c r="AM52" s="1">
        <v>-292080200000</v>
      </c>
      <c r="AN52" s="1">
        <v>-274159692000</v>
      </c>
      <c r="AO52" s="1">
        <v>-402317191000</v>
      </c>
      <c r="AP52" s="1">
        <v>-402113220000</v>
      </c>
      <c r="AQ52" s="1">
        <v>-307707200000</v>
      </c>
      <c r="AR52" s="1">
        <v>-290161524000</v>
      </c>
      <c r="AS52" s="1">
        <v>-320641387000</v>
      </c>
      <c r="AT52" s="1">
        <v>-204680433000</v>
      </c>
      <c r="AU52" s="1">
        <v>-107774600000</v>
      </c>
      <c r="AV52" s="1">
        <v>22609588000</v>
      </c>
      <c r="AW52" s="1">
        <v>-8693917000</v>
      </c>
      <c r="AX52" s="1">
        <v>5767726000</v>
      </c>
      <c r="AY52" s="1">
        <v>-15466600000</v>
      </c>
      <c r="AZ52" s="1">
        <v>12664565000</v>
      </c>
      <c r="BA52" s="1">
        <v>-23804798000</v>
      </c>
      <c r="BB52" s="1">
        <v>-22960813000</v>
      </c>
      <c r="BC52" s="1">
        <v>-26460100000</v>
      </c>
      <c r="BD52" s="1">
        <v>-31132679000</v>
      </c>
      <c r="BE52" s="1">
        <v>-110154410000</v>
      </c>
      <c r="BF52" s="1">
        <v>-98739292000</v>
      </c>
      <c r="BG52" s="1">
        <v>-92524800000</v>
      </c>
      <c r="BH52" s="1">
        <v>-53941668000</v>
      </c>
      <c r="BI52" s="1">
        <v>-111167032000</v>
      </c>
      <c r="BJ52" s="1">
        <v>-88808908000</v>
      </c>
      <c r="BK52" s="1">
        <v>-110935100000</v>
      </c>
      <c r="BL52" s="1">
        <v>-87917814000</v>
      </c>
      <c r="BM52" s="1">
        <v>-140731252000</v>
      </c>
      <c r="BN52" s="1">
        <v>-147238843000</v>
      </c>
      <c r="BO52" s="1">
        <v>-164540900000</v>
      </c>
      <c r="BP52" s="1">
        <v>-141967212000</v>
      </c>
      <c r="BQ52" s="1">
        <v>-234708000000</v>
      </c>
      <c r="BR52" s="1">
        <v>-206634120000</v>
      </c>
      <c r="BS52" s="1">
        <v>-170115200000</v>
      </c>
      <c r="BT52" s="1">
        <v>-105415955000</v>
      </c>
      <c r="BU52" s="1">
        <v>-134070474000</v>
      </c>
      <c r="BV52" s="1">
        <v>-139696716000</v>
      </c>
      <c r="BW52" s="1">
        <v>-79814487000</v>
      </c>
      <c r="BX52" s="1">
        <v>-80767907000</v>
      </c>
      <c r="BY52" s="1">
        <v>-144373730000</v>
      </c>
      <c r="BZ52" s="1">
        <v>-123022441000</v>
      </c>
      <c r="CA52" s="1">
        <v>-120742694000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459B-37E6-EA47-BB1F-CEDDFE3BF0FE}">
  <dimension ref="A1:CA39"/>
  <sheetViews>
    <sheetView workbookViewId="0"/>
  </sheetViews>
  <sheetFormatPr baseColWidth="10" defaultRowHeight="16" x14ac:dyDescent="0.2"/>
  <cols>
    <col min="1" max="1" width="40.5" bestFit="1" customWidth="1"/>
    <col min="2" max="19" width="19.5" bestFit="1" customWidth="1"/>
    <col min="20" max="29" width="18.6640625" bestFit="1" customWidth="1"/>
    <col min="30" max="30" width="18" bestFit="1" customWidth="1"/>
    <col min="31" max="32" width="18.6640625" bestFit="1" customWidth="1"/>
    <col min="33" max="35" width="18" bestFit="1" customWidth="1"/>
    <col min="36" max="40" width="18.6640625" bestFit="1" customWidth="1"/>
    <col min="41" max="42" width="18" bestFit="1" customWidth="1"/>
    <col min="43" max="44" width="18.6640625" bestFit="1" customWidth="1"/>
    <col min="45" max="49" width="18" bestFit="1" customWidth="1"/>
    <col min="50" max="50" width="18.6640625" bestFit="1" customWidth="1"/>
    <col min="51" max="71" width="18" bestFit="1" customWidth="1"/>
    <col min="72" max="72" width="18.6640625" bestFit="1" customWidth="1"/>
    <col min="73" max="74" width="18" bestFit="1" customWidth="1"/>
    <col min="75" max="75" width="17.6640625" bestFit="1" customWidth="1"/>
    <col min="76" max="79" width="18" bestFit="1" customWidth="1"/>
  </cols>
  <sheetData>
    <row r="1" spans="1:79" x14ac:dyDescent="0.2">
      <c r="A1" s="10" t="s">
        <v>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</row>
    <row r="2" spans="1:79" x14ac:dyDescent="0.2">
      <c r="A2" t="s">
        <v>1</v>
      </c>
      <c r="B2" t="s">
        <v>2</v>
      </c>
    </row>
    <row r="3" spans="1:79" x14ac:dyDescent="0.2">
      <c r="A3" t="s">
        <v>3</v>
      </c>
      <c r="B3" t="str">
        <f>'TSM - Income Statement Q'!B3</f>
        <v>TWD</v>
      </c>
    </row>
    <row r="4" spans="1:79" x14ac:dyDescent="0.2">
      <c r="A4" t="s">
        <v>32</v>
      </c>
      <c r="B4" t="s">
        <v>195</v>
      </c>
      <c r="C4" t="s">
        <v>196</v>
      </c>
      <c r="D4" t="s">
        <v>197</v>
      </c>
      <c r="E4" t="s">
        <v>198</v>
      </c>
      <c r="F4" t="s">
        <v>195</v>
      </c>
      <c r="G4" t="s">
        <v>196</v>
      </c>
      <c r="H4" t="s">
        <v>197</v>
      </c>
      <c r="I4" t="s">
        <v>198</v>
      </c>
      <c r="J4" t="s">
        <v>195</v>
      </c>
      <c r="K4" t="s">
        <v>196</v>
      </c>
      <c r="L4" t="s">
        <v>197</v>
      </c>
      <c r="M4" t="s">
        <v>198</v>
      </c>
      <c r="N4" t="s">
        <v>195</v>
      </c>
      <c r="O4" t="s">
        <v>196</v>
      </c>
      <c r="P4" t="s">
        <v>197</v>
      </c>
      <c r="Q4" t="s">
        <v>198</v>
      </c>
      <c r="R4" t="s">
        <v>195</v>
      </c>
      <c r="S4" t="s">
        <v>196</v>
      </c>
      <c r="T4" t="s">
        <v>197</v>
      </c>
      <c r="U4" t="s">
        <v>198</v>
      </c>
      <c r="V4" t="s">
        <v>195</v>
      </c>
      <c r="W4" t="s">
        <v>196</v>
      </c>
      <c r="X4" t="s">
        <v>197</v>
      </c>
      <c r="Y4" t="s">
        <v>198</v>
      </c>
      <c r="Z4" t="s">
        <v>195</v>
      </c>
      <c r="AA4" t="s">
        <v>196</v>
      </c>
      <c r="AB4" t="s">
        <v>197</v>
      </c>
      <c r="AC4" t="s">
        <v>198</v>
      </c>
      <c r="AD4" t="s">
        <v>195</v>
      </c>
      <c r="AE4" t="s">
        <v>196</v>
      </c>
      <c r="AF4" t="s">
        <v>197</v>
      </c>
      <c r="AG4" t="s">
        <v>198</v>
      </c>
      <c r="AH4" t="s">
        <v>195</v>
      </c>
      <c r="AI4" t="s">
        <v>196</v>
      </c>
      <c r="AJ4" t="s">
        <v>197</v>
      </c>
      <c r="AK4" t="s">
        <v>198</v>
      </c>
      <c r="AL4" t="s">
        <v>195</v>
      </c>
      <c r="AM4" t="s">
        <v>196</v>
      </c>
      <c r="AN4" t="s">
        <v>197</v>
      </c>
      <c r="AO4" t="s">
        <v>198</v>
      </c>
      <c r="AP4" t="s">
        <v>195</v>
      </c>
      <c r="AQ4" t="s">
        <v>196</v>
      </c>
      <c r="AR4" t="s">
        <v>197</v>
      </c>
      <c r="AS4" t="s">
        <v>198</v>
      </c>
      <c r="AT4" t="s">
        <v>195</v>
      </c>
      <c r="AU4" t="s">
        <v>196</v>
      </c>
      <c r="AV4" t="s">
        <v>197</v>
      </c>
      <c r="AW4" t="s">
        <v>198</v>
      </c>
      <c r="AX4" t="s">
        <v>195</v>
      </c>
      <c r="AY4" t="s">
        <v>196</v>
      </c>
      <c r="AZ4" t="s">
        <v>197</v>
      </c>
      <c r="BA4" t="s">
        <v>198</v>
      </c>
      <c r="BB4" t="s">
        <v>195</v>
      </c>
      <c r="BC4" t="s">
        <v>196</v>
      </c>
      <c r="BD4" t="s">
        <v>197</v>
      </c>
      <c r="BE4" t="s">
        <v>198</v>
      </c>
      <c r="BF4" t="s">
        <v>195</v>
      </c>
      <c r="BG4" t="s">
        <v>196</v>
      </c>
      <c r="BH4" t="s">
        <v>197</v>
      </c>
      <c r="BI4" t="s">
        <v>198</v>
      </c>
      <c r="BJ4" t="s">
        <v>195</v>
      </c>
      <c r="BK4" t="s">
        <v>196</v>
      </c>
      <c r="BL4" t="s">
        <v>197</v>
      </c>
      <c r="BM4" t="s">
        <v>198</v>
      </c>
      <c r="BN4" t="s">
        <v>195</v>
      </c>
      <c r="BO4" t="s">
        <v>196</v>
      </c>
      <c r="BP4" t="s">
        <v>197</v>
      </c>
      <c r="BQ4" t="s">
        <v>198</v>
      </c>
      <c r="BR4" t="s">
        <v>195</v>
      </c>
      <c r="BS4" t="s">
        <v>196</v>
      </c>
      <c r="BT4" t="s">
        <v>197</v>
      </c>
      <c r="BU4" t="s">
        <v>198</v>
      </c>
      <c r="BV4" t="s">
        <v>195</v>
      </c>
      <c r="BW4" t="s">
        <v>196</v>
      </c>
      <c r="BX4" t="s">
        <v>197</v>
      </c>
      <c r="BY4" t="s">
        <v>198</v>
      </c>
      <c r="BZ4" t="s">
        <v>195</v>
      </c>
      <c r="CA4" t="s">
        <v>196</v>
      </c>
    </row>
    <row r="5" spans="1:79" x14ac:dyDescent="0.2">
      <c r="A5" t="s">
        <v>34</v>
      </c>
      <c r="B5" s="9">
        <v>46112</v>
      </c>
      <c r="C5" s="9">
        <v>46022</v>
      </c>
      <c r="D5" s="9">
        <v>45930</v>
      </c>
      <c r="E5" s="9">
        <v>45838</v>
      </c>
      <c r="F5" s="9">
        <v>45747</v>
      </c>
      <c r="G5" s="9">
        <v>45657</v>
      </c>
      <c r="H5" s="9">
        <v>45565</v>
      </c>
      <c r="I5" s="9">
        <v>45473</v>
      </c>
      <c r="J5" s="9">
        <v>45382</v>
      </c>
      <c r="K5" s="9">
        <v>45291</v>
      </c>
      <c r="L5" s="9">
        <v>45199</v>
      </c>
      <c r="M5" s="9">
        <v>45107</v>
      </c>
      <c r="N5" s="9">
        <v>45016</v>
      </c>
      <c r="O5" s="9">
        <v>44926</v>
      </c>
      <c r="P5" s="9">
        <v>44834</v>
      </c>
      <c r="Q5" s="9">
        <v>44742</v>
      </c>
      <c r="R5" s="9">
        <v>44651</v>
      </c>
      <c r="S5" s="9">
        <v>44561</v>
      </c>
      <c r="T5" s="9">
        <v>44469</v>
      </c>
      <c r="U5" s="9">
        <v>44377</v>
      </c>
      <c r="V5" s="9">
        <v>44286</v>
      </c>
      <c r="W5" s="9">
        <v>44196</v>
      </c>
      <c r="X5" s="9">
        <v>44104</v>
      </c>
      <c r="Y5" s="9">
        <v>44012</v>
      </c>
      <c r="Z5" s="9">
        <v>43921</v>
      </c>
      <c r="AA5" s="9">
        <v>43830</v>
      </c>
      <c r="AB5" s="9">
        <v>43738</v>
      </c>
      <c r="AC5" s="9">
        <v>43646</v>
      </c>
      <c r="AD5" s="9">
        <v>43555</v>
      </c>
      <c r="AE5" s="9">
        <v>43465</v>
      </c>
      <c r="AF5" s="9">
        <v>43373</v>
      </c>
      <c r="AG5" s="9">
        <v>43281</v>
      </c>
      <c r="AH5" s="9">
        <v>43190</v>
      </c>
      <c r="AI5" s="9">
        <v>43100</v>
      </c>
      <c r="AJ5" s="9">
        <v>43008</v>
      </c>
      <c r="AK5" s="9">
        <v>42916</v>
      </c>
      <c r="AL5" s="9">
        <v>42825</v>
      </c>
      <c r="AM5" s="9">
        <v>42735</v>
      </c>
      <c r="AN5" s="9">
        <v>42643</v>
      </c>
      <c r="AO5" s="9">
        <v>42551</v>
      </c>
      <c r="AP5" s="9">
        <v>42460</v>
      </c>
      <c r="AQ5" s="9">
        <v>42369</v>
      </c>
      <c r="AR5" s="9">
        <v>42277</v>
      </c>
      <c r="AS5" s="9">
        <v>42185</v>
      </c>
      <c r="AT5" s="9">
        <v>42094</v>
      </c>
      <c r="AU5" s="9">
        <v>42004</v>
      </c>
      <c r="AV5" s="9">
        <v>41912</v>
      </c>
      <c r="AW5" s="9">
        <v>41820</v>
      </c>
      <c r="AX5" s="9">
        <v>41729</v>
      </c>
      <c r="AY5" s="9">
        <v>41639</v>
      </c>
      <c r="AZ5" s="9">
        <v>41547</v>
      </c>
      <c r="BA5" s="9">
        <v>41455</v>
      </c>
      <c r="BB5" s="9">
        <v>41364</v>
      </c>
      <c r="BC5" s="9">
        <v>41274</v>
      </c>
      <c r="BD5" s="9">
        <v>41182</v>
      </c>
      <c r="BE5" s="9">
        <v>41090</v>
      </c>
      <c r="BF5" s="9">
        <v>40999</v>
      </c>
      <c r="BG5" s="9">
        <v>40908</v>
      </c>
      <c r="BH5" s="9">
        <v>40816</v>
      </c>
      <c r="BI5" s="9">
        <v>40724</v>
      </c>
      <c r="BJ5" s="9">
        <v>40633</v>
      </c>
      <c r="BK5" s="9">
        <v>40543</v>
      </c>
      <c r="BL5" s="9">
        <v>40451</v>
      </c>
      <c r="BM5" s="9">
        <v>40359</v>
      </c>
      <c r="BN5" s="9">
        <v>40268</v>
      </c>
      <c r="BO5" s="9">
        <v>40178</v>
      </c>
      <c r="BP5" s="9">
        <v>40086</v>
      </c>
      <c r="BQ5" s="9">
        <v>39994</v>
      </c>
      <c r="BR5" s="9">
        <v>39903</v>
      </c>
      <c r="BS5" s="9">
        <v>39813</v>
      </c>
      <c r="BT5" s="9">
        <v>39721</v>
      </c>
      <c r="BU5" s="9">
        <v>39629</v>
      </c>
      <c r="BV5" s="9">
        <v>39538</v>
      </c>
      <c r="BW5" s="9">
        <v>39447</v>
      </c>
      <c r="BX5" s="9">
        <v>39355</v>
      </c>
      <c r="BY5" s="9">
        <v>39263</v>
      </c>
      <c r="BZ5" s="9">
        <v>39172</v>
      </c>
      <c r="CA5" s="9">
        <v>39082</v>
      </c>
    </row>
    <row r="7" spans="1:79" x14ac:dyDescent="0.2">
      <c r="A7" s="6" t="s">
        <v>10</v>
      </c>
      <c r="B7" s="5">
        <v>578396469000</v>
      </c>
      <c r="C7" s="5">
        <v>510523784000</v>
      </c>
      <c r="D7" s="5">
        <v>525369023000</v>
      </c>
      <c r="E7" s="5">
        <v>493035204000</v>
      </c>
      <c r="F7" s="5">
        <v>361564000000</v>
      </c>
      <c r="G7" s="5">
        <v>374680000000</v>
      </c>
      <c r="H7" s="5">
        <v>325258000000</v>
      </c>
      <c r="I7" s="5">
        <v>306310575000</v>
      </c>
      <c r="J7" s="5">
        <v>266543204000</v>
      </c>
      <c r="K7" s="5">
        <v>238712143000</v>
      </c>
      <c r="L7" s="5">
        <v>241940495000</v>
      </c>
      <c r="M7" s="5">
        <v>181799021000</v>
      </c>
      <c r="N7" s="5">
        <v>244274931000</v>
      </c>
      <c r="O7" s="5">
        <v>334551356000</v>
      </c>
      <c r="P7" s="5">
        <v>316690867000</v>
      </c>
      <c r="Q7" s="5">
        <v>265998281000</v>
      </c>
      <c r="R7" s="5">
        <v>226831696000</v>
      </c>
      <c r="S7" s="5">
        <v>184819000000</v>
      </c>
      <c r="T7" s="5">
        <v>173852000000</v>
      </c>
      <c r="U7" s="5">
        <v>149375511000</v>
      </c>
      <c r="V7" s="5">
        <v>155064389000</v>
      </c>
      <c r="W7" s="5">
        <v>161107361000</v>
      </c>
      <c r="X7" s="5">
        <v>155124003000</v>
      </c>
      <c r="Y7" s="5">
        <v>136398638000</v>
      </c>
      <c r="Z7" s="5">
        <v>132147178000</v>
      </c>
      <c r="AA7" s="5">
        <v>128782000000</v>
      </c>
      <c r="AB7" s="5">
        <v>112336000000</v>
      </c>
      <c r="AC7" s="5">
        <v>80545440000</v>
      </c>
      <c r="AD7" s="5">
        <v>68181652000</v>
      </c>
      <c r="AE7" s="5">
        <v>111082000000</v>
      </c>
      <c r="AF7" s="5">
        <v>98896942000</v>
      </c>
      <c r="AG7" s="5">
        <v>87587608000</v>
      </c>
      <c r="AH7" s="5">
        <v>99943621000</v>
      </c>
      <c r="AI7" s="5">
        <v>111703770000</v>
      </c>
      <c r="AJ7" s="5">
        <v>100518164000</v>
      </c>
      <c r="AK7" s="5">
        <v>86117467000</v>
      </c>
      <c r="AL7" s="5">
        <v>97822499000</v>
      </c>
      <c r="AM7" s="5">
        <v>112009795000</v>
      </c>
      <c r="AN7" s="5">
        <v>108249615000</v>
      </c>
      <c r="AO7" s="5">
        <v>93406391000</v>
      </c>
      <c r="AP7" s="5">
        <v>72255899000</v>
      </c>
      <c r="AQ7" s="5">
        <v>80692318000</v>
      </c>
      <c r="AR7" s="5">
        <v>83394619000</v>
      </c>
      <c r="AS7" s="5">
        <v>98131683000</v>
      </c>
      <c r="AT7" s="5">
        <v>88258980000</v>
      </c>
      <c r="AU7" s="5">
        <v>89292346000</v>
      </c>
      <c r="AV7" s="5">
        <v>85381192000</v>
      </c>
      <c r="AW7" s="5">
        <v>74098120000</v>
      </c>
      <c r="AX7" s="5">
        <v>53301842000</v>
      </c>
      <c r="AY7" s="5">
        <v>50847023000</v>
      </c>
      <c r="AZ7" s="5">
        <v>59349884000</v>
      </c>
      <c r="BA7" s="5">
        <v>60016679000</v>
      </c>
      <c r="BB7" s="5">
        <v>45747914000</v>
      </c>
      <c r="BC7" s="5">
        <v>41374166000</v>
      </c>
      <c r="BD7" s="5">
        <v>49302730000</v>
      </c>
      <c r="BE7" s="5">
        <v>45956931000</v>
      </c>
      <c r="BF7" s="5">
        <v>33474187000</v>
      </c>
      <c r="BG7" s="5">
        <v>31578669000</v>
      </c>
      <c r="BH7" s="5">
        <v>30394524000</v>
      </c>
      <c r="BI7" s="5">
        <v>35950334000</v>
      </c>
      <c r="BJ7" s="5">
        <v>36277773000</v>
      </c>
      <c r="BK7" s="5">
        <v>40720440000</v>
      </c>
      <c r="BL7" s="5">
        <v>46939527000</v>
      </c>
      <c r="BM7" s="5">
        <v>40281916000</v>
      </c>
      <c r="BN7" s="5">
        <v>33663117000</v>
      </c>
      <c r="BO7" s="5">
        <v>32666013000</v>
      </c>
      <c r="BP7" s="5">
        <v>30550787000</v>
      </c>
      <c r="BQ7" s="5">
        <v>24442127000</v>
      </c>
      <c r="BR7" s="5">
        <v>1558873000</v>
      </c>
      <c r="BS7" s="5">
        <v>12947547209</v>
      </c>
      <c r="BT7" s="5">
        <v>30419798000</v>
      </c>
      <c r="BU7" s="5">
        <v>29793681000</v>
      </c>
      <c r="BV7" s="5">
        <v>27045916300</v>
      </c>
      <c r="BW7" s="5">
        <v>35388626000</v>
      </c>
      <c r="BX7" s="5">
        <v>29398887262</v>
      </c>
      <c r="BY7" s="5">
        <v>25429187577</v>
      </c>
      <c r="BZ7" s="5">
        <v>18964718520</v>
      </c>
      <c r="CA7" s="5">
        <v>27931461857</v>
      </c>
    </row>
    <row r="8" spans="1:79" x14ac:dyDescent="0.2">
      <c r="A8" s="1" t="s">
        <v>19</v>
      </c>
      <c r="B8" s="1">
        <v>167159893000</v>
      </c>
      <c r="C8" s="1">
        <v>163644120000</v>
      </c>
      <c r="D8" s="1">
        <v>162787271000</v>
      </c>
      <c r="E8" s="1">
        <v>188057912000</v>
      </c>
      <c r="F8" s="1">
        <v>0</v>
      </c>
      <c r="G8" s="1">
        <v>170378000000</v>
      </c>
      <c r="H8" s="1">
        <v>168229000000</v>
      </c>
      <c r="I8" s="1">
        <v>165166594000</v>
      </c>
      <c r="J8" s="1">
        <v>159023162000</v>
      </c>
      <c r="K8" s="1">
        <v>150648430000</v>
      </c>
      <c r="L8" s="1">
        <v>147280162000</v>
      </c>
      <c r="M8" s="1">
        <v>122634831000</v>
      </c>
      <c r="N8" s="1">
        <v>110322641000</v>
      </c>
      <c r="O8" s="1">
        <v>107581924000</v>
      </c>
      <c r="P8" s="1">
        <v>105345666000</v>
      </c>
      <c r="Q8" s="1">
        <v>113224647000</v>
      </c>
      <c r="R8" s="1">
        <v>111102063000</v>
      </c>
      <c r="S8" s="1">
        <v>110663000000</v>
      </c>
      <c r="T8" s="1">
        <v>107027000000</v>
      </c>
      <c r="U8" s="1">
        <v>103805182000</v>
      </c>
      <c r="V8" s="1">
        <v>100900318000</v>
      </c>
      <c r="W8" s="1">
        <v>97561886000</v>
      </c>
      <c r="X8" s="1">
        <v>94733076000</v>
      </c>
      <c r="Y8" s="1">
        <v>70875252000</v>
      </c>
      <c r="Z8" s="1">
        <v>68554477000</v>
      </c>
      <c r="AA8" s="1">
        <v>67532000000</v>
      </c>
      <c r="AB8" s="1">
        <v>66756000000</v>
      </c>
      <c r="AC8" s="1">
        <v>75048350000</v>
      </c>
      <c r="AD8" s="1">
        <v>77547804000</v>
      </c>
      <c r="AE8" s="1">
        <v>76030000000</v>
      </c>
      <c r="AF8" s="1">
        <v>73609817000</v>
      </c>
      <c r="AG8" s="1">
        <v>71408684000</v>
      </c>
      <c r="AH8" s="1">
        <v>71497877000</v>
      </c>
      <c r="AI8" s="1">
        <v>70813463000</v>
      </c>
      <c r="AJ8" s="1">
        <v>71164662000</v>
      </c>
      <c r="AK8" s="1">
        <v>57992390000</v>
      </c>
      <c r="AL8" s="1">
        <v>60172185000</v>
      </c>
      <c r="AM8" s="1">
        <v>56437557000</v>
      </c>
      <c r="AN8" s="1">
        <v>56268794000</v>
      </c>
      <c r="AO8" s="1">
        <v>55274988000</v>
      </c>
      <c r="AP8" s="1">
        <v>55847061000</v>
      </c>
      <c r="AQ8" s="1">
        <v>56255855000</v>
      </c>
      <c r="AR8" s="1">
        <v>56148642000</v>
      </c>
      <c r="AS8" s="1">
        <v>54623107000</v>
      </c>
      <c r="AT8" s="1">
        <v>55477996000</v>
      </c>
      <c r="AU8" s="1">
        <v>56417442000</v>
      </c>
      <c r="AV8" s="1">
        <v>56232567000</v>
      </c>
      <c r="AW8" s="1">
        <v>45979114000</v>
      </c>
      <c r="AX8" s="1">
        <v>41622377000</v>
      </c>
      <c r="AY8" s="1">
        <v>41151537000</v>
      </c>
      <c r="AZ8" s="1">
        <v>40439432000</v>
      </c>
      <c r="BA8" s="1">
        <v>38094641000</v>
      </c>
      <c r="BB8" s="1">
        <v>36496190000</v>
      </c>
      <c r="BC8" s="1">
        <v>36205009000</v>
      </c>
      <c r="BD8" s="1">
        <v>34678053000</v>
      </c>
      <c r="BE8" s="1">
        <v>32460831000</v>
      </c>
      <c r="BF8" s="1">
        <v>28005407000</v>
      </c>
      <c r="BG8" s="1">
        <v>27741725000</v>
      </c>
      <c r="BH8" s="1">
        <v>27965271000</v>
      </c>
      <c r="BI8" s="1">
        <v>27158116000</v>
      </c>
      <c r="BJ8" s="1">
        <v>24816388000</v>
      </c>
      <c r="BK8" s="1">
        <v>23304282000</v>
      </c>
      <c r="BL8" s="1">
        <v>22372015000</v>
      </c>
      <c r="BM8" s="1">
        <v>21131133000</v>
      </c>
      <c r="BN8" s="1">
        <v>21002670000</v>
      </c>
      <c r="BO8" s="1">
        <v>20277361000</v>
      </c>
      <c r="BP8" s="1">
        <v>20001339000</v>
      </c>
      <c r="BQ8" s="1">
        <v>20052537000</v>
      </c>
      <c r="BR8" s="1">
        <v>20483463000</v>
      </c>
      <c r="BS8" s="1">
        <v>21342194662</v>
      </c>
      <c r="BT8" s="1">
        <v>24264004000</v>
      </c>
      <c r="BU8" s="1">
        <v>17075858000</v>
      </c>
      <c r="BV8" s="1">
        <v>19053696090</v>
      </c>
      <c r="BW8" s="1">
        <v>20897202000</v>
      </c>
      <c r="BX8" s="1">
        <v>19128324374</v>
      </c>
      <c r="BY8" s="1">
        <v>19478897685</v>
      </c>
      <c r="BZ8" s="1">
        <v>20387899840</v>
      </c>
      <c r="CA8" s="1">
        <v>24901463715</v>
      </c>
    </row>
    <row r="9" spans="1:79" x14ac:dyDescent="0.2">
      <c r="A9" s="1" t="s">
        <v>102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-265914337000</v>
      </c>
      <c r="L9" s="1">
        <v>1075338000</v>
      </c>
      <c r="M9" s="1">
        <v>60565950000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-30727554000</v>
      </c>
      <c r="U9" s="1">
        <v>-57929037000</v>
      </c>
      <c r="V9" s="1">
        <v>-6415363000</v>
      </c>
      <c r="W9" s="1">
        <v>-2833185000</v>
      </c>
      <c r="X9" s="1">
        <v>-17673301000</v>
      </c>
      <c r="Y9" s="1">
        <v>-36446081000</v>
      </c>
      <c r="Z9" s="1">
        <v>-1613277000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-2159237000</v>
      </c>
      <c r="AZ9" s="1">
        <v>0</v>
      </c>
      <c r="BA9" s="1">
        <v>-17023167000</v>
      </c>
      <c r="BB9" s="1">
        <v>-90793000</v>
      </c>
      <c r="BC9" s="1">
        <v>312514000</v>
      </c>
      <c r="BD9" s="1">
        <v>345878000</v>
      </c>
      <c r="BE9" s="1">
        <v>523019000</v>
      </c>
      <c r="BF9" s="1">
        <v>-608211000</v>
      </c>
      <c r="BG9" s="1">
        <v>-978281000</v>
      </c>
      <c r="BH9" s="1">
        <v>59867000</v>
      </c>
      <c r="BI9" s="1">
        <v>-609704000</v>
      </c>
      <c r="BJ9" s="1">
        <v>1037018000</v>
      </c>
      <c r="BK9" s="1">
        <v>-120476000</v>
      </c>
      <c r="BL9" s="1">
        <v>598732000</v>
      </c>
      <c r="BM9" s="1">
        <v>-137867000</v>
      </c>
      <c r="BN9" s="1">
        <v>-717689000</v>
      </c>
      <c r="BO9" s="1">
        <v>-630153000</v>
      </c>
      <c r="BP9" s="1">
        <v>-425247000</v>
      </c>
      <c r="BQ9" s="1">
        <v>696841000</v>
      </c>
      <c r="BR9" s="1">
        <v>-1393841000</v>
      </c>
      <c r="BS9" s="1">
        <v>166820336</v>
      </c>
      <c r="BT9" s="1">
        <v>341302000</v>
      </c>
      <c r="BU9" s="1">
        <v>1342859000</v>
      </c>
      <c r="BV9" s="1">
        <v>425441380</v>
      </c>
      <c r="BW9" s="1">
        <v>878575000</v>
      </c>
      <c r="BX9" s="1">
        <v>667434137</v>
      </c>
      <c r="BY9" s="1">
        <v>390671042</v>
      </c>
      <c r="BZ9" s="1">
        <v>-992917200</v>
      </c>
      <c r="CA9" s="1">
        <v>20835806</v>
      </c>
    </row>
    <row r="10" spans="1:79" x14ac:dyDescent="0.2">
      <c r="A10" s="1" t="s">
        <v>101</v>
      </c>
      <c r="B10" s="1">
        <v>0</v>
      </c>
      <c r="C10" s="1">
        <v>0</v>
      </c>
      <c r="D10" s="1">
        <v>273416000</v>
      </c>
      <c r="E10" s="1">
        <v>344406000</v>
      </c>
      <c r="F10" s="1">
        <v>0</v>
      </c>
      <c r="G10" s="1">
        <v>396699000</v>
      </c>
      <c r="H10" s="1">
        <v>322961000</v>
      </c>
      <c r="I10" s="1">
        <v>230956000</v>
      </c>
      <c r="J10" s="1">
        <v>181831000</v>
      </c>
      <c r="K10" s="1">
        <v>127299000</v>
      </c>
      <c r="L10" s="1">
        <v>127349000</v>
      </c>
      <c r="M10" s="1">
        <v>127580000</v>
      </c>
      <c r="N10" s="1">
        <v>100772000</v>
      </c>
      <c r="O10" s="1">
        <v>80309000</v>
      </c>
      <c r="P10" s="1">
        <v>80290000</v>
      </c>
      <c r="Q10" s="1">
        <v>114348000</v>
      </c>
      <c r="R10" s="1">
        <v>27453000</v>
      </c>
      <c r="S10" s="1">
        <v>1793000</v>
      </c>
      <c r="T10" s="1">
        <v>2607000</v>
      </c>
      <c r="U10" s="1">
        <v>1750000</v>
      </c>
      <c r="V10" s="1">
        <v>1704000</v>
      </c>
      <c r="W10" s="1">
        <v>1727000</v>
      </c>
      <c r="X10" s="1">
        <v>1873000</v>
      </c>
      <c r="Y10" s="1">
        <v>1590000</v>
      </c>
      <c r="Z10" s="1">
        <v>1410000</v>
      </c>
      <c r="AA10" s="1">
        <v>1394000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-12000</v>
      </c>
      <c r="AZ10" s="1">
        <v>0</v>
      </c>
      <c r="BA10" s="1">
        <v>2611000</v>
      </c>
      <c r="BB10" s="1">
        <v>2701000</v>
      </c>
      <c r="BC10" s="1">
        <v>2828000</v>
      </c>
      <c r="BD10" s="1">
        <v>3372000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</row>
    <row r="11" spans="1:79" x14ac:dyDescent="0.2">
      <c r="A11" s="1" t="s">
        <v>100</v>
      </c>
      <c r="B11" s="1">
        <v>-152649465000</v>
      </c>
      <c r="C11" s="1">
        <v>-25135712000</v>
      </c>
      <c r="D11" s="1">
        <v>-108609052000</v>
      </c>
      <c r="E11" s="1">
        <v>-13112531000</v>
      </c>
      <c r="F11" s="1">
        <v>33224793000</v>
      </c>
      <c r="G11" s="1">
        <v>16913622000</v>
      </c>
      <c r="H11" s="1">
        <v>-49537146000</v>
      </c>
      <c r="I11" s="1">
        <v>10557179000</v>
      </c>
      <c r="J11" s="1">
        <v>24112111000</v>
      </c>
      <c r="K11" s="1">
        <v>24144888000</v>
      </c>
      <c r="L11" s="1">
        <v>-83024951000</v>
      </c>
      <c r="M11" s="1">
        <v>-60714099000</v>
      </c>
      <c r="N11" s="1">
        <v>43998868000</v>
      </c>
      <c r="O11" s="1">
        <v>55492398000</v>
      </c>
      <c r="P11" s="1">
        <v>11411806000</v>
      </c>
      <c r="Q11" s="1">
        <v>22303142000</v>
      </c>
      <c r="R11" s="1">
        <v>33301154000</v>
      </c>
      <c r="S11" s="1">
        <v>83958509000</v>
      </c>
      <c r="T11" s="1">
        <v>72086340000</v>
      </c>
      <c r="U11" s="1">
        <v>-7363705000</v>
      </c>
      <c r="V11" s="1">
        <v>-20918695000</v>
      </c>
      <c r="W11" s="1">
        <v>4179574000</v>
      </c>
      <c r="X11" s="1">
        <v>-40489179000</v>
      </c>
      <c r="Y11" s="1">
        <v>1574792000</v>
      </c>
      <c r="Z11" s="1">
        <v>6398159000</v>
      </c>
      <c r="AA11" s="1">
        <v>25592424000</v>
      </c>
      <c r="AB11" s="1">
        <v>-36281000000</v>
      </c>
      <c r="AC11" s="1">
        <v>2063675000</v>
      </c>
      <c r="AD11" s="1">
        <v>10605163000</v>
      </c>
      <c r="AE11" s="1">
        <v>16667000000</v>
      </c>
      <c r="AF11" s="1">
        <v>-74200667000</v>
      </c>
      <c r="AG11" s="1">
        <v>1128441000</v>
      </c>
      <c r="AH11" s="1">
        <v>-7079008000</v>
      </c>
      <c r="AI11" s="1">
        <v>26272217000</v>
      </c>
      <c r="AJ11" s="1">
        <v>-28118550000</v>
      </c>
      <c r="AK11" s="1">
        <v>-347832000</v>
      </c>
      <c r="AL11" s="1">
        <v>12172765000</v>
      </c>
      <c r="AM11" s="1">
        <v>18628286000</v>
      </c>
      <c r="AN11" s="1">
        <v>-18180996000</v>
      </c>
      <c r="AO11" s="1">
        <v>-11669708000</v>
      </c>
      <c r="AP11" s="1">
        <v>-3837482000</v>
      </c>
      <c r="AQ11" s="1">
        <v>10420556000</v>
      </c>
      <c r="AR11" s="1">
        <v>-8583675000</v>
      </c>
      <c r="AS11" s="1">
        <v>6717530000</v>
      </c>
      <c r="AT11" s="1">
        <v>14670589000</v>
      </c>
      <c r="AU11" s="1">
        <v>5731375000</v>
      </c>
      <c r="AV11" s="1">
        <v>-41778811000</v>
      </c>
      <c r="AW11" s="1">
        <v>-16493194000</v>
      </c>
      <c r="AX11" s="1">
        <v>-2430949000</v>
      </c>
      <c r="AY11" s="1">
        <v>12702398000</v>
      </c>
      <c r="AZ11" s="1">
        <v>-4346105000</v>
      </c>
      <c r="BA11" s="1">
        <v>-8977616000</v>
      </c>
      <c r="BB11" s="1">
        <v>-8734017000</v>
      </c>
      <c r="BC11" s="1">
        <v>6820818000</v>
      </c>
      <c r="BD11" s="1">
        <v>-7752546000</v>
      </c>
      <c r="BE11" s="1">
        <v>-8125420000</v>
      </c>
      <c r="BF11" s="1">
        <v>-3995252000</v>
      </c>
      <c r="BG11" s="1">
        <v>14259091000</v>
      </c>
      <c r="BH11" s="1">
        <v>-3915187000</v>
      </c>
      <c r="BI11" s="1">
        <v>-1145121000</v>
      </c>
      <c r="BJ11" s="1">
        <v>-5272883000</v>
      </c>
      <c r="BK11" s="1">
        <v>6797551000</v>
      </c>
      <c r="BL11" s="1">
        <v>-975781000</v>
      </c>
      <c r="BM11" s="1">
        <v>-11901450000</v>
      </c>
      <c r="BN11" s="1">
        <v>-7837320000</v>
      </c>
      <c r="BO11" s="1">
        <v>9761142000</v>
      </c>
      <c r="BP11" s="1">
        <v>-5221942000</v>
      </c>
      <c r="BQ11" s="1">
        <v>-20609968000</v>
      </c>
      <c r="BR11" s="1">
        <v>3778816000</v>
      </c>
      <c r="BS11" s="1">
        <v>28804848088</v>
      </c>
      <c r="BT11" s="1">
        <v>4236246000</v>
      </c>
      <c r="BU11" s="1">
        <v>-6451809000</v>
      </c>
      <c r="BV11" s="1">
        <v>8874873000</v>
      </c>
      <c r="BW11" s="1">
        <v>5047055000</v>
      </c>
      <c r="BX11" s="1">
        <v>605740364</v>
      </c>
      <c r="BY11" s="1">
        <v>-10127211444</v>
      </c>
      <c r="BZ11" s="1">
        <v>264777920</v>
      </c>
      <c r="CA11" s="1">
        <v>3203174591</v>
      </c>
    </row>
    <row r="12" spans="1:79" x14ac:dyDescent="0.2">
      <c r="A12" s="1" t="s">
        <v>99</v>
      </c>
      <c r="B12" s="1">
        <v>0</v>
      </c>
      <c r="C12" s="1">
        <v>0</v>
      </c>
      <c r="D12" s="1">
        <v>-72175977000</v>
      </c>
      <c r="E12" s="1">
        <v>8254117000</v>
      </c>
      <c r="F12" s="1">
        <v>29000965000</v>
      </c>
      <c r="G12" s="1">
        <v>-21112691000</v>
      </c>
      <c r="H12" s="1">
        <v>-40449799000</v>
      </c>
      <c r="I12" s="1">
        <v>-8242890000</v>
      </c>
      <c r="J12" s="1">
        <v>-48817000</v>
      </c>
      <c r="K12" s="1">
        <v>20896087000</v>
      </c>
      <c r="L12" s="1">
        <v>-12364398000</v>
      </c>
      <c r="M12" s="1">
        <v>-42449131000</v>
      </c>
      <c r="N12" s="1">
        <v>83284539000</v>
      </c>
      <c r="O12" s="1">
        <v>30205655000</v>
      </c>
      <c r="P12" s="1">
        <v>-39450051000</v>
      </c>
      <c r="Q12" s="1">
        <v>-8678406000</v>
      </c>
      <c r="R12" s="1">
        <v>-15123129000</v>
      </c>
      <c r="S12" s="1">
        <v>-11277023000</v>
      </c>
      <c r="T12" s="1">
        <v>-8894555000</v>
      </c>
      <c r="U12" s="1">
        <v>-2701376000</v>
      </c>
      <c r="V12" s="1">
        <v>-13149124000</v>
      </c>
      <c r="W12" s="1">
        <v>16220106000</v>
      </c>
      <c r="X12" s="1">
        <v>-12992401000</v>
      </c>
      <c r="Y12" s="1">
        <v>-2715082000</v>
      </c>
      <c r="Z12" s="1">
        <v>-8595331000</v>
      </c>
      <c r="AA12" s="1">
        <v>3411568000</v>
      </c>
      <c r="AB12" s="1">
        <v>-30709956000</v>
      </c>
      <c r="AC12" s="1">
        <v>-11460654000</v>
      </c>
      <c r="AD12" s="1">
        <v>20639442000</v>
      </c>
      <c r="AE12" s="1">
        <v>-2368521000</v>
      </c>
      <c r="AF12" s="1">
        <v>-42221508000</v>
      </c>
      <c r="AG12" s="1">
        <v>18021741000</v>
      </c>
      <c r="AH12" s="1">
        <v>13296988000</v>
      </c>
      <c r="AI12" s="1">
        <v>-4928286000</v>
      </c>
      <c r="AJ12" s="1">
        <v>-9273111000</v>
      </c>
      <c r="AK12" s="1">
        <v>-2964106000</v>
      </c>
      <c r="AL12" s="1">
        <v>18227303000</v>
      </c>
      <c r="AM12" s="1">
        <v>-802538000</v>
      </c>
      <c r="AN12" s="1">
        <v>-19421441000</v>
      </c>
      <c r="AO12" s="1">
        <v>-16645226000</v>
      </c>
      <c r="AP12" s="1">
        <v>-12473495000</v>
      </c>
      <c r="AQ12" s="1">
        <v>10849312000</v>
      </c>
      <c r="AR12" s="1">
        <v>1211298000</v>
      </c>
      <c r="AS12" s="1">
        <v>-1635585000</v>
      </c>
      <c r="AT12" s="1">
        <v>16205075000</v>
      </c>
      <c r="AU12" s="1">
        <v>-542601000</v>
      </c>
      <c r="AV12" s="1">
        <v>-27575033000</v>
      </c>
      <c r="AW12" s="1">
        <v>-12545225000</v>
      </c>
      <c r="AX12" s="1">
        <v>-2387045000</v>
      </c>
      <c r="AY12" s="1">
        <v>7194395000</v>
      </c>
      <c r="AZ12" s="1">
        <v>898347000</v>
      </c>
      <c r="BA12" s="1">
        <v>-14987052000</v>
      </c>
      <c r="BB12" s="1">
        <v>-7695015000</v>
      </c>
      <c r="BC12" s="1">
        <v>9675099000</v>
      </c>
      <c r="BD12" s="1">
        <v>-4047277000</v>
      </c>
      <c r="BE12" s="1">
        <v>-6430428000</v>
      </c>
      <c r="BF12" s="1">
        <v>-2805494000</v>
      </c>
      <c r="BG12" s="1">
        <v>12231405000</v>
      </c>
      <c r="BH12" s="1">
        <v>-8089089000</v>
      </c>
      <c r="BI12" s="1">
        <v>-695354000</v>
      </c>
      <c r="BJ12" s="1">
        <v>-433662000</v>
      </c>
      <c r="BK12" s="1">
        <v>5210493000</v>
      </c>
      <c r="BL12" s="1">
        <v>557898000</v>
      </c>
      <c r="BM12" s="1">
        <v>-13851257000</v>
      </c>
      <c r="BN12" s="1">
        <v>-3708034000</v>
      </c>
      <c r="BO12" s="1">
        <v>12215160000</v>
      </c>
      <c r="BP12" s="1">
        <v>0</v>
      </c>
      <c r="BQ12" s="1">
        <v>-19232182000</v>
      </c>
      <c r="BR12" s="1">
        <v>4791159000</v>
      </c>
      <c r="BS12" s="1">
        <v>26946331710</v>
      </c>
      <c r="BT12" s="1">
        <v>-2928716000</v>
      </c>
      <c r="BU12" s="1">
        <v>-4381463000</v>
      </c>
      <c r="BV12" s="1">
        <v>4501549000</v>
      </c>
      <c r="BW12" s="1">
        <v>0</v>
      </c>
      <c r="BX12" s="1">
        <v>0</v>
      </c>
      <c r="BY12" s="1">
        <v>0</v>
      </c>
      <c r="BZ12" s="1">
        <v>0</v>
      </c>
      <c r="CA12" s="1">
        <v>5525274357</v>
      </c>
    </row>
    <row r="13" spans="1:79" x14ac:dyDescent="0.2">
      <c r="A13" s="1" t="s">
        <v>70</v>
      </c>
      <c r="B13" s="1">
        <v>0</v>
      </c>
      <c r="C13" s="1">
        <v>0</v>
      </c>
      <c r="D13" s="1">
        <v>15504653000</v>
      </c>
      <c r="E13" s="1">
        <v>-10806101000</v>
      </c>
      <c r="F13" s="1">
        <v>-5518805000</v>
      </c>
      <c r="G13" s="1">
        <v>5015142000</v>
      </c>
      <c r="H13" s="1">
        <v>-20393343000</v>
      </c>
      <c r="I13" s="1">
        <v>-5367248000</v>
      </c>
      <c r="J13" s="1">
        <v>-16126251000</v>
      </c>
      <c r="K13" s="1">
        <v>11092984000</v>
      </c>
      <c r="L13" s="1">
        <v>-27757123000</v>
      </c>
      <c r="M13" s="1">
        <v>-18264968000</v>
      </c>
      <c r="N13" s="1">
        <v>5081167000</v>
      </c>
      <c r="O13" s="1">
        <v>-2813247000</v>
      </c>
      <c r="P13" s="1">
        <v>-897783000</v>
      </c>
      <c r="Q13" s="1">
        <v>-17319409000</v>
      </c>
      <c r="R13" s="1">
        <v>-7016361000</v>
      </c>
      <c r="S13" s="1">
        <v>-10868569000</v>
      </c>
      <c r="T13" s="1">
        <v>-11795045000</v>
      </c>
      <c r="U13" s="1">
        <v>-15871139000</v>
      </c>
      <c r="V13" s="1">
        <v>-17214161000</v>
      </c>
      <c r="W13" s="1">
        <v>-27843921000</v>
      </c>
      <c r="X13" s="1">
        <v>-23721392000</v>
      </c>
      <c r="Y13" s="1">
        <v>-7510260000</v>
      </c>
      <c r="Z13" s="1">
        <v>4703362000</v>
      </c>
      <c r="AA13" s="1">
        <v>13704554000</v>
      </c>
      <c r="AB13" s="1">
        <v>11546149000</v>
      </c>
      <c r="AC13" s="1">
        <v>450503000</v>
      </c>
      <c r="AD13" s="1">
        <v>-5451406000</v>
      </c>
      <c r="AE13" s="1">
        <v>2105575000</v>
      </c>
      <c r="AF13" s="1">
        <v>-6304499000</v>
      </c>
      <c r="AG13" s="1">
        <v>-13835924000</v>
      </c>
      <c r="AH13" s="1">
        <v>-11335152000</v>
      </c>
      <c r="AI13" s="1">
        <v>-17454000</v>
      </c>
      <c r="AJ13" s="1">
        <v>-12883354000</v>
      </c>
      <c r="AK13" s="1">
        <v>-10621503000</v>
      </c>
      <c r="AL13" s="1">
        <v>-1706789000</v>
      </c>
      <c r="AM13" s="1">
        <v>5199974000</v>
      </c>
      <c r="AN13" s="1">
        <v>6823670000</v>
      </c>
      <c r="AO13" s="1">
        <v>-3463494000</v>
      </c>
      <c r="AP13" s="1">
        <v>9809950000</v>
      </c>
      <c r="AQ13" s="1">
        <v>-1926957000</v>
      </c>
      <c r="AR13" s="1">
        <v>1212383000</v>
      </c>
      <c r="AS13" s="1">
        <v>-1678931000</v>
      </c>
      <c r="AT13" s="1">
        <v>1738305000</v>
      </c>
      <c r="AU13" s="1">
        <v>-1029504000</v>
      </c>
      <c r="AV13" s="1">
        <v>-14382724000</v>
      </c>
      <c r="AW13" s="1">
        <v>-7472996000</v>
      </c>
      <c r="AX13" s="1">
        <v>-5986376000</v>
      </c>
      <c r="AY13" s="1">
        <v>-578338000</v>
      </c>
      <c r="AZ13" s="1">
        <v>1698401000</v>
      </c>
      <c r="BA13" s="1">
        <v>-994596000</v>
      </c>
      <c r="BB13" s="1">
        <v>-2967000</v>
      </c>
      <c r="BC13" s="1">
        <v>-4581437000</v>
      </c>
      <c r="BD13" s="1">
        <v>-2468579000</v>
      </c>
      <c r="BE13" s="1">
        <v>-3021316000</v>
      </c>
      <c r="BF13" s="1">
        <v>-2918568000</v>
      </c>
      <c r="BG13" s="1">
        <v>851660000</v>
      </c>
      <c r="BH13" s="1">
        <v>4876862000</v>
      </c>
      <c r="BI13" s="1">
        <v>264033000</v>
      </c>
      <c r="BJ13" s="1">
        <v>-3381255000</v>
      </c>
      <c r="BK13" s="1">
        <v>-1742436000</v>
      </c>
      <c r="BL13" s="1">
        <v>-1863519000</v>
      </c>
      <c r="BM13" s="1">
        <v>-2105663000</v>
      </c>
      <c r="BN13" s="1">
        <v>-1780482000</v>
      </c>
      <c r="BO13" s="1">
        <v>-1737793000</v>
      </c>
      <c r="BP13" s="1">
        <v>0</v>
      </c>
      <c r="BQ13" s="1">
        <v>-4198740000</v>
      </c>
      <c r="BR13" s="1">
        <v>101478000</v>
      </c>
      <c r="BS13" s="1">
        <v>6970873801</v>
      </c>
      <c r="BT13" s="1">
        <v>1869743000</v>
      </c>
      <c r="BU13" s="1">
        <v>-1802663000</v>
      </c>
      <c r="BV13" s="1">
        <v>1972623000</v>
      </c>
      <c r="BW13" s="1">
        <v>0</v>
      </c>
      <c r="BX13" s="1">
        <v>0</v>
      </c>
      <c r="BY13" s="1">
        <v>0</v>
      </c>
      <c r="BZ13" s="1">
        <v>0</v>
      </c>
      <c r="CA13" s="1">
        <v>-1591332233</v>
      </c>
    </row>
    <row r="14" spans="1:79" x14ac:dyDescent="0.2">
      <c r="A14" s="1" t="s">
        <v>98</v>
      </c>
      <c r="B14" s="1">
        <v>0</v>
      </c>
      <c r="C14" s="1">
        <v>0</v>
      </c>
      <c r="D14" s="1">
        <v>929976000</v>
      </c>
      <c r="E14" s="1">
        <v>7857888000</v>
      </c>
      <c r="F14" s="1">
        <v>0</v>
      </c>
      <c r="G14" s="1">
        <v>0</v>
      </c>
      <c r="H14" s="1">
        <v>0</v>
      </c>
      <c r="I14" s="1">
        <v>6338247000</v>
      </c>
      <c r="J14" s="1">
        <v>316951000</v>
      </c>
      <c r="K14" s="1">
        <v>3520751000</v>
      </c>
      <c r="L14" s="1">
        <v>4356768000</v>
      </c>
      <c r="M14" s="1">
        <v>1491930000</v>
      </c>
      <c r="N14" s="1">
        <v>-8577523000</v>
      </c>
      <c r="O14" s="1">
        <v>-5267702000</v>
      </c>
      <c r="P14" s="1">
        <v>2122453000</v>
      </c>
      <c r="Q14" s="1">
        <v>9371769000</v>
      </c>
      <c r="R14" s="1">
        <v>1367580000</v>
      </c>
      <c r="S14" s="1">
        <v>0</v>
      </c>
      <c r="T14" s="1">
        <v>2007449000</v>
      </c>
      <c r="U14" s="1">
        <v>3072669000</v>
      </c>
      <c r="V14" s="1">
        <v>-2334169000</v>
      </c>
      <c r="W14" s="1">
        <v>75073000</v>
      </c>
      <c r="X14" s="1">
        <v>808432000</v>
      </c>
      <c r="Y14" s="1">
        <v>-182296000</v>
      </c>
      <c r="Z14" s="1">
        <v>-296602000</v>
      </c>
      <c r="AA14" s="1">
        <v>0</v>
      </c>
      <c r="AB14" s="1">
        <v>3273230000</v>
      </c>
      <c r="AC14" s="1">
        <v>4435491000</v>
      </c>
      <c r="AD14" s="1">
        <v>-6105106000</v>
      </c>
      <c r="AE14" s="1">
        <v>4199260000</v>
      </c>
      <c r="AF14" s="1">
        <v>-751870000</v>
      </c>
      <c r="AG14" s="1">
        <v>2077781000</v>
      </c>
      <c r="AH14" s="1">
        <v>-984571000</v>
      </c>
      <c r="AI14" s="1">
        <v>1119113000</v>
      </c>
      <c r="AJ14" s="1">
        <v>2851345000</v>
      </c>
      <c r="AK14" s="1">
        <v>1622491000</v>
      </c>
      <c r="AL14" s="1">
        <v>-3020849000</v>
      </c>
      <c r="AM14" s="1">
        <v>1487956000</v>
      </c>
      <c r="AN14" s="1">
        <v>2361139000</v>
      </c>
      <c r="AO14" s="1">
        <v>3442577000</v>
      </c>
      <c r="AP14" s="1">
        <v>3728000</v>
      </c>
      <c r="AQ14" s="1">
        <v>413592000</v>
      </c>
      <c r="AR14" s="1">
        <v>-1519455000</v>
      </c>
      <c r="AS14" s="1">
        <v>986201000</v>
      </c>
      <c r="AT14" s="1">
        <v>-2573738000</v>
      </c>
      <c r="AU14" s="1">
        <v>907939000</v>
      </c>
      <c r="AV14" s="1">
        <v>395089000</v>
      </c>
      <c r="AW14" s="1">
        <v>0</v>
      </c>
      <c r="AX14" s="1">
        <v>0</v>
      </c>
      <c r="AY14" s="1">
        <v>1306196000</v>
      </c>
      <c r="AZ14" s="1">
        <v>-1240877000</v>
      </c>
      <c r="BA14" s="1">
        <v>0</v>
      </c>
      <c r="BB14" s="1">
        <v>-2065468000</v>
      </c>
      <c r="BC14" s="1">
        <v>-459603000</v>
      </c>
      <c r="BD14" s="1">
        <v>-1186581000</v>
      </c>
      <c r="BE14" s="1">
        <v>1308400000</v>
      </c>
      <c r="BF14" s="1">
        <v>1733684000</v>
      </c>
      <c r="BG14" s="1">
        <v>809861000</v>
      </c>
      <c r="BH14" s="1">
        <v>-702904000</v>
      </c>
      <c r="BI14" s="1">
        <v>-599193000</v>
      </c>
      <c r="BJ14" s="1">
        <v>-1476564000</v>
      </c>
      <c r="BK14" s="1">
        <v>-121281000</v>
      </c>
      <c r="BL14" s="1">
        <v>-3810000</v>
      </c>
      <c r="BM14" s="1">
        <v>1759821000</v>
      </c>
      <c r="BN14" s="1">
        <v>-700830000</v>
      </c>
      <c r="BO14" s="1">
        <v>547237000</v>
      </c>
      <c r="BP14" s="1">
        <v>0</v>
      </c>
      <c r="BQ14" s="1">
        <v>3646072000</v>
      </c>
      <c r="BR14" s="1">
        <v>-238815000</v>
      </c>
      <c r="BS14" s="1">
        <v>0</v>
      </c>
      <c r="BT14" s="1">
        <v>0</v>
      </c>
      <c r="BU14" s="1">
        <v>0</v>
      </c>
      <c r="BV14" s="1">
        <v>-2192963000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</row>
    <row r="15" spans="1:79" x14ac:dyDescent="0.2">
      <c r="A15" s="1" t="s">
        <v>97</v>
      </c>
      <c r="B15" s="1">
        <v>-152649465000</v>
      </c>
      <c r="C15" s="1">
        <v>-25135712000</v>
      </c>
      <c r="D15" s="1">
        <v>-52867704000</v>
      </c>
      <c r="E15" s="1">
        <v>-18418435000</v>
      </c>
      <c r="F15" s="1">
        <v>9742633000</v>
      </c>
      <c r="G15" s="1">
        <v>33011171000</v>
      </c>
      <c r="H15" s="1">
        <v>11305996000</v>
      </c>
      <c r="I15" s="1">
        <v>17829070000</v>
      </c>
      <c r="J15" s="1">
        <v>39970228000</v>
      </c>
      <c r="K15" s="1">
        <v>-11364934000</v>
      </c>
      <c r="L15" s="1">
        <v>-47260198000</v>
      </c>
      <c r="M15" s="1">
        <v>-1491930000</v>
      </c>
      <c r="N15" s="1">
        <v>-35789315000</v>
      </c>
      <c r="O15" s="1">
        <v>33367692000</v>
      </c>
      <c r="P15" s="1">
        <v>49637187000</v>
      </c>
      <c r="Q15" s="1">
        <v>38929188000</v>
      </c>
      <c r="R15" s="1">
        <v>54073064000</v>
      </c>
      <c r="S15" s="1">
        <v>106104101000</v>
      </c>
      <c r="T15" s="1">
        <v>90768485000</v>
      </c>
      <c r="U15" s="1">
        <v>8136141000</v>
      </c>
      <c r="V15" s="1">
        <v>11778759000</v>
      </c>
      <c r="W15" s="1">
        <v>15728316000</v>
      </c>
      <c r="X15" s="1">
        <v>-4583818000</v>
      </c>
      <c r="Y15" s="1">
        <v>11982430000</v>
      </c>
      <c r="Z15" s="1">
        <v>10586730000</v>
      </c>
      <c r="AA15" s="1">
        <v>8476302000</v>
      </c>
      <c r="AB15" s="1">
        <v>-20390423000</v>
      </c>
      <c r="AC15" s="1">
        <v>8638335000</v>
      </c>
      <c r="AD15" s="1">
        <v>1522233000</v>
      </c>
      <c r="AE15" s="1">
        <v>12730686000</v>
      </c>
      <c r="AF15" s="1">
        <v>-24922790000</v>
      </c>
      <c r="AG15" s="1">
        <v>-5135157000</v>
      </c>
      <c r="AH15" s="1">
        <v>-8056273000</v>
      </c>
      <c r="AI15" s="1">
        <v>30098844000</v>
      </c>
      <c r="AJ15" s="1">
        <v>-8813430000</v>
      </c>
      <c r="AK15" s="1">
        <v>11615286000</v>
      </c>
      <c r="AL15" s="1">
        <v>-1326900000</v>
      </c>
      <c r="AM15" s="1">
        <v>12742894000</v>
      </c>
      <c r="AN15" s="1">
        <v>-7944364000</v>
      </c>
      <c r="AO15" s="1">
        <v>4996435000</v>
      </c>
      <c r="AP15" s="1">
        <v>-1177665000</v>
      </c>
      <c r="AQ15" s="1">
        <v>1084609000</v>
      </c>
      <c r="AR15" s="1">
        <v>-9487901000</v>
      </c>
      <c r="AS15" s="1">
        <v>9045845000</v>
      </c>
      <c r="AT15" s="1">
        <v>-699053000</v>
      </c>
      <c r="AU15" s="1">
        <v>6395541000</v>
      </c>
      <c r="AV15" s="1">
        <v>-216143000</v>
      </c>
      <c r="AW15" s="1">
        <v>3525027000</v>
      </c>
      <c r="AX15" s="1">
        <v>5942472000</v>
      </c>
      <c r="AY15" s="1">
        <v>4780145000</v>
      </c>
      <c r="AZ15" s="1">
        <v>-5701976000</v>
      </c>
      <c r="BA15" s="1">
        <v>7004032000</v>
      </c>
      <c r="BB15" s="1">
        <v>1029433000</v>
      </c>
      <c r="BC15" s="1">
        <v>2186759000</v>
      </c>
      <c r="BD15" s="1">
        <v>-50109000</v>
      </c>
      <c r="BE15" s="1">
        <v>17924000</v>
      </c>
      <c r="BF15" s="1">
        <v>-4874000</v>
      </c>
      <c r="BG15" s="1">
        <v>366165000</v>
      </c>
      <c r="BH15" s="1">
        <v>-56000</v>
      </c>
      <c r="BI15" s="1">
        <v>-114607000</v>
      </c>
      <c r="BJ15" s="1">
        <v>18598000</v>
      </c>
      <c r="BK15" s="1">
        <v>3450775000</v>
      </c>
      <c r="BL15" s="1">
        <v>333650000</v>
      </c>
      <c r="BM15" s="1">
        <v>2295649000</v>
      </c>
      <c r="BN15" s="1">
        <v>-1647974000</v>
      </c>
      <c r="BO15" s="1">
        <v>-1263462000</v>
      </c>
      <c r="BP15" s="1">
        <v>-5221942000</v>
      </c>
      <c r="BQ15" s="1">
        <v>-825118000</v>
      </c>
      <c r="BR15" s="1">
        <v>-875006000</v>
      </c>
      <c r="BS15" s="1">
        <v>-5112357423</v>
      </c>
      <c r="BT15" s="1">
        <v>5295219000</v>
      </c>
      <c r="BU15" s="1">
        <v>-267684000</v>
      </c>
      <c r="BV15" s="1">
        <v>4593664000</v>
      </c>
      <c r="BW15" s="1">
        <v>5047055000</v>
      </c>
      <c r="BX15" s="1">
        <v>605740364</v>
      </c>
      <c r="BY15" s="1">
        <v>-10127211444</v>
      </c>
      <c r="BZ15" s="1">
        <v>264777920</v>
      </c>
      <c r="CA15" s="1">
        <v>-730767532</v>
      </c>
    </row>
    <row r="16" spans="1:79" x14ac:dyDescent="0.2">
      <c r="A16" s="1" t="s">
        <v>96</v>
      </c>
      <c r="B16" s="1">
        <v>138591667000</v>
      </c>
      <c r="C16" s="1">
        <v>92696270000</v>
      </c>
      <c r="D16" s="1">
        <v>-152991658000</v>
      </c>
      <c r="E16" s="1">
        <v>-171260906000</v>
      </c>
      <c r="F16" s="1">
        <v>230781207000</v>
      </c>
      <c r="G16" s="1">
        <v>57836679000</v>
      </c>
      <c r="H16" s="1">
        <v>-52280348000</v>
      </c>
      <c r="I16" s="1">
        <v>-104597094000</v>
      </c>
      <c r="J16" s="1">
        <v>-13549200000</v>
      </c>
      <c r="K16" s="1">
        <v>256612814000</v>
      </c>
      <c r="L16" s="1">
        <v>-12753117000</v>
      </c>
      <c r="M16" s="1">
        <v>-137165304000</v>
      </c>
      <c r="N16" s="1">
        <v>-13452467000</v>
      </c>
      <c r="O16" s="1">
        <v>-10825987000</v>
      </c>
      <c r="P16" s="1">
        <v>-20830462000</v>
      </c>
      <c r="Q16" s="1">
        <v>-62790989000</v>
      </c>
      <c r="R16" s="1">
        <v>907322000</v>
      </c>
      <c r="S16" s="1">
        <v>-1242302000</v>
      </c>
      <c r="T16" s="1">
        <v>-3534393000</v>
      </c>
      <c r="U16" s="1">
        <v>-450207000</v>
      </c>
      <c r="V16" s="1">
        <v>-816647000</v>
      </c>
      <c r="W16" s="1">
        <v>-886779000</v>
      </c>
      <c r="X16" s="1">
        <v>-1525245000</v>
      </c>
      <c r="Y16" s="1">
        <v>-2069232000</v>
      </c>
      <c r="Z16" s="1">
        <v>-2458505000</v>
      </c>
      <c r="AA16" s="1">
        <v>-18952818000</v>
      </c>
      <c r="AB16" s="1">
        <v>-1058000000</v>
      </c>
      <c r="AC16" s="1">
        <v>-39896437000</v>
      </c>
      <c r="AD16" s="1">
        <v>-3664341000</v>
      </c>
      <c r="AE16" s="1">
        <v>-14407000000</v>
      </c>
      <c r="AF16" s="1">
        <v>-4223610000</v>
      </c>
      <c r="AG16" s="1">
        <v>-30351373000</v>
      </c>
      <c r="AH16" s="1">
        <v>-3636572000</v>
      </c>
      <c r="AI16" s="1">
        <v>-4663108000</v>
      </c>
      <c r="AJ16" s="1">
        <v>-26780842000</v>
      </c>
      <c r="AK16" s="1">
        <v>-40361645000</v>
      </c>
      <c r="AL16" s="1">
        <v>-9159405000</v>
      </c>
      <c r="AM16" s="1">
        <v>-1855841000</v>
      </c>
      <c r="AN16" s="1">
        <v>-19927854000</v>
      </c>
      <c r="AO16" s="1">
        <v>-30335280000</v>
      </c>
      <c r="AP16" s="1">
        <v>-2736625000</v>
      </c>
      <c r="AQ16" s="1">
        <v>-2696581000</v>
      </c>
      <c r="AR16" s="1">
        <v>-12820147000</v>
      </c>
      <c r="AS16" s="1">
        <v>-48405168000</v>
      </c>
      <c r="AT16" s="1">
        <v>-2406904000</v>
      </c>
      <c r="AU16" s="1">
        <v>2227653000</v>
      </c>
      <c r="AV16" s="1">
        <v>-8589868000</v>
      </c>
      <c r="AW16" s="1">
        <v>-21835177000</v>
      </c>
      <c r="AX16" s="1">
        <v>2367671000</v>
      </c>
      <c r="AY16" s="1">
        <v>231356000</v>
      </c>
      <c r="AZ16" s="1">
        <v>358896000</v>
      </c>
      <c r="BA16" s="1">
        <v>3125508000</v>
      </c>
      <c r="BB16" s="1">
        <v>147677000</v>
      </c>
      <c r="BC16" s="1">
        <v>696038000</v>
      </c>
      <c r="BD16" s="1">
        <v>53473000</v>
      </c>
      <c r="BE16" s="1">
        <v>-842548000</v>
      </c>
      <c r="BF16" s="1">
        <v>172523000</v>
      </c>
      <c r="BG16" s="1">
        <v>235403000</v>
      </c>
      <c r="BH16" s="1">
        <v>704484000</v>
      </c>
      <c r="BI16" s="1">
        <v>1709730000</v>
      </c>
      <c r="BJ16" s="1">
        <v>-380217000</v>
      </c>
      <c r="BK16" s="1">
        <v>-137864000</v>
      </c>
      <c r="BL16" s="1">
        <v>-4982564000</v>
      </c>
      <c r="BM16" s="1">
        <v>-448063000</v>
      </c>
      <c r="BN16" s="1">
        <v>-76509000</v>
      </c>
      <c r="BO16" s="1">
        <v>-75007000</v>
      </c>
      <c r="BP16" s="1">
        <v>1750107000</v>
      </c>
      <c r="BQ16" s="1">
        <v>-57870000</v>
      </c>
      <c r="BR16" s="1">
        <v>2361022000</v>
      </c>
      <c r="BS16" s="1">
        <v>999115578</v>
      </c>
      <c r="BT16" s="1">
        <v>2176516000</v>
      </c>
      <c r="BU16" s="1">
        <v>-425510000</v>
      </c>
      <c r="BV16" s="1">
        <v>-335656730</v>
      </c>
      <c r="BW16" s="1">
        <v>-954625000</v>
      </c>
      <c r="BX16" s="1">
        <v>-285972525</v>
      </c>
      <c r="BY16" s="1">
        <v>-557948463</v>
      </c>
      <c r="BZ16" s="1">
        <v>-231680680</v>
      </c>
      <c r="CA16" s="1">
        <v>2769696767</v>
      </c>
    </row>
    <row r="17" spans="1:79" x14ac:dyDescent="0.2">
      <c r="A17" s="6" t="s">
        <v>95</v>
      </c>
      <c r="B17" s="4">
        <v>731498564000</v>
      </c>
      <c r="C17" s="4">
        <v>741728462000</v>
      </c>
      <c r="D17" s="4">
        <v>426829000000</v>
      </c>
      <c r="E17" s="4">
        <v>497064085000</v>
      </c>
      <c r="F17" s="4">
        <v>625570000000</v>
      </c>
      <c r="G17" s="4">
        <v>620205000000</v>
      </c>
      <c r="H17" s="4">
        <v>391992467000</v>
      </c>
      <c r="I17" s="4">
        <v>377668210000</v>
      </c>
      <c r="J17" s="4">
        <v>436311108000</v>
      </c>
      <c r="K17" s="4">
        <v>404331237000</v>
      </c>
      <c r="L17" s="4">
        <v>294645276000</v>
      </c>
      <c r="M17" s="4">
        <v>167247979000</v>
      </c>
      <c r="N17" s="4">
        <v>385244745000</v>
      </c>
      <c r="O17" s="4">
        <v>486880000000</v>
      </c>
      <c r="P17" s="4">
        <v>412698167000</v>
      </c>
      <c r="Q17" s="4">
        <v>338849429000</v>
      </c>
      <c r="R17" s="4">
        <v>372169688000</v>
      </c>
      <c r="S17" s="4">
        <v>378200000000</v>
      </c>
      <c r="T17" s="4">
        <v>318706000000</v>
      </c>
      <c r="U17" s="4">
        <v>187439494000</v>
      </c>
      <c r="V17" s="4">
        <v>227815706000</v>
      </c>
      <c r="W17" s="4">
        <v>259130584000</v>
      </c>
      <c r="X17" s="4">
        <v>190171227000</v>
      </c>
      <c r="Y17" s="4">
        <v>170334959000</v>
      </c>
      <c r="Z17" s="4">
        <v>203029442000</v>
      </c>
      <c r="AA17" s="4">
        <v>202955000000</v>
      </c>
      <c r="AB17" s="4">
        <v>141753000000</v>
      </c>
      <c r="AC17" s="4">
        <v>117761028000</v>
      </c>
      <c r="AD17" s="4">
        <v>152670278000</v>
      </c>
      <c r="AE17" s="4">
        <v>189372000000</v>
      </c>
      <c r="AF17" s="4">
        <v>94082482000</v>
      </c>
      <c r="AG17" s="4">
        <v>129773360000</v>
      </c>
      <c r="AH17" s="4">
        <v>160725918000</v>
      </c>
      <c r="AI17" s="4">
        <v>204126342000</v>
      </c>
      <c r="AJ17" s="4">
        <v>116783434000</v>
      </c>
      <c r="AK17" s="4">
        <v>103400380000</v>
      </c>
      <c r="AL17" s="4">
        <v>161008044000</v>
      </c>
      <c r="AM17" s="4">
        <v>185219797000</v>
      </c>
      <c r="AN17" s="4">
        <v>126409559000</v>
      </c>
      <c r="AO17" s="4">
        <v>106676391000</v>
      </c>
      <c r="AP17" s="4">
        <v>121528853000</v>
      </c>
      <c r="AQ17" s="4">
        <v>144672148000</v>
      </c>
      <c r="AR17" s="4">
        <v>118139439000</v>
      </c>
      <c r="AS17" s="4">
        <v>111067152000</v>
      </c>
      <c r="AT17" s="4">
        <v>156000661000</v>
      </c>
      <c r="AU17" s="4">
        <v>153668816000</v>
      </c>
      <c r="AV17" s="4">
        <v>91245080000</v>
      </c>
      <c r="AW17" s="4">
        <v>81748863000</v>
      </c>
      <c r="AX17" s="4">
        <v>94860941000</v>
      </c>
      <c r="AY17" s="4">
        <v>102773065000</v>
      </c>
      <c r="AZ17" s="4">
        <v>95802107000</v>
      </c>
      <c r="BA17" s="4">
        <v>75238656000</v>
      </c>
      <c r="BB17" s="4">
        <v>73569672000</v>
      </c>
      <c r="BC17" s="4">
        <v>85411373000</v>
      </c>
      <c r="BD17" s="4">
        <v>76630960000</v>
      </c>
      <c r="BE17" s="4">
        <v>69972813000</v>
      </c>
      <c r="BF17" s="4">
        <v>57048654000</v>
      </c>
      <c r="BG17" s="4">
        <v>72836607000</v>
      </c>
      <c r="BH17" s="4">
        <v>55208959000</v>
      </c>
      <c r="BI17" s="4">
        <v>63063355000</v>
      </c>
      <c r="BJ17" s="4">
        <v>56478079000</v>
      </c>
      <c r="BK17" s="4">
        <v>70563933000</v>
      </c>
      <c r="BL17" s="4">
        <v>63951929000</v>
      </c>
      <c r="BM17" s="4">
        <v>48925669000</v>
      </c>
      <c r="BN17" s="4">
        <v>46034269000</v>
      </c>
      <c r="BO17" s="4">
        <v>61999356000</v>
      </c>
      <c r="BP17" s="4">
        <v>46655044000</v>
      </c>
      <c r="BQ17" s="4">
        <v>24523667000</v>
      </c>
      <c r="BR17" s="4">
        <v>26788333000</v>
      </c>
      <c r="BS17" s="4">
        <v>64260525873</v>
      </c>
      <c r="BT17" s="4">
        <v>61437866000</v>
      </c>
      <c r="BU17" s="4">
        <v>41335079000</v>
      </c>
      <c r="BV17" s="4">
        <v>55064270040</v>
      </c>
      <c r="BW17" s="4">
        <v>61256833000</v>
      </c>
      <c r="BX17" s="4">
        <v>49514413612</v>
      </c>
      <c r="BY17" s="4">
        <v>34613596397</v>
      </c>
      <c r="BZ17" s="4">
        <v>38392798400</v>
      </c>
      <c r="CA17" s="4">
        <v>58826632736</v>
      </c>
    </row>
    <row r="19" spans="1:79" x14ac:dyDescent="0.2">
      <c r="A19" s="1" t="s">
        <v>94</v>
      </c>
      <c r="B19" s="1">
        <v>-354388067000</v>
      </c>
      <c r="C19" s="1">
        <v>-353555370000</v>
      </c>
      <c r="D19" s="1">
        <v>-287464880000</v>
      </c>
      <c r="E19" s="1">
        <v>-297231763000</v>
      </c>
      <c r="F19" s="1">
        <v>-330830000000</v>
      </c>
      <c r="G19" s="1">
        <v>-361948162000</v>
      </c>
      <c r="H19" s="1">
        <v>-215006734000</v>
      </c>
      <c r="I19" s="1">
        <v>-205674684000</v>
      </c>
      <c r="J19" s="1">
        <v>-183359795000</v>
      </c>
      <c r="K19" s="1">
        <v>-124759287000</v>
      </c>
      <c r="L19" s="1">
        <v>-227807092000</v>
      </c>
      <c r="M19" s="1">
        <v>-250534217000</v>
      </c>
      <c r="N19" s="1">
        <v>-302804977000</v>
      </c>
      <c r="O19" s="1">
        <v>-336800000000</v>
      </c>
      <c r="P19" s="1">
        <v>-267635828000</v>
      </c>
      <c r="Q19" s="1">
        <v>-220945293000</v>
      </c>
      <c r="R19" s="1">
        <v>-262717722000</v>
      </c>
      <c r="S19" s="1">
        <v>-235556000000</v>
      </c>
      <c r="T19" s="1">
        <v>-188640000000</v>
      </c>
      <c r="U19" s="1">
        <v>-170513981000</v>
      </c>
      <c r="V19" s="1">
        <v>-249809419000</v>
      </c>
      <c r="W19" s="1">
        <v>-89513159000</v>
      </c>
      <c r="X19" s="1">
        <v>-101720285000</v>
      </c>
      <c r="Y19" s="1">
        <v>-134339955000</v>
      </c>
      <c r="Z19" s="1">
        <v>-193405710000</v>
      </c>
      <c r="AA19" s="1">
        <v>-170009000000</v>
      </c>
      <c r="AB19" s="1">
        <v>-98118000000</v>
      </c>
      <c r="AC19" s="1">
        <v>-116933823000</v>
      </c>
      <c r="AD19" s="1">
        <v>-78043144000</v>
      </c>
      <c r="AE19" s="1">
        <v>-114105000000</v>
      </c>
      <c r="AF19" s="1">
        <v>-71497989000</v>
      </c>
      <c r="AG19" s="1">
        <v>-60849798000</v>
      </c>
      <c r="AH19" s="1">
        <v>-72069733000</v>
      </c>
      <c r="AI19" s="1">
        <v>-62803089000</v>
      </c>
      <c r="AJ19" s="1">
        <v>-63420625000</v>
      </c>
      <c r="AK19" s="1">
        <v>-106241555000</v>
      </c>
      <c r="AL19" s="1">
        <v>-103423231000</v>
      </c>
      <c r="AM19" s="1">
        <v>-113796437000</v>
      </c>
      <c r="AN19" s="1">
        <v>-104981237000</v>
      </c>
      <c r="AO19" s="1">
        <v>-75170948000</v>
      </c>
      <c r="AP19" s="1">
        <v>-39145078000</v>
      </c>
      <c r="AQ19" s="1">
        <v>-86149857000</v>
      </c>
      <c r="AR19" s="1">
        <v>-71371356000</v>
      </c>
      <c r="AS19" s="1">
        <v>-54252433000</v>
      </c>
      <c r="AT19" s="1">
        <v>-50027054000</v>
      </c>
      <c r="AU19" s="1">
        <v>-54015598000</v>
      </c>
      <c r="AV19" s="1">
        <v>-48946426000</v>
      </c>
      <c r="AW19" s="1">
        <v>-73353965000</v>
      </c>
      <c r="AX19" s="1">
        <v>-116083511000</v>
      </c>
      <c r="AY19" s="1">
        <v>-74691845000</v>
      </c>
      <c r="AZ19" s="1">
        <v>-55356990000</v>
      </c>
      <c r="BA19" s="1">
        <v>-78925885000</v>
      </c>
      <c r="BB19" s="1">
        <v>-81370480000</v>
      </c>
      <c r="BC19" s="1">
        <v>-59765720000</v>
      </c>
      <c r="BD19" s="1">
        <v>-78333589000</v>
      </c>
      <c r="BE19" s="1">
        <v>-59467478000</v>
      </c>
      <c r="BF19" s="1">
        <v>-48570613000</v>
      </c>
      <c r="BG19" s="1">
        <v>-29771461000</v>
      </c>
      <c r="BH19" s="1">
        <v>-38048184000</v>
      </c>
      <c r="BI19" s="1">
        <v>-64692278000</v>
      </c>
      <c r="BJ19" s="1">
        <v>-81450577000</v>
      </c>
      <c r="BK19" s="1">
        <v>-44522008000</v>
      </c>
      <c r="BL19" s="1">
        <v>-42763655000</v>
      </c>
      <c r="BM19" s="1">
        <v>-53522758000</v>
      </c>
      <c r="BN19" s="1">
        <v>-46135779000</v>
      </c>
      <c r="BO19" s="1">
        <v>-42714530000</v>
      </c>
      <c r="BP19" s="1">
        <v>-32038370000</v>
      </c>
      <c r="BQ19" s="1">
        <v>-7362677000</v>
      </c>
      <c r="BR19" s="1">
        <v>-5669323000</v>
      </c>
      <c r="BS19" s="1">
        <v>-11545051720</v>
      </c>
      <c r="BT19" s="1">
        <v>-11800969000</v>
      </c>
      <c r="BU19" s="1">
        <v>-21330918000</v>
      </c>
      <c r="BV19" s="1">
        <v>-14708116280</v>
      </c>
      <c r="BW19" s="1">
        <v>-20576763000</v>
      </c>
      <c r="BX19" s="1">
        <v>-24061418929</v>
      </c>
      <c r="BY19" s="1">
        <v>-25333255850</v>
      </c>
      <c r="BZ19" s="1">
        <v>-14033229760</v>
      </c>
      <c r="CA19" s="1">
        <v>-18803304126</v>
      </c>
    </row>
    <row r="20" spans="1:79" x14ac:dyDescent="0.2">
      <c r="A20" s="1" t="s">
        <v>93</v>
      </c>
      <c r="B20" s="1">
        <v>1831737000</v>
      </c>
      <c r="C20" s="1">
        <v>484694000</v>
      </c>
      <c r="D20" s="1">
        <v>0</v>
      </c>
      <c r="E20" s="1">
        <v>0</v>
      </c>
      <c r="F20" s="1">
        <v>0</v>
      </c>
      <c r="G20" s="1">
        <v>0</v>
      </c>
      <c r="H20" s="1">
        <v>-6391670000</v>
      </c>
      <c r="I20" s="1">
        <v>-26114000</v>
      </c>
      <c r="J20" s="1">
        <v>7056784000</v>
      </c>
      <c r="K20" s="1">
        <v>-20442235000</v>
      </c>
      <c r="L20" s="1">
        <v>15940642000</v>
      </c>
      <c r="M20" s="1">
        <v>15348000000</v>
      </c>
      <c r="N20" s="1">
        <v>1844497000</v>
      </c>
      <c r="O20" s="1">
        <v>-281303000</v>
      </c>
      <c r="P20" s="1">
        <v>416390000</v>
      </c>
      <c r="Q20" s="1">
        <v>11896901000</v>
      </c>
      <c r="R20" s="1">
        <v>0</v>
      </c>
      <c r="S20" s="1">
        <v>1702000000</v>
      </c>
      <c r="T20" s="1">
        <v>3469000000</v>
      </c>
      <c r="U20" s="1">
        <v>-1554876000</v>
      </c>
      <c r="V20" s="1">
        <v>1140376000</v>
      </c>
      <c r="W20" s="1">
        <v>1362735000</v>
      </c>
      <c r="X20" s="1">
        <v>4670484000</v>
      </c>
      <c r="Y20" s="1">
        <v>-4075297000</v>
      </c>
      <c r="Z20" s="1">
        <v>2368667000</v>
      </c>
      <c r="AA20" s="1">
        <v>3763000000</v>
      </c>
      <c r="AB20" s="1">
        <v>5434000000</v>
      </c>
      <c r="AC20" s="1">
        <v>4772627000</v>
      </c>
      <c r="AD20" s="1">
        <v>2549402000</v>
      </c>
      <c r="AE20" s="1">
        <v>4093000000</v>
      </c>
      <c r="AF20" s="1">
        <v>5494003000</v>
      </c>
      <c r="AG20" s="1">
        <v>2769524000</v>
      </c>
      <c r="AH20" s="1">
        <v>2965383000</v>
      </c>
      <c r="AI20" s="1">
        <v>2015120000</v>
      </c>
      <c r="AJ20" s="1">
        <v>4823888000</v>
      </c>
      <c r="AK20" s="1">
        <v>1735748000</v>
      </c>
      <c r="AL20" s="1">
        <v>1184444000</v>
      </c>
      <c r="AM20" s="1">
        <v>424196000</v>
      </c>
      <c r="AN20" s="1">
        <v>5727468000</v>
      </c>
      <c r="AO20" s="1">
        <v>1122852000</v>
      </c>
      <c r="AP20" s="1">
        <v>549884000</v>
      </c>
      <c r="AQ20" s="1">
        <v>-51647000</v>
      </c>
      <c r="AR20" s="1">
        <v>3242713000</v>
      </c>
      <c r="AS20" s="1">
        <v>1047436000</v>
      </c>
      <c r="AT20" s="1">
        <v>601047000</v>
      </c>
      <c r="AU20" s="1">
        <v>-848231000</v>
      </c>
      <c r="AV20" s="1">
        <v>2847645000</v>
      </c>
      <c r="AW20" s="1">
        <v>1315448000</v>
      </c>
      <c r="AX20" s="1">
        <v>-526662000</v>
      </c>
      <c r="AY20" s="1">
        <v>10000</v>
      </c>
      <c r="AZ20" s="1">
        <v>2110460000</v>
      </c>
      <c r="BA20" s="1">
        <v>-538653000</v>
      </c>
      <c r="BB20" s="1">
        <v>-624295000</v>
      </c>
      <c r="BC20" s="1">
        <v>40752000</v>
      </c>
      <c r="BD20" s="1">
        <v>3080000</v>
      </c>
      <c r="BE20" s="1">
        <v>100513000</v>
      </c>
      <c r="BF20" s="1">
        <v>13155000</v>
      </c>
      <c r="BG20" s="1">
        <v>191188000</v>
      </c>
      <c r="BH20" s="1">
        <v>-44296000</v>
      </c>
      <c r="BI20" s="1">
        <v>358081000</v>
      </c>
      <c r="BJ20" s="1">
        <v>193127000</v>
      </c>
      <c r="BK20" s="1">
        <v>-4846122000</v>
      </c>
      <c r="BL20" s="1">
        <v>-591865000</v>
      </c>
      <c r="BM20" s="1">
        <v>-724545000</v>
      </c>
      <c r="BN20" s="1">
        <v>35632000</v>
      </c>
      <c r="BO20" s="1">
        <v>17308000</v>
      </c>
      <c r="BP20" s="1">
        <v>1892000</v>
      </c>
      <c r="BQ20" s="1">
        <v>55644000</v>
      </c>
      <c r="BR20" s="1">
        <v>-50644000</v>
      </c>
      <c r="BS20" s="1">
        <v>26348682</v>
      </c>
      <c r="BT20" s="1">
        <v>-1591873000</v>
      </c>
      <c r="BU20" s="1">
        <v>1762620000</v>
      </c>
      <c r="BV20" s="1">
        <v>0</v>
      </c>
      <c r="BW20" s="1">
        <v>29026000</v>
      </c>
      <c r="BX20" s="1">
        <v>444271717</v>
      </c>
      <c r="BY20" s="1">
        <v>-411677727</v>
      </c>
      <c r="BZ20" s="1">
        <v>0</v>
      </c>
      <c r="CA20" s="1">
        <v>-408716116</v>
      </c>
    </row>
    <row r="21" spans="1:79" x14ac:dyDescent="0.2">
      <c r="A21" s="1" t="s">
        <v>92</v>
      </c>
      <c r="B21" s="1">
        <v>-92567885000</v>
      </c>
      <c r="C21" s="1">
        <v>-71535032000</v>
      </c>
      <c r="D21" s="1">
        <v>-50445109000</v>
      </c>
      <c r="E21" s="1">
        <v>-62590634000</v>
      </c>
      <c r="F21" s="1">
        <v>-70771047000</v>
      </c>
      <c r="G21" s="1">
        <v>-77351000000</v>
      </c>
      <c r="H21" s="1">
        <v>-54209317000</v>
      </c>
      <c r="I21" s="1">
        <v>-63262211000</v>
      </c>
      <c r="J21" s="1">
        <v>-45800472000</v>
      </c>
      <c r="K21" s="1">
        <v>-55484348000</v>
      </c>
      <c r="L21" s="1">
        <v>-62104568000</v>
      </c>
      <c r="M21" s="1">
        <v>-73800000000</v>
      </c>
      <c r="N21" s="1">
        <v>-34892562000</v>
      </c>
      <c r="O21" s="1">
        <v>-65039628000</v>
      </c>
      <c r="P21" s="1">
        <v>-51589252000</v>
      </c>
      <c r="Q21" s="1">
        <v>-65199473000</v>
      </c>
      <c r="R21" s="1">
        <v>-55989747000</v>
      </c>
      <c r="S21" s="1">
        <v>-64246000000</v>
      </c>
      <c r="T21" s="1">
        <v>-43857000000</v>
      </c>
      <c r="U21" s="1">
        <v>-73922998000</v>
      </c>
      <c r="V21" s="1">
        <v>-77662402000</v>
      </c>
      <c r="W21" s="1">
        <v>-76997053000</v>
      </c>
      <c r="X21" s="1">
        <v>-65522993000</v>
      </c>
      <c r="Y21" s="1">
        <v>-67974755000</v>
      </c>
      <c r="Z21" s="1">
        <v>-56754241000</v>
      </c>
      <c r="AA21" s="1">
        <v>-57068000000</v>
      </c>
      <c r="AB21" s="1">
        <v>-102147000000</v>
      </c>
      <c r="AC21" s="1">
        <v>-63795622000</v>
      </c>
      <c r="AD21" s="1">
        <v>-34986600000</v>
      </c>
      <c r="AE21" s="1">
        <v>-26327000000</v>
      </c>
      <c r="AF21" s="1">
        <v>-24953709000</v>
      </c>
      <c r="AG21" s="1">
        <v>-23170021000</v>
      </c>
      <c r="AH21" s="1">
        <v>-24565855000</v>
      </c>
      <c r="AI21" s="1">
        <v>-34204726000</v>
      </c>
      <c r="AJ21" s="1">
        <v>-19068634000</v>
      </c>
      <c r="AK21" s="1">
        <v>-23935199000</v>
      </c>
      <c r="AL21" s="1">
        <v>-26579541000</v>
      </c>
      <c r="AM21" s="1">
        <v>-40473427000</v>
      </c>
      <c r="AN21" s="1">
        <v>-24215164000</v>
      </c>
      <c r="AO21" s="1">
        <v>-28929098000</v>
      </c>
      <c r="AP21" s="1">
        <v>-23808111000</v>
      </c>
      <c r="AQ21" s="1">
        <v>-24767643000</v>
      </c>
      <c r="AR21" s="1">
        <v>-7535037000</v>
      </c>
      <c r="AS21" s="1">
        <v>-2948720000</v>
      </c>
      <c r="AT21" s="1">
        <v>-9404300000</v>
      </c>
      <c r="AU21" s="1">
        <v>-4505551000</v>
      </c>
      <c r="AV21" s="1">
        <v>195000</v>
      </c>
      <c r="AW21" s="1">
        <v>-607258000</v>
      </c>
      <c r="AX21" s="1">
        <v>-1405686000</v>
      </c>
      <c r="AY21" s="1">
        <v>-1809863000</v>
      </c>
      <c r="AZ21" s="1">
        <v>-7837000</v>
      </c>
      <c r="BA21" s="1">
        <v>-150167000</v>
      </c>
      <c r="BB21" s="1">
        <v>-20533000</v>
      </c>
      <c r="BC21" s="1">
        <v>-31577966000</v>
      </c>
      <c r="BD21" s="1">
        <v>20073000</v>
      </c>
      <c r="BE21" s="1">
        <v>-23030000</v>
      </c>
      <c r="BF21" s="1">
        <v>-1477000</v>
      </c>
      <c r="BG21" s="1">
        <v>-772521000</v>
      </c>
      <c r="BH21" s="1">
        <v>-51007000</v>
      </c>
      <c r="BI21" s="1">
        <v>-20982432000</v>
      </c>
      <c r="BJ21" s="1">
        <v>-13866740000</v>
      </c>
      <c r="BK21" s="1">
        <v>-749468000</v>
      </c>
      <c r="BL21" s="1">
        <v>-9105173000</v>
      </c>
      <c r="BM21" s="1">
        <v>-21800142000</v>
      </c>
      <c r="BN21" s="1">
        <v>-22599917000</v>
      </c>
      <c r="BO21" s="1">
        <v>-30981171000</v>
      </c>
      <c r="BP21" s="1">
        <v>-10057929000</v>
      </c>
      <c r="BQ21" s="1">
        <v>-1016300000</v>
      </c>
      <c r="BR21" s="1">
        <v>-9333700000</v>
      </c>
      <c r="BS21" s="1">
        <v>-34036060278</v>
      </c>
      <c r="BT21" s="1">
        <v>-63413536000</v>
      </c>
      <c r="BU21" s="1">
        <v>8225521000</v>
      </c>
      <c r="BV21" s="1">
        <v>-13371014800</v>
      </c>
      <c r="BW21" s="1">
        <v>-33225310000</v>
      </c>
      <c r="BX21" s="1">
        <v>-29627491914</v>
      </c>
      <c r="BY21" s="1">
        <v>-14423160995</v>
      </c>
      <c r="BZ21" s="1">
        <v>-16085258640</v>
      </c>
      <c r="CA21" s="1">
        <v>-44672638401</v>
      </c>
    </row>
    <row r="22" spans="1:79" x14ac:dyDescent="0.2">
      <c r="A22" s="1" t="s">
        <v>91</v>
      </c>
      <c r="B22" s="1">
        <v>61938575000</v>
      </c>
      <c r="C22" s="1">
        <v>40447519000</v>
      </c>
      <c r="D22" s="1">
        <v>49281939000</v>
      </c>
      <c r="E22" s="1">
        <v>74322730000</v>
      </c>
      <c r="F22" s="1">
        <v>53927371000</v>
      </c>
      <c r="G22" s="1">
        <v>56885000000</v>
      </c>
      <c r="H22" s="1">
        <v>34255323000</v>
      </c>
      <c r="I22" s="1">
        <v>44659719000</v>
      </c>
      <c r="J22" s="1">
        <v>50234958000</v>
      </c>
      <c r="K22" s="1">
        <v>52344987000</v>
      </c>
      <c r="L22" s="1">
        <v>22526400000</v>
      </c>
      <c r="M22" s="1">
        <v>44473000000</v>
      </c>
      <c r="N22" s="1">
        <v>51070932000</v>
      </c>
      <c r="O22" s="1">
        <v>45547487000</v>
      </c>
      <c r="P22" s="1">
        <v>27055901000</v>
      </c>
      <c r="Q22" s="1">
        <v>6586114000</v>
      </c>
      <c r="R22" s="1">
        <v>29790898000</v>
      </c>
      <c r="S22" s="1">
        <v>55865000000</v>
      </c>
      <c r="T22" s="1">
        <v>52933000000</v>
      </c>
      <c r="U22" s="1">
        <v>74038439000</v>
      </c>
      <c r="V22" s="1">
        <v>81342761000</v>
      </c>
      <c r="W22" s="1">
        <v>75486592000</v>
      </c>
      <c r="X22" s="1">
        <v>65922904000</v>
      </c>
      <c r="Y22" s="1">
        <v>68702803000</v>
      </c>
      <c r="Z22" s="1">
        <v>57185928000</v>
      </c>
      <c r="AA22" s="1">
        <v>56489000000</v>
      </c>
      <c r="AB22" s="1">
        <v>88135000000</v>
      </c>
      <c r="AC22" s="1">
        <v>60378288000</v>
      </c>
      <c r="AD22" s="1">
        <v>41915764000</v>
      </c>
      <c r="AE22" s="1">
        <v>22911000000</v>
      </c>
      <c r="AF22" s="1">
        <v>25802248000</v>
      </c>
      <c r="AG22" s="1">
        <v>19924272000</v>
      </c>
      <c r="AH22" s="1">
        <v>20849110000</v>
      </c>
      <c r="AI22" s="1">
        <v>28999181000</v>
      </c>
      <c r="AJ22" s="1">
        <v>10796788000</v>
      </c>
      <c r="AK22" s="1">
        <v>28902057000</v>
      </c>
      <c r="AL22" s="1">
        <v>18836274000</v>
      </c>
      <c r="AM22" s="1">
        <v>12463090000</v>
      </c>
      <c r="AN22" s="1">
        <v>15447652000</v>
      </c>
      <c r="AO22" s="1">
        <v>6875057000</v>
      </c>
      <c r="AP22" s="1">
        <v>5957801000</v>
      </c>
      <c r="AQ22" s="1">
        <v>7624718000</v>
      </c>
      <c r="AR22" s="1">
        <v>19792562000</v>
      </c>
      <c r="AS22" s="1">
        <v>51574074000</v>
      </c>
      <c r="AT22" s="1">
        <v>845146000</v>
      </c>
      <c r="AU22" s="1">
        <v>44565000</v>
      </c>
      <c r="AV22" s="1">
        <v>496387000</v>
      </c>
      <c r="AW22" s="1">
        <v>6016472000</v>
      </c>
      <c r="AX22" s="1">
        <v>891376000</v>
      </c>
      <c r="AY22" s="1">
        <v>762576000</v>
      </c>
      <c r="AZ22" s="1">
        <v>380278000</v>
      </c>
      <c r="BA22" s="1">
        <v>2472492000</v>
      </c>
      <c r="BB22" s="1">
        <v>4017154000</v>
      </c>
      <c r="BC22" s="1">
        <v>1904752000</v>
      </c>
      <c r="BD22" s="1">
        <v>847749000</v>
      </c>
      <c r="BE22" s="1">
        <v>548073000</v>
      </c>
      <c r="BF22" s="1">
        <v>728926000</v>
      </c>
      <c r="BG22" s="1">
        <v>551377000</v>
      </c>
      <c r="BH22" s="1">
        <v>1981145000</v>
      </c>
      <c r="BI22" s="1">
        <v>47861133000</v>
      </c>
      <c r="BJ22" s="1">
        <v>13522645000</v>
      </c>
      <c r="BK22" s="1">
        <v>7365901000</v>
      </c>
      <c r="BL22" s="1">
        <v>13171829000</v>
      </c>
      <c r="BM22" s="1">
        <v>20646866000</v>
      </c>
      <c r="BN22" s="1">
        <v>12817004000</v>
      </c>
      <c r="BO22" s="1">
        <v>16524864000</v>
      </c>
      <c r="BP22" s="1">
        <v>1812036000</v>
      </c>
      <c r="BQ22" s="1">
        <v>2725727000</v>
      </c>
      <c r="BR22" s="1">
        <v>23053273000</v>
      </c>
      <c r="BS22" s="1">
        <v>64224161721</v>
      </c>
      <c r="BT22" s="1">
        <v>61557240000</v>
      </c>
      <c r="BU22" s="1">
        <v>3218719000</v>
      </c>
      <c r="BV22" s="1">
        <v>25769592160</v>
      </c>
      <c r="BW22" s="1">
        <v>41543367000</v>
      </c>
      <c r="BX22" s="1">
        <v>21331029310</v>
      </c>
      <c r="BY22" s="1">
        <v>29970352359</v>
      </c>
      <c r="BZ22" s="1">
        <v>19394982640</v>
      </c>
      <c r="CA22" s="1">
        <v>35731044294</v>
      </c>
    </row>
    <row r="23" spans="1:79" x14ac:dyDescent="0.2">
      <c r="A23" s="1" t="s">
        <v>90</v>
      </c>
      <c r="B23" s="1">
        <v>-5430550000</v>
      </c>
      <c r="C23" s="1">
        <v>-5511994000</v>
      </c>
      <c r="D23" s="1">
        <v>28876050000</v>
      </c>
      <c r="E23" s="1">
        <v>57011360000</v>
      </c>
      <c r="F23" s="1">
        <v>57489192000</v>
      </c>
      <c r="G23" s="1">
        <v>70495162000</v>
      </c>
      <c r="H23" s="1">
        <v>45842477000</v>
      </c>
      <c r="I23" s="1">
        <v>26695960000</v>
      </c>
      <c r="J23" s="1">
        <v>12061534000</v>
      </c>
      <c r="K23" s="1">
        <v>1094335000</v>
      </c>
      <c r="L23" s="1">
        <v>9201395000</v>
      </c>
      <c r="M23" s="1">
        <v>5187141000</v>
      </c>
      <c r="N23" s="1">
        <v>12550315000</v>
      </c>
      <c r="O23" s="1">
        <v>14041431000</v>
      </c>
      <c r="P23" s="1">
        <v>7362464000</v>
      </c>
      <c r="Q23" s="1">
        <v>-8270355000</v>
      </c>
      <c r="R23" s="1">
        <v>842780000</v>
      </c>
      <c r="S23" s="1">
        <v>-3108000000</v>
      </c>
      <c r="T23" s="1">
        <v>-925000000</v>
      </c>
      <c r="U23" s="1">
        <v>2202430000</v>
      </c>
      <c r="V23" s="1">
        <v>737270000</v>
      </c>
      <c r="W23" s="1">
        <v>-1297728000</v>
      </c>
      <c r="X23" s="1">
        <v>570221000</v>
      </c>
      <c r="Y23" s="1">
        <v>7937040000</v>
      </c>
      <c r="Z23" s="1">
        <v>1612088000</v>
      </c>
      <c r="AA23" s="1">
        <v>-4780000000</v>
      </c>
      <c r="AB23" s="1">
        <v>-1594000000</v>
      </c>
      <c r="AC23" s="1">
        <v>860579000</v>
      </c>
      <c r="AD23" s="1">
        <v>4376105000</v>
      </c>
      <c r="AE23" s="1">
        <v>-3833000000</v>
      </c>
      <c r="AF23" s="1">
        <v>1682284000</v>
      </c>
      <c r="AG23" s="1">
        <v>1250424000</v>
      </c>
      <c r="AH23" s="1">
        <v>-638095000</v>
      </c>
      <c r="AI23" s="1">
        <v>2941311000</v>
      </c>
      <c r="AJ23" s="1">
        <v>1205900000</v>
      </c>
      <c r="AK23" s="1">
        <v>1319194000</v>
      </c>
      <c r="AL23" s="1">
        <v>751795000</v>
      </c>
      <c r="AM23" s="1">
        <v>2881241000</v>
      </c>
      <c r="AN23" s="1">
        <v>1136559000</v>
      </c>
      <c r="AO23" s="1">
        <v>1395863000</v>
      </c>
      <c r="AP23" s="1">
        <v>1098137000</v>
      </c>
      <c r="AQ23" s="1">
        <v>2164281000</v>
      </c>
      <c r="AR23" s="1">
        <v>1083597000</v>
      </c>
      <c r="AS23" s="1">
        <v>469517000</v>
      </c>
      <c r="AT23" s="1">
        <v>817156000</v>
      </c>
      <c r="AU23" s="1">
        <v>3883605000</v>
      </c>
      <c r="AV23" s="1">
        <v>977060000</v>
      </c>
      <c r="AW23" s="1">
        <v>134744000</v>
      </c>
      <c r="AX23" s="1">
        <v>1264891000</v>
      </c>
      <c r="AY23" s="1">
        <v>671615000</v>
      </c>
      <c r="AZ23" s="1">
        <v>551794000</v>
      </c>
      <c r="BA23" s="1">
        <v>510728000</v>
      </c>
      <c r="BB23" s="1">
        <v>965241000</v>
      </c>
      <c r="BC23" s="1">
        <v>-751922000</v>
      </c>
      <c r="BD23" s="1">
        <v>1694332000</v>
      </c>
      <c r="BE23" s="1">
        <v>-186788000</v>
      </c>
      <c r="BF23" s="1">
        <v>-419122000</v>
      </c>
      <c r="BG23" s="1">
        <v>-345664000</v>
      </c>
      <c r="BH23" s="1">
        <v>-190268000</v>
      </c>
      <c r="BI23" s="1">
        <v>-995473000</v>
      </c>
      <c r="BJ23" s="1">
        <v>4028805000</v>
      </c>
      <c r="BK23" s="1">
        <v>-3805457000</v>
      </c>
      <c r="BL23" s="1">
        <v>-5742602000</v>
      </c>
      <c r="BM23" s="1">
        <v>1192173000</v>
      </c>
      <c r="BN23" s="1">
        <v>-406114000</v>
      </c>
      <c r="BO23" s="1">
        <v>10051918000</v>
      </c>
      <c r="BP23" s="1">
        <v>-11227418000</v>
      </c>
      <c r="BQ23" s="1">
        <v>-395668000</v>
      </c>
      <c r="BR23" s="1">
        <v>136668000</v>
      </c>
      <c r="BS23" s="1">
        <v>-747199248</v>
      </c>
      <c r="BT23" s="1">
        <v>1414959000</v>
      </c>
      <c r="BU23" s="1">
        <v>-1019999000</v>
      </c>
      <c r="BV23" s="1">
        <v>-698939410</v>
      </c>
      <c r="BW23" s="1">
        <v>-1128933000</v>
      </c>
      <c r="BX23" s="1">
        <v>-1814413758</v>
      </c>
      <c r="BY23" s="1">
        <v>96611297</v>
      </c>
      <c r="BZ23" s="1">
        <v>-2780168160</v>
      </c>
      <c r="CA23" s="1">
        <v>-2094754145</v>
      </c>
    </row>
    <row r="24" spans="1:79" x14ac:dyDescent="0.2">
      <c r="A24" s="6" t="s">
        <v>89</v>
      </c>
      <c r="B24" s="4">
        <v>-388616190000</v>
      </c>
      <c r="C24" s="4">
        <v>-389670183000</v>
      </c>
      <c r="D24" s="4">
        <v>-259752000000</v>
      </c>
      <c r="E24" s="4">
        <v>-228488307000</v>
      </c>
      <c r="F24" s="4">
        <v>-290192426000</v>
      </c>
      <c r="G24" s="4">
        <v>-311919000000</v>
      </c>
      <c r="H24" s="4">
        <v>-195509921000</v>
      </c>
      <c r="I24" s="4">
        <v>-197607330000</v>
      </c>
      <c r="J24" s="4">
        <v>-159806991000</v>
      </c>
      <c r="K24" s="4">
        <v>-147246548000</v>
      </c>
      <c r="L24" s="4">
        <v>-242243223000</v>
      </c>
      <c r="M24" s="4">
        <v>-259326076000</v>
      </c>
      <c r="N24" s="4">
        <v>-272231795000</v>
      </c>
      <c r="O24" s="4">
        <v>-342532013000</v>
      </c>
      <c r="P24" s="4">
        <v>-284390325000</v>
      </c>
      <c r="Q24" s="4">
        <v>-275932106000</v>
      </c>
      <c r="R24" s="4">
        <v>-288073791000</v>
      </c>
      <c r="S24" s="4">
        <v>-245343000000</v>
      </c>
      <c r="T24" s="4">
        <v>-177020000000</v>
      </c>
      <c r="U24" s="4">
        <v>-169750986000</v>
      </c>
      <c r="V24" s="4">
        <v>-244251414000</v>
      </c>
      <c r="W24" s="4">
        <v>-90958613000</v>
      </c>
      <c r="X24" s="4">
        <v>-96079669000</v>
      </c>
      <c r="Y24" s="4">
        <v>-129750164000</v>
      </c>
      <c r="Z24" s="4">
        <v>-188993268000</v>
      </c>
      <c r="AA24" s="4">
        <v>-171605000000</v>
      </c>
      <c r="AB24" s="4">
        <v>-108290000000</v>
      </c>
      <c r="AC24" s="4">
        <v>-114717951000</v>
      </c>
      <c r="AD24" s="4">
        <v>-64188473000</v>
      </c>
      <c r="AE24" s="4">
        <v>-117261000000</v>
      </c>
      <c r="AF24" s="4">
        <v>-63473163000</v>
      </c>
      <c r="AG24" s="4">
        <v>-60075599000</v>
      </c>
      <c r="AH24" s="4">
        <v>-73459190000</v>
      </c>
      <c r="AI24" s="4">
        <v>-63052203000</v>
      </c>
      <c r="AJ24" s="4">
        <v>-65662683000</v>
      </c>
      <c r="AK24" s="4">
        <v>-98219755000</v>
      </c>
      <c r="AL24" s="4">
        <v>-109230259000</v>
      </c>
      <c r="AM24" s="4">
        <v>-138501337000</v>
      </c>
      <c r="AN24" s="4">
        <v>-106884722000</v>
      </c>
      <c r="AO24" s="4">
        <v>-94706274000</v>
      </c>
      <c r="AP24" s="4">
        <v>-55347367000</v>
      </c>
      <c r="AQ24" s="4">
        <v>-101180148000</v>
      </c>
      <c r="AR24" s="4">
        <v>-54787521000</v>
      </c>
      <c r="AS24" s="4">
        <v>-4110126000</v>
      </c>
      <c r="AT24" s="4">
        <v>-57168005000</v>
      </c>
      <c r="AU24" s="4">
        <v>-55441210000</v>
      </c>
      <c r="AV24" s="4">
        <v>-44625139000</v>
      </c>
      <c r="AW24" s="4">
        <v>-66494559000</v>
      </c>
      <c r="AX24" s="4">
        <v>-115859592000</v>
      </c>
      <c r="AY24" s="4">
        <v>-75067507000</v>
      </c>
      <c r="AZ24" s="4">
        <v>-52322295000</v>
      </c>
      <c r="BA24" s="4">
        <v>-76631485000</v>
      </c>
      <c r="BB24" s="4">
        <v>-77032913000</v>
      </c>
      <c r="BC24" s="4">
        <v>-90150104000</v>
      </c>
      <c r="BD24" s="4">
        <v>-75768355000</v>
      </c>
      <c r="BE24" s="4">
        <v>-59028710000</v>
      </c>
      <c r="BF24" s="4">
        <v>-48249131000</v>
      </c>
      <c r="BG24" s="4">
        <v>-30147081000</v>
      </c>
      <c r="BH24" s="4">
        <v>-36352610000</v>
      </c>
      <c r="BI24" s="4">
        <v>-38450969000</v>
      </c>
      <c r="BJ24" s="4">
        <v>-77572740000</v>
      </c>
      <c r="BK24" s="4">
        <v>-46557154000</v>
      </c>
      <c r="BL24" s="4">
        <v>-45031466000</v>
      </c>
      <c r="BM24" s="4">
        <v>-54208406000</v>
      </c>
      <c r="BN24" s="4">
        <v>-56289174000</v>
      </c>
      <c r="BO24" s="4">
        <v>-47101611000</v>
      </c>
      <c r="BP24" s="4">
        <v>-51509789000</v>
      </c>
      <c r="BQ24" s="4">
        <v>-5993274000</v>
      </c>
      <c r="BR24" s="4">
        <v>8136274000</v>
      </c>
      <c r="BS24" s="4">
        <v>17922199157</v>
      </c>
      <c r="BT24" s="4">
        <v>-13834179000</v>
      </c>
      <c r="BU24" s="4">
        <v>-9144057000</v>
      </c>
      <c r="BV24" s="4">
        <v>-3008478330</v>
      </c>
      <c r="BW24" s="4">
        <v>-13358613000</v>
      </c>
      <c r="BX24" s="4">
        <v>-33728023574.400002</v>
      </c>
      <c r="BY24" s="4">
        <v>-10101130915.6</v>
      </c>
      <c r="BZ24" s="4">
        <v>-13503673920</v>
      </c>
      <c r="CA24" s="4">
        <v>-30248368495</v>
      </c>
    </row>
    <row r="26" spans="1:79" x14ac:dyDescent="0.2">
      <c r="A26" s="1" t="s">
        <v>88</v>
      </c>
      <c r="B26" s="1">
        <v>13991116000</v>
      </c>
      <c r="C26" s="1">
        <v>35740328000</v>
      </c>
      <c r="D26" s="1">
        <v>-7548000000</v>
      </c>
      <c r="E26" s="1">
        <v>2656680000</v>
      </c>
      <c r="F26" s="1">
        <v>19984648000</v>
      </c>
      <c r="G26" s="1">
        <v>5069000000</v>
      </c>
      <c r="H26" s="1">
        <v>10470081000</v>
      </c>
      <c r="I26" s="1">
        <v>10259235000</v>
      </c>
      <c r="J26" s="1">
        <v>1393502000</v>
      </c>
      <c r="K26" s="1">
        <v>8565713000</v>
      </c>
      <c r="L26" s="1">
        <v>28845273000</v>
      </c>
      <c r="M26" s="1">
        <v>47225016000</v>
      </c>
      <c r="N26" s="1">
        <v>8711398000</v>
      </c>
      <c r="O26" s="1">
        <v>7142784000</v>
      </c>
      <c r="P26" s="1">
        <v>59005391000</v>
      </c>
      <c r="Q26" s="1">
        <v>82262709000</v>
      </c>
      <c r="R26" s="1">
        <v>49606297000</v>
      </c>
      <c r="S26" s="1">
        <v>155068984000</v>
      </c>
      <c r="T26" s="1">
        <v>31058596000</v>
      </c>
      <c r="U26" s="1">
        <v>140358804000</v>
      </c>
      <c r="V26" s="1">
        <v>70699516000</v>
      </c>
      <c r="W26" s="1">
        <v>31039951000</v>
      </c>
      <c r="X26" s="1">
        <v>112979291000</v>
      </c>
      <c r="Y26" s="1">
        <v>35270272000</v>
      </c>
      <c r="Z26" s="1">
        <v>1716928000</v>
      </c>
      <c r="AA26" s="1">
        <v>35676000000</v>
      </c>
      <c r="AB26" s="1">
        <v>-19174000000</v>
      </c>
      <c r="AC26" s="1">
        <v>-162513000</v>
      </c>
      <c r="AD26" s="1">
        <v>-8988088000</v>
      </c>
      <c r="AE26" s="1">
        <v>14296000000</v>
      </c>
      <c r="AF26" s="1">
        <v>-7500000000</v>
      </c>
      <c r="AG26" s="1">
        <v>-27694880000</v>
      </c>
      <c r="AH26" s="1">
        <v>-56573745000</v>
      </c>
      <c r="AI26" s="1">
        <v>-24140000</v>
      </c>
      <c r="AJ26" s="1">
        <v>-28102420000</v>
      </c>
      <c r="AK26" s="1">
        <v>-42165000</v>
      </c>
      <c r="AL26" s="1">
        <v>-10252785000</v>
      </c>
      <c r="AM26" s="1">
        <v>19123584000</v>
      </c>
      <c r="AN26" s="1">
        <v>-12002420000</v>
      </c>
      <c r="AO26" s="1">
        <v>-7517498000</v>
      </c>
      <c r="AP26" s="1">
        <v>-4114866000</v>
      </c>
      <c r="AQ26" s="1">
        <v>-2000</v>
      </c>
      <c r="AR26" s="1">
        <v>27705780000</v>
      </c>
      <c r="AS26" s="1">
        <v>-13022073000</v>
      </c>
      <c r="AT26" s="1">
        <v>-17341135000</v>
      </c>
      <c r="AU26" s="1">
        <v>26000</v>
      </c>
      <c r="AV26" s="1">
        <v>1390041000</v>
      </c>
      <c r="AW26" s="1">
        <v>10372824000</v>
      </c>
      <c r="AX26" s="1">
        <v>8819028000</v>
      </c>
      <c r="AY26" s="1">
        <v>-2321964000</v>
      </c>
      <c r="AZ26" s="1">
        <v>28013232000</v>
      </c>
      <c r="BA26" s="1">
        <v>40917961000</v>
      </c>
      <c r="BB26" s="1">
        <v>45199071000</v>
      </c>
      <c r="BC26" s="1">
        <v>9350151000</v>
      </c>
      <c r="BD26" s="1">
        <v>39774405000</v>
      </c>
      <c r="BE26" s="1">
        <v>-4305767000</v>
      </c>
      <c r="BF26" s="1">
        <v>21870105000</v>
      </c>
      <c r="BG26" s="1">
        <v>-9203142000</v>
      </c>
      <c r="BH26" s="1">
        <v>21028773000</v>
      </c>
      <c r="BI26" s="1">
        <v>-1706512000</v>
      </c>
      <c r="BJ26" s="1">
        <v>3700481000</v>
      </c>
      <c r="BK26" s="1">
        <v>-7379532000</v>
      </c>
      <c r="BL26" s="1">
        <v>20878058000</v>
      </c>
      <c r="BM26" s="1">
        <v>17693040000</v>
      </c>
      <c r="BN26" s="1">
        <v>-855013000</v>
      </c>
      <c r="BO26" s="1">
        <v>-959555000</v>
      </c>
      <c r="BP26" s="1">
        <v>104155000</v>
      </c>
      <c r="BQ26" s="1">
        <v>74880000</v>
      </c>
      <c r="BR26" s="1">
        <v>-7907893000</v>
      </c>
      <c r="BS26" s="1">
        <v>-179698007</v>
      </c>
      <c r="BT26" s="1">
        <v>0</v>
      </c>
      <c r="BU26" s="1">
        <v>0</v>
      </c>
      <c r="BV26" s="1">
        <v>53448000</v>
      </c>
      <c r="BW26" s="1">
        <v>-4155146000</v>
      </c>
      <c r="BX26" s="1">
        <v>67009350</v>
      </c>
      <c r="BY26" s="1">
        <v>-28762350</v>
      </c>
      <c r="BZ26" s="1">
        <v>-2515390240</v>
      </c>
      <c r="CA26" s="1">
        <v>0</v>
      </c>
    </row>
    <row r="27" spans="1:79" x14ac:dyDescent="0.2">
      <c r="A27" s="1" t="s">
        <v>87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3936000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4692089</v>
      </c>
      <c r="BT27" s="1">
        <v>50642000</v>
      </c>
      <c r="BU27" s="1">
        <v>80160000</v>
      </c>
      <c r="BV27" s="1">
        <v>91166010</v>
      </c>
      <c r="BW27" s="1">
        <v>46700000</v>
      </c>
      <c r="BX27" s="1">
        <v>93830619</v>
      </c>
      <c r="BY27" s="1">
        <v>164908300</v>
      </c>
      <c r="BZ27" s="1">
        <v>132388960</v>
      </c>
      <c r="CA27" s="1">
        <v>150749552</v>
      </c>
    </row>
    <row r="28" spans="1:79" x14ac:dyDescent="0.2">
      <c r="A28" s="1" t="s">
        <v>86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-23000</v>
      </c>
      <c r="H28" s="1">
        <v>177000</v>
      </c>
      <c r="I28" s="1">
        <v>-3089177000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-34000</v>
      </c>
      <c r="P28" s="1">
        <v>0</v>
      </c>
      <c r="Q28" s="1">
        <v>0</v>
      </c>
      <c r="R28" s="1">
        <v>-871566000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-2000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-178287186</v>
      </c>
      <c r="BT28" s="1">
        <v>-23737464000</v>
      </c>
      <c r="BU28" s="1">
        <v>-6602700000</v>
      </c>
      <c r="BV28" s="1">
        <v>-3053584000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</row>
    <row r="29" spans="1:79" x14ac:dyDescent="0.2">
      <c r="A29" s="1" t="s">
        <v>85</v>
      </c>
      <c r="B29" s="1">
        <v>-131003042000</v>
      </c>
      <c r="C29" s="1">
        <v>-128410346000</v>
      </c>
      <c r="D29" s="1">
        <v>-116697000000</v>
      </c>
      <c r="E29" s="1">
        <v>-116697300000</v>
      </c>
      <c r="F29" s="1">
        <v>-103720000000</v>
      </c>
      <c r="G29" s="1">
        <v>-103734000000</v>
      </c>
      <c r="H29" s="1">
        <v>-90762539000</v>
      </c>
      <c r="I29" s="1">
        <v>-90762248000</v>
      </c>
      <c r="J29" s="1">
        <v>-77796213000</v>
      </c>
      <c r="K29" s="1">
        <v>-77796213000</v>
      </c>
      <c r="L29" s="1">
        <v>-71308546000</v>
      </c>
      <c r="M29" s="1">
        <v>-71308547000</v>
      </c>
      <c r="N29" s="1">
        <v>-71308546000</v>
      </c>
      <c r="O29" s="1">
        <v>-71308546000</v>
      </c>
      <c r="P29" s="1">
        <v>-71308546000</v>
      </c>
      <c r="Q29" s="1">
        <v>-71309000000</v>
      </c>
      <c r="R29" s="1">
        <v>-71308546000</v>
      </c>
      <c r="S29" s="1">
        <v>-71308547000</v>
      </c>
      <c r="T29" s="1">
        <v>-64826000000</v>
      </c>
      <c r="U29" s="1">
        <v>-64825951000</v>
      </c>
      <c r="V29" s="1">
        <v>-64825951000</v>
      </c>
      <c r="W29" s="1">
        <v>-64825947000</v>
      </c>
      <c r="X29" s="1">
        <v>-64825953000</v>
      </c>
      <c r="Y29" s="1">
        <v>-64825949000</v>
      </c>
      <c r="Z29" s="1">
        <v>-64825951000</v>
      </c>
      <c r="AA29" s="1">
        <v>-51861000000</v>
      </c>
      <c r="AB29" s="1">
        <v>-207443000000</v>
      </c>
      <c r="AC29" s="1">
        <v>0</v>
      </c>
      <c r="AD29" s="1">
        <v>0</v>
      </c>
      <c r="AE29" s="1">
        <v>-44000</v>
      </c>
      <c r="AF29" s="1">
        <v>-207443044000</v>
      </c>
      <c r="AG29" s="1">
        <v>0</v>
      </c>
      <c r="AH29" s="1">
        <v>0</v>
      </c>
      <c r="AI29" s="1">
        <v>-37000</v>
      </c>
      <c r="AJ29" s="1">
        <v>-181512663000</v>
      </c>
      <c r="AK29" s="1">
        <v>0</v>
      </c>
      <c r="AL29" s="1">
        <v>0</v>
      </c>
      <c r="AM29" s="1">
        <v>-17000</v>
      </c>
      <c r="AN29" s="1">
        <v>-155582283000</v>
      </c>
      <c r="AO29" s="1">
        <v>0</v>
      </c>
      <c r="AP29" s="1">
        <v>0</v>
      </c>
      <c r="AQ29" s="1">
        <v>-19000</v>
      </c>
      <c r="AR29" s="1">
        <v>-116683481000</v>
      </c>
      <c r="AS29" s="1">
        <v>0</v>
      </c>
      <c r="AT29" s="1">
        <v>0</v>
      </c>
      <c r="AU29" s="1">
        <v>-49000</v>
      </c>
      <c r="AV29" s="1">
        <v>-77785851000</v>
      </c>
      <c r="AW29" s="1">
        <v>0</v>
      </c>
      <c r="AX29" s="1">
        <v>0</v>
      </c>
      <c r="AY29" s="1">
        <v>-7000</v>
      </c>
      <c r="AZ29" s="1">
        <v>-77773307000</v>
      </c>
      <c r="BA29" s="1">
        <v>0</v>
      </c>
      <c r="BB29" s="1">
        <v>0</v>
      </c>
      <c r="BC29" s="1">
        <v>-32000</v>
      </c>
      <c r="BD29" s="1">
        <v>-77748668000</v>
      </c>
      <c r="BE29" s="1">
        <v>0</v>
      </c>
      <c r="BF29" s="1">
        <v>0</v>
      </c>
      <c r="BG29" s="1">
        <v>-36000</v>
      </c>
      <c r="BH29" s="1">
        <v>0</v>
      </c>
      <c r="BI29" s="1">
        <v>0</v>
      </c>
      <c r="BJ29" s="1">
        <v>0</v>
      </c>
      <c r="BK29" s="1">
        <v>-20000</v>
      </c>
      <c r="BL29" s="1">
        <v>0</v>
      </c>
      <c r="BM29" s="1">
        <v>0</v>
      </c>
      <c r="BN29" s="1">
        <v>0</v>
      </c>
      <c r="BO29" s="1">
        <v>-12000</v>
      </c>
      <c r="BP29" s="1">
        <v>0</v>
      </c>
      <c r="BQ29" s="1">
        <v>0</v>
      </c>
      <c r="BR29" s="1">
        <v>0</v>
      </c>
      <c r="BS29" s="1">
        <v>-410075495</v>
      </c>
      <c r="BT29" s="1">
        <v>0</v>
      </c>
      <c r="BU29" s="1">
        <v>0</v>
      </c>
      <c r="BV29" s="1">
        <v>0</v>
      </c>
      <c r="BW29" s="1">
        <v>-958931000</v>
      </c>
      <c r="BX29" s="1">
        <v>0</v>
      </c>
      <c r="BY29" s="1">
        <v>0</v>
      </c>
      <c r="BZ29" s="1">
        <v>0</v>
      </c>
      <c r="CA29" s="1">
        <v>68282778</v>
      </c>
    </row>
    <row r="30" spans="1:79" x14ac:dyDescent="0.2">
      <c r="A30" s="1" t="s">
        <v>84</v>
      </c>
      <c r="B30" s="1">
        <v>-1361931000</v>
      </c>
      <c r="C30" s="1">
        <v>-8262517000</v>
      </c>
      <c r="D30" s="1">
        <v>-4049000000</v>
      </c>
      <c r="E30" s="1">
        <v>-5659981000</v>
      </c>
      <c r="F30" s="1">
        <v>-930240000</v>
      </c>
      <c r="G30" s="1">
        <v>-2066977000</v>
      </c>
      <c r="H30" s="1">
        <v>-3346006000</v>
      </c>
      <c r="I30" s="1">
        <v>-6652393000</v>
      </c>
      <c r="J30" s="1">
        <v>4717094000</v>
      </c>
      <c r="K30" s="1">
        <v>-143822000</v>
      </c>
      <c r="L30" s="1">
        <v>4012069000</v>
      </c>
      <c r="M30" s="1">
        <v>-2505354000</v>
      </c>
      <c r="N30" s="1">
        <v>-1889882000</v>
      </c>
      <c r="O30" s="1">
        <v>-5665717000</v>
      </c>
      <c r="P30" s="1">
        <v>-118103598000</v>
      </c>
      <c r="Q30" s="1">
        <v>8126745000</v>
      </c>
      <c r="R30" s="1">
        <v>3487627000</v>
      </c>
      <c r="S30" s="1">
        <v>-1477437000</v>
      </c>
      <c r="T30" s="1">
        <v>-1556596000</v>
      </c>
      <c r="U30" s="1">
        <v>-502210000</v>
      </c>
      <c r="V30" s="1">
        <v>8744892000</v>
      </c>
      <c r="W30" s="1">
        <v>-67417799000</v>
      </c>
      <c r="X30" s="1">
        <v>-719272000</v>
      </c>
      <c r="Y30" s="1">
        <v>35467730000</v>
      </c>
      <c r="Z30" s="1">
        <v>22351612000</v>
      </c>
      <c r="AA30" s="1">
        <v>-1002936000</v>
      </c>
      <c r="AB30" s="1">
        <v>-2495000000</v>
      </c>
      <c r="AC30" s="1">
        <v>-767989000</v>
      </c>
      <c r="AD30" s="1">
        <v>-13424557000</v>
      </c>
      <c r="AE30" s="1">
        <v>-11956000</v>
      </c>
      <c r="AF30" s="1">
        <v>42508358000</v>
      </c>
      <c r="AG30" s="1">
        <v>-1651420000</v>
      </c>
      <c r="AH30" s="1">
        <v>-1053481000</v>
      </c>
      <c r="AI30" s="1">
        <v>9668340000</v>
      </c>
      <c r="AJ30" s="1">
        <v>-3177873000</v>
      </c>
      <c r="AK30" s="1">
        <v>-596723000</v>
      </c>
      <c r="AL30" s="1">
        <v>-1657134000</v>
      </c>
      <c r="AM30" s="1">
        <v>5177819000</v>
      </c>
      <c r="AN30" s="1">
        <v>-1607006000</v>
      </c>
      <c r="AO30" s="1">
        <v>-585547000</v>
      </c>
      <c r="AP30" s="1">
        <v>-691966000</v>
      </c>
      <c r="AQ30" s="1">
        <v>5315965000</v>
      </c>
      <c r="AR30" s="1">
        <v>-1498113000</v>
      </c>
      <c r="AS30" s="1">
        <v>-380468000</v>
      </c>
      <c r="AT30" s="1">
        <v>-830454000</v>
      </c>
      <c r="AU30" s="1">
        <v>27636046000</v>
      </c>
      <c r="AV30" s="1">
        <v>-1865490000</v>
      </c>
      <c r="AW30" s="1">
        <v>-26071000</v>
      </c>
      <c r="AX30" s="1">
        <v>-868804000</v>
      </c>
      <c r="AY30" s="1">
        <v>-102431000</v>
      </c>
      <c r="AZ30" s="1">
        <v>-1738721000</v>
      </c>
      <c r="BA30" s="1">
        <v>171817000</v>
      </c>
      <c r="BB30" s="1">
        <v>-259751000</v>
      </c>
      <c r="BC30" s="1">
        <v>52961000</v>
      </c>
      <c r="BD30" s="1">
        <v>-1316665000</v>
      </c>
      <c r="BE30" s="1">
        <v>241330000</v>
      </c>
      <c r="BF30" s="1">
        <v>-1728720000</v>
      </c>
      <c r="BG30" s="1">
        <v>-3643268000</v>
      </c>
      <c r="BH30" s="1">
        <v>-77916749000</v>
      </c>
      <c r="BI30" s="1">
        <v>-186218000</v>
      </c>
      <c r="BJ30" s="1">
        <v>68673000</v>
      </c>
      <c r="BK30" s="1">
        <v>77190000</v>
      </c>
      <c r="BL30" s="1">
        <v>-78986050000</v>
      </c>
      <c r="BM30" s="1">
        <v>-76719000</v>
      </c>
      <c r="BN30" s="1">
        <v>11346000</v>
      </c>
      <c r="BO30" s="1">
        <v>682218000</v>
      </c>
      <c r="BP30" s="1">
        <v>-77086006000</v>
      </c>
      <c r="BQ30" s="1">
        <v>-411877000</v>
      </c>
      <c r="BR30" s="1">
        <v>32890000</v>
      </c>
      <c r="BS30" s="1">
        <v>-149765497</v>
      </c>
      <c r="BT30" s="1">
        <v>-81088348000</v>
      </c>
      <c r="BU30" s="1">
        <v>-428451000</v>
      </c>
      <c r="BV30" s="1">
        <v>-160285680</v>
      </c>
      <c r="BW30" s="1">
        <v>-645859000</v>
      </c>
      <c r="BX30" s="1">
        <v>-81122275416</v>
      </c>
      <c r="BY30" s="1">
        <v>-649503242</v>
      </c>
      <c r="BZ30" s="1">
        <v>-430264120</v>
      </c>
      <c r="CA30" s="1">
        <v>284062357</v>
      </c>
    </row>
    <row r="31" spans="1:79" x14ac:dyDescent="0.2">
      <c r="A31" s="6" t="s">
        <v>83</v>
      </c>
      <c r="B31" s="4">
        <v>-118373857000</v>
      </c>
      <c r="C31" s="4">
        <v>-100932535000</v>
      </c>
      <c r="D31" s="4">
        <v>-128294000000</v>
      </c>
      <c r="E31" s="4">
        <v>-119700601000</v>
      </c>
      <c r="F31" s="4">
        <v>-84665592000</v>
      </c>
      <c r="G31" s="4">
        <v>-100732000000</v>
      </c>
      <c r="H31" s="4">
        <v>-83638287000</v>
      </c>
      <c r="I31" s="4">
        <v>-90244583000</v>
      </c>
      <c r="J31" s="4">
        <v>-71685617000</v>
      </c>
      <c r="K31" s="4">
        <v>-69374322000</v>
      </c>
      <c r="L31" s="4">
        <v>-38451204000</v>
      </c>
      <c r="M31" s="4">
        <v>-26588885000</v>
      </c>
      <c r="N31" s="4">
        <v>-64487030000</v>
      </c>
      <c r="O31" s="4">
        <v>-69831513000</v>
      </c>
      <c r="P31" s="4">
        <v>-130406753000</v>
      </c>
      <c r="Q31" s="4">
        <v>19080454000</v>
      </c>
      <c r="R31" s="4">
        <v>-19086188000</v>
      </c>
      <c r="S31" s="4">
        <v>82283000000</v>
      </c>
      <c r="T31" s="4">
        <v>-35324000000</v>
      </c>
      <c r="U31" s="4">
        <v>75030643000</v>
      </c>
      <c r="V31" s="4">
        <v>14618457000</v>
      </c>
      <c r="W31" s="4">
        <v>-101203795000</v>
      </c>
      <c r="X31" s="4">
        <v>47434066000</v>
      </c>
      <c r="Y31" s="4">
        <v>5912053000</v>
      </c>
      <c r="Z31" s="4">
        <v>-40757411000</v>
      </c>
      <c r="AA31" s="4">
        <v>-17184000000</v>
      </c>
      <c r="AB31" s="4">
        <v>-229112000000</v>
      </c>
      <c r="AC31" s="4">
        <v>-930502000</v>
      </c>
      <c r="AD31" s="4">
        <v>-22412645000</v>
      </c>
      <c r="AE31" s="4">
        <v>14284000000</v>
      </c>
      <c r="AF31" s="4">
        <v>-172434686000</v>
      </c>
      <c r="AG31" s="4">
        <v>-29346300000</v>
      </c>
      <c r="AH31" s="4">
        <v>-57627226000</v>
      </c>
      <c r="AI31" s="4">
        <v>9644163000</v>
      </c>
      <c r="AJ31" s="4">
        <v>-212792956000</v>
      </c>
      <c r="AK31" s="4">
        <v>-638888000</v>
      </c>
      <c r="AL31" s="4">
        <v>-11909919000</v>
      </c>
      <c r="AM31" s="4">
        <v>24301386000</v>
      </c>
      <c r="AN31" s="4">
        <v>-169191709000</v>
      </c>
      <c r="AO31" s="4">
        <v>-8103045000</v>
      </c>
      <c r="AP31" s="4">
        <v>-4806832000</v>
      </c>
      <c r="AQ31" s="4">
        <v>5315944000</v>
      </c>
      <c r="AR31" s="4">
        <v>-90475814000</v>
      </c>
      <c r="AS31" s="4">
        <v>-13402541000</v>
      </c>
      <c r="AT31" s="4">
        <v>-18171589000</v>
      </c>
      <c r="AU31" s="4">
        <v>27636023000</v>
      </c>
      <c r="AV31" s="4">
        <v>-78261300000</v>
      </c>
      <c r="AW31" s="4">
        <v>10346753000</v>
      </c>
      <c r="AX31" s="4">
        <v>7950224000</v>
      </c>
      <c r="AY31" s="4">
        <v>-2424402000</v>
      </c>
      <c r="AZ31" s="4">
        <v>-51498796000</v>
      </c>
      <c r="BA31" s="4">
        <v>41089778000</v>
      </c>
      <c r="BB31" s="4">
        <v>44939320000</v>
      </c>
      <c r="BC31" s="4">
        <v>9403080000</v>
      </c>
      <c r="BD31" s="4">
        <v>-39290928000</v>
      </c>
      <c r="BE31" s="4">
        <v>-4064437000</v>
      </c>
      <c r="BF31" s="4">
        <v>20141385000</v>
      </c>
      <c r="BG31" s="4">
        <v>-12846448000</v>
      </c>
      <c r="BH31" s="4">
        <v>-56887976000</v>
      </c>
      <c r="BI31" s="4">
        <v>-1892730000</v>
      </c>
      <c r="BJ31" s="4">
        <v>3769154000</v>
      </c>
      <c r="BK31" s="4">
        <v>-7302362000</v>
      </c>
      <c r="BL31" s="4">
        <v>-58107992000</v>
      </c>
      <c r="BM31" s="4">
        <v>17616321000</v>
      </c>
      <c r="BN31" s="4">
        <v>-843667000</v>
      </c>
      <c r="BO31" s="4">
        <v>-277349000</v>
      </c>
      <c r="BP31" s="4">
        <v>-76981851000</v>
      </c>
      <c r="BQ31" s="4">
        <v>-336997000</v>
      </c>
      <c r="BR31" s="4">
        <v>-7875003000</v>
      </c>
      <c r="BS31" s="4">
        <v>-913134096</v>
      </c>
      <c r="BT31" s="4">
        <v>-104775170000</v>
      </c>
      <c r="BU31" s="4">
        <v>-6859825000</v>
      </c>
      <c r="BV31" s="4">
        <v>-3160421680</v>
      </c>
      <c r="BW31" s="4">
        <v>-51130630000</v>
      </c>
      <c r="BX31" s="4">
        <v>-80961435447</v>
      </c>
      <c r="BY31" s="4">
        <v>-513357292</v>
      </c>
      <c r="BZ31" s="4">
        <v>-2813265400</v>
      </c>
      <c r="CA31" s="4">
        <v>503094687</v>
      </c>
    </row>
    <row r="33" spans="1:79" x14ac:dyDescent="0.2">
      <c r="A33" s="1" t="s">
        <v>82</v>
      </c>
      <c r="B33" s="1">
        <v>-5181837000</v>
      </c>
      <c r="C33" s="1">
        <v>-31056361000</v>
      </c>
      <c r="D33" s="1">
        <v>67452000000</v>
      </c>
      <c r="E33" s="1">
        <v>-179155087000</v>
      </c>
      <c r="F33" s="1">
        <v>16461553000</v>
      </c>
      <c r="G33" s="1">
        <v>33292000000</v>
      </c>
      <c r="H33" s="1">
        <v>-25191055000</v>
      </c>
      <c r="I33" s="1">
        <v>11115350000</v>
      </c>
      <c r="J33" s="1">
        <v>27949451000</v>
      </c>
      <c r="K33" s="1">
        <v>-33521465000</v>
      </c>
      <c r="L33" s="1">
        <v>21131702000</v>
      </c>
      <c r="M33" s="1">
        <v>10158156000</v>
      </c>
      <c r="N33" s="1">
        <v>-6107193000</v>
      </c>
      <c r="O33" s="1">
        <v>-27717017000</v>
      </c>
      <c r="P33" s="1">
        <v>44922498000</v>
      </c>
      <c r="Q33" s="1">
        <v>19601774000</v>
      </c>
      <c r="R33" s="1">
        <v>21589745000</v>
      </c>
      <c r="S33" s="1">
        <v>-3962000000</v>
      </c>
      <c r="T33" s="1">
        <v>-532000000</v>
      </c>
      <c r="U33" s="1">
        <v>-9464861000</v>
      </c>
      <c r="V33" s="1">
        <v>6374461000</v>
      </c>
      <c r="W33" s="1">
        <v>-10992642000</v>
      </c>
      <c r="X33" s="1">
        <v>-4943954000</v>
      </c>
      <c r="Y33" s="1">
        <v>-9660634000</v>
      </c>
      <c r="Z33" s="1">
        <v>2099130000</v>
      </c>
      <c r="AA33" s="1">
        <v>-11197000000</v>
      </c>
      <c r="AB33" s="1">
        <v>-1618000000</v>
      </c>
      <c r="AC33" s="1">
        <v>1914160000</v>
      </c>
      <c r="AD33" s="1">
        <v>1786766000</v>
      </c>
      <c r="AE33" s="1">
        <v>2688000000</v>
      </c>
      <c r="AF33" s="1">
        <v>-1672392000</v>
      </c>
      <c r="AG33" s="1">
        <v>14095456000</v>
      </c>
      <c r="AH33" s="1">
        <v>-5248235000</v>
      </c>
      <c r="AI33" s="1">
        <v>-5404264000</v>
      </c>
      <c r="AJ33" s="1">
        <v>-717058000</v>
      </c>
      <c r="AK33" s="1">
        <v>1199955000</v>
      </c>
      <c r="AL33" s="1">
        <v>-16396433000</v>
      </c>
      <c r="AM33" s="1">
        <v>6262327000</v>
      </c>
      <c r="AN33" s="1">
        <v>-8720773000</v>
      </c>
      <c r="AO33" s="1">
        <v>507912000</v>
      </c>
      <c r="AP33" s="1">
        <v>-6079266000</v>
      </c>
      <c r="AQ33" s="1">
        <v>-1850435000</v>
      </c>
      <c r="AR33" s="1">
        <v>13960187000</v>
      </c>
      <c r="AS33" s="1">
        <v>-2071789000</v>
      </c>
      <c r="AT33" s="1">
        <v>-1779163000</v>
      </c>
      <c r="AU33" s="1">
        <v>6782600000</v>
      </c>
      <c r="AV33" s="1">
        <v>2472104000</v>
      </c>
      <c r="AW33" s="1">
        <v>-2244779000</v>
      </c>
      <c r="AX33" s="1">
        <v>2050275000</v>
      </c>
      <c r="AY33" s="1">
        <v>810535000</v>
      </c>
      <c r="AZ33" s="1">
        <v>-1209965000</v>
      </c>
      <c r="BA33" s="1">
        <v>106899000</v>
      </c>
      <c r="BB33" s="1">
        <v>1142131000</v>
      </c>
      <c r="BC33" s="1">
        <v>8115000</v>
      </c>
      <c r="BD33" s="1">
        <v>-1274123000</v>
      </c>
      <c r="BE33" s="1">
        <v>740954000</v>
      </c>
      <c r="BF33" s="1">
        <v>-1593246000</v>
      </c>
      <c r="BG33" s="1">
        <v>-1207282000</v>
      </c>
      <c r="BH33" s="1">
        <v>1889308000</v>
      </c>
      <c r="BI33" s="1">
        <v>-1185878000</v>
      </c>
      <c r="BJ33" s="1">
        <v>-1116448000</v>
      </c>
      <c r="BK33" s="1">
        <v>-1086134000</v>
      </c>
      <c r="BL33" s="1">
        <v>-1029931000</v>
      </c>
      <c r="BM33" s="1">
        <v>352931000</v>
      </c>
      <c r="BN33" s="1">
        <v>-378066000</v>
      </c>
      <c r="BO33" s="1">
        <v>-279221000</v>
      </c>
      <c r="BP33" s="1">
        <v>-745079000</v>
      </c>
      <c r="BQ33" s="1">
        <v>-1938725000</v>
      </c>
      <c r="BR33" s="1">
        <v>1598725000</v>
      </c>
      <c r="BS33" s="1">
        <v>1215065505</v>
      </c>
      <c r="BT33" s="1">
        <v>22769809000</v>
      </c>
      <c r="BU33" s="1">
        <v>-17470930000</v>
      </c>
      <c r="BV33" s="1">
        <v>-1519433500</v>
      </c>
      <c r="BW33" s="1">
        <v>-323344000</v>
      </c>
      <c r="BX33" s="1">
        <v>252007513</v>
      </c>
      <c r="BY33" s="1">
        <v>-944030053</v>
      </c>
      <c r="BZ33" s="1">
        <v>496458600</v>
      </c>
      <c r="CA33" s="1">
        <v>10981253104</v>
      </c>
    </row>
    <row r="34" spans="1:79" x14ac:dyDescent="0.2">
      <c r="A34" s="1" t="s">
        <v>81</v>
      </c>
      <c r="B34" s="1">
        <v>219326680000</v>
      </c>
      <c r="C34" s="1">
        <v>220069383000</v>
      </c>
      <c r="D34" s="1">
        <v>106234660000</v>
      </c>
      <c r="E34" s="1">
        <v>-30279910000</v>
      </c>
      <c r="F34" s="1">
        <v>267172957000</v>
      </c>
      <c r="G34" s="1">
        <v>240846445000</v>
      </c>
      <c r="H34" s="1">
        <v>87653649000</v>
      </c>
      <c r="I34" s="1">
        <v>100931647000</v>
      </c>
      <c r="J34" s="1">
        <v>232767951000</v>
      </c>
      <c r="K34" s="1">
        <v>153621218000</v>
      </c>
      <c r="L34" s="1">
        <v>35082551000</v>
      </c>
      <c r="M34" s="1">
        <v>-108508826000</v>
      </c>
      <c r="N34" s="1">
        <v>42418727000</v>
      </c>
      <c r="O34" s="1">
        <v>46800000000</v>
      </c>
      <c r="P34" s="1">
        <v>42823587000</v>
      </c>
      <c r="Q34" s="1">
        <v>101599551000</v>
      </c>
      <c r="R34" s="1">
        <v>86599454000</v>
      </c>
      <c r="S34" s="1">
        <v>211178000000</v>
      </c>
      <c r="T34" s="1">
        <v>105830000000</v>
      </c>
      <c r="U34" s="1">
        <v>83254243000</v>
      </c>
      <c r="V34" s="1">
        <v>4557210000</v>
      </c>
      <c r="W34" s="1">
        <v>55975534000</v>
      </c>
      <c r="X34" s="1">
        <v>136581670000</v>
      </c>
      <c r="Y34" s="1">
        <v>36836214000</v>
      </c>
      <c r="Z34" s="1">
        <v>-24622107000</v>
      </c>
      <c r="AA34" s="1">
        <v>2969000000</v>
      </c>
      <c r="AB34" s="1">
        <v>-197267000000</v>
      </c>
      <c r="AC34" s="1">
        <v>4026735000</v>
      </c>
      <c r="AD34" s="1">
        <v>67855926000</v>
      </c>
      <c r="AE34" s="1">
        <v>89083000000</v>
      </c>
      <c r="AF34" s="1">
        <v>-143497759000</v>
      </c>
      <c r="AG34" s="1">
        <v>54446917000</v>
      </c>
      <c r="AH34" s="1">
        <v>24391267000</v>
      </c>
      <c r="AI34" s="1">
        <v>145314005000</v>
      </c>
      <c r="AJ34" s="1">
        <v>-162389263000</v>
      </c>
      <c r="AK34" s="1">
        <v>5741692000</v>
      </c>
      <c r="AL34" s="1">
        <v>23471433000</v>
      </c>
      <c r="AM34" s="1">
        <v>77282143000</v>
      </c>
      <c r="AN34" s="1">
        <v>-158387645000</v>
      </c>
      <c r="AO34" s="1">
        <v>4374984000</v>
      </c>
      <c r="AP34" s="1">
        <v>55295388000</v>
      </c>
      <c r="AQ34" s="1">
        <v>46957502000</v>
      </c>
      <c r="AR34" s="1">
        <v>-13163709000</v>
      </c>
      <c r="AS34" s="1">
        <v>91482696000</v>
      </c>
      <c r="AT34" s="1">
        <v>78963382000</v>
      </c>
      <c r="AU34" s="1">
        <v>132564682000</v>
      </c>
      <c r="AV34" s="1">
        <v>-29169255000</v>
      </c>
      <c r="AW34" s="1">
        <v>23356278000</v>
      </c>
      <c r="AX34" s="1">
        <v>-10998152000</v>
      </c>
      <c r="AY34" s="1">
        <v>26091703000</v>
      </c>
      <c r="AZ34" s="1">
        <v>-9228949000</v>
      </c>
      <c r="BA34" s="1">
        <v>39803848000</v>
      </c>
      <c r="BB34" s="1">
        <v>42618210000</v>
      </c>
      <c r="BC34" s="1">
        <v>4672487000</v>
      </c>
      <c r="BD34" s="1">
        <v>-39702446000</v>
      </c>
      <c r="BE34" s="1">
        <v>7620620000</v>
      </c>
      <c r="BF34" s="1">
        <v>27347662000</v>
      </c>
      <c r="BG34" s="1">
        <v>28635841000</v>
      </c>
      <c r="BH34" s="1">
        <v>-36142319000</v>
      </c>
      <c r="BI34" s="1">
        <v>21533778000</v>
      </c>
      <c r="BJ34" s="1">
        <v>-18441955000</v>
      </c>
      <c r="BK34" s="1">
        <v>15618242000</v>
      </c>
      <c r="BL34" s="1">
        <v>-40217460000</v>
      </c>
      <c r="BM34" s="1">
        <v>12686515000</v>
      </c>
      <c r="BN34" s="1">
        <v>-11476638000</v>
      </c>
      <c r="BO34" s="1">
        <v>14341223000</v>
      </c>
      <c r="BP34" s="1">
        <v>-82581923000</v>
      </c>
      <c r="BQ34" s="1">
        <v>16254919000</v>
      </c>
      <c r="BR34" s="1">
        <v>28648329000</v>
      </c>
      <c r="BS34" s="1">
        <v>82992365496</v>
      </c>
      <c r="BT34" s="1">
        <v>-34401674000</v>
      </c>
      <c r="BU34" s="1">
        <v>7860268000</v>
      </c>
      <c r="BV34" s="1">
        <v>47375936530</v>
      </c>
      <c r="BW34" s="1">
        <v>-2137553000</v>
      </c>
      <c r="BX34" s="1">
        <v>-66524121163</v>
      </c>
      <c r="BY34" s="1">
        <v>22494482763</v>
      </c>
      <c r="BZ34" s="1">
        <v>22572317680</v>
      </c>
      <c r="CA34" s="1">
        <v>40062612034</v>
      </c>
    </row>
    <row r="35" spans="1:79" x14ac:dyDescent="0.2">
      <c r="A35" s="1" t="s">
        <v>80</v>
      </c>
      <c r="B35" s="1">
        <v>3034972331000</v>
      </c>
      <c r="C35" s="1">
        <v>2760059967000</v>
      </c>
      <c r="D35" s="1">
        <v>2470759000000</v>
      </c>
      <c r="E35" s="1">
        <v>2364524340000</v>
      </c>
      <c r="F35" s="1">
        <v>2394800000000</v>
      </c>
      <c r="G35" s="1">
        <v>2127627000000</v>
      </c>
      <c r="H35" s="1">
        <v>1886781000000</v>
      </c>
      <c r="I35" s="1">
        <v>1799127351000</v>
      </c>
      <c r="J35" s="1">
        <v>1698195704000</v>
      </c>
      <c r="K35" s="1">
        <v>1465427753000</v>
      </c>
      <c r="L35" s="1">
        <v>1311806535000</v>
      </c>
      <c r="M35" s="1">
        <v>1276723984000</v>
      </c>
      <c r="N35" s="1">
        <v>1385232810000</v>
      </c>
      <c r="O35" s="1">
        <v>1342800000000</v>
      </c>
      <c r="P35" s="1">
        <v>1296012784000</v>
      </c>
      <c r="Q35" s="1">
        <v>1253189197000</v>
      </c>
      <c r="R35" s="1">
        <v>1151589646000</v>
      </c>
      <c r="S35" s="1">
        <v>1064990000000</v>
      </c>
      <c r="T35" s="1">
        <v>853812000000</v>
      </c>
      <c r="U35" s="1">
        <v>747982100000</v>
      </c>
      <c r="V35" s="1">
        <v>664727857000</v>
      </c>
      <c r="W35" s="1">
        <v>660170647000</v>
      </c>
      <c r="X35" s="1">
        <v>604195113000</v>
      </c>
      <c r="Y35" s="1">
        <v>467613443000</v>
      </c>
      <c r="Z35" s="1">
        <v>430777229000</v>
      </c>
      <c r="AA35" s="1">
        <v>455399000000</v>
      </c>
      <c r="AB35" s="1">
        <v>452430000000</v>
      </c>
      <c r="AC35" s="1">
        <v>649697262000</v>
      </c>
      <c r="AD35" s="1">
        <v>645670527000</v>
      </c>
      <c r="AE35" s="1">
        <v>577815000000</v>
      </c>
      <c r="AF35" s="1">
        <v>488732121000</v>
      </c>
      <c r="AG35" s="1">
        <v>632229880000</v>
      </c>
      <c r="AH35" s="1">
        <v>577782963000</v>
      </c>
      <c r="AI35" s="1">
        <v>553391700000</v>
      </c>
      <c r="AJ35" s="1">
        <v>408077695000</v>
      </c>
      <c r="AK35" s="1">
        <v>570466958000</v>
      </c>
      <c r="AL35" s="1">
        <v>564725266000</v>
      </c>
      <c r="AM35" s="1">
        <v>541253800000</v>
      </c>
      <c r="AN35" s="1">
        <v>463971657000</v>
      </c>
      <c r="AO35" s="1">
        <v>622359302000</v>
      </c>
      <c r="AP35" s="1">
        <v>617984318000</v>
      </c>
      <c r="AQ35" s="1">
        <v>562688900000</v>
      </c>
      <c r="AR35" s="1">
        <v>515731398000</v>
      </c>
      <c r="AS35" s="1">
        <v>528895107000</v>
      </c>
      <c r="AT35" s="1">
        <v>437412411000</v>
      </c>
      <c r="AU35" s="1">
        <v>358449000000</v>
      </c>
      <c r="AV35" s="1">
        <v>225884318000</v>
      </c>
      <c r="AW35" s="1">
        <v>255053573000</v>
      </c>
      <c r="AX35" s="1">
        <v>231697295000</v>
      </c>
      <c r="AY35" s="1">
        <v>242695400000</v>
      </c>
      <c r="AZ35" s="1">
        <v>216603697000</v>
      </c>
      <c r="BA35" s="1">
        <v>225832646000</v>
      </c>
      <c r="BB35" s="1">
        <v>186028798000</v>
      </c>
      <c r="BC35" s="1">
        <v>143410600000</v>
      </c>
      <c r="BD35" s="1">
        <v>138738113000</v>
      </c>
      <c r="BE35" s="1">
        <v>178440559000</v>
      </c>
      <c r="BF35" s="1">
        <v>170819939000</v>
      </c>
      <c r="BG35" s="1">
        <v>143472300000</v>
      </c>
      <c r="BH35" s="1">
        <v>114836459000</v>
      </c>
      <c r="BI35" s="1">
        <v>150978778000</v>
      </c>
      <c r="BJ35" s="1">
        <v>129445000000</v>
      </c>
      <c r="BK35" s="1">
        <v>147887000000</v>
      </c>
      <c r="BL35" s="1">
        <v>132268758000</v>
      </c>
      <c r="BM35" s="1">
        <v>172486218000</v>
      </c>
      <c r="BN35" s="1">
        <v>159799703000</v>
      </c>
      <c r="BO35" s="1">
        <v>171276300000</v>
      </c>
      <c r="BP35" s="1">
        <v>156935077000</v>
      </c>
      <c r="BQ35" s="1">
        <v>239517000000</v>
      </c>
      <c r="BR35" s="1">
        <v>223262081000</v>
      </c>
      <c r="BS35" s="1">
        <v>195144848610</v>
      </c>
      <c r="BT35" s="1">
        <v>112152483000</v>
      </c>
      <c r="BU35" s="1">
        <v>146554157000</v>
      </c>
      <c r="BV35" s="1">
        <v>138693889880</v>
      </c>
      <c r="BW35" s="1">
        <v>94992537000</v>
      </c>
      <c r="BX35" s="1">
        <v>97130090200</v>
      </c>
      <c r="BY35" s="1">
        <v>163654211363</v>
      </c>
      <c r="BZ35" s="1">
        <v>141159728600</v>
      </c>
      <c r="CA35" s="1">
        <v>117817476029</v>
      </c>
    </row>
    <row r="36" spans="1:79" x14ac:dyDescent="0.2">
      <c r="A36" s="1" t="s">
        <v>79</v>
      </c>
      <c r="B36" s="1">
        <v>2815645651000</v>
      </c>
      <c r="C36" s="1">
        <v>2539990584000</v>
      </c>
      <c r="D36" s="1">
        <v>2364524340000</v>
      </c>
      <c r="E36" s="1">
        <v>2394804250000</v>
      </c>
      <c r="F36" s="1">
        <v>2127627043000</v>
      </c>
      <c r="G36" s="1">
        <v>1886781000000</v>
      </c>
      <c r="H36" s="1">
        <v>1799127351000</v>
      </c>
      <c r="I36" s="1">
        <v>1698195704000</v>
      </c>
      <c r="J36" s="1">
        <v>1465427753000</v>
      </c>
      <c r="K36" s="1">
        <v>1311806535000</v>
      </c>
      <c r="L36" s="1">
        <v>1276723984000</v>
      </c>
      <c r="M36" s="1">
        <v>1385232810000</v>
      </c>
      <c r="N36" s="1">
        <v>1342814083000</v>
      </c>
      <c r="O36" s="1">
        <v>1296000000000</v>
      </c>
      <c r="P36" s="1">
        <v>1253189197000</v>
      </c>
      <c r="Q36" s="1">
        <v>1151589646000</v>
      </c>
      <c r="R36" s="1">
        <v>1064990192000</v>
      </c>
      <c r="S36" s="1">
        <v>853812000000</v>
      </c>
      <c r="T36" s="1">
        <v>747982000000</v>
      </c>
      <c r="U36" s="1">
        <v>664727857000</v>
      </c>
      <c r="V36" s="1">
        <v>660170647000</v>
      </c>
      <c r="W36" s="1">
        <v>604195113000</v>
      </c>
      <c r="X36" s="1">
        <v>467613443000</v>
      </c>
      <c r="Y36" s="1">
        <v>430777229000</v>
      </c>
      <c r="Z36" s="1">
        <v>455399336000</v>
      </c>
      <c r="AA36" s="1">
        <v>452430000000</v>
      </c>
      <c r="AB36" s="1">
        <v>649697000000</v>
      </c>
      <c r="AC36" s="1">
        <v>645670527000</v>
      </c>
      <c r="AD36" s="1">
        <v>577814601000</v>
      </c>
      <c r="AE36" s="1">
        <v>488732000000</v>
      </c>
      <c r="AF36" s="1">
        <v>632229880000</v>
      </c>
      <c r="AG36" s="1">
        <v>577782963000</v>
      </c>
      <c r="AH36" s="1">
        <v>553391696000</v>
      </c>
      <c r="AI36" s="1">
        <v>408077695000</v>
      </c>
      <c r="AJ36" s="1">
        <v>570466958000</v>
      </c>
      <c r="AK36" s="1">
        <v>564725266000</v>
      </c>
      <c r="AL36" s="1">
        <v>541253833000</v>
      </c>
      <c r="AM36" s="1">
        <v>463971657000</v>
      </c>
      <c r="AN36" s="1">
        <v>622359302000</v>
      </c>
      <c r="AO36" s="1">
        <v>617984318000</v>
      </c>
      <c r="AP36" s="1">
        <v>562688930000</v>
      </c>
      <c r="AQ36" s="1">
        <v>515731398000</v>
      </c>
      <c r="AR36" s="1">
        <v>528895107000</v>
      </c>
      <c r="AS36" s="1">
        <v>437412411000</v>
      </c>
      <c r="AT36" s="1">
        <v>358449029000</v>
      </c>
      <c r="AU36" s="1">
        <v>225884318000</v>
      </c>
      <c r="AV36" s="1">
        <v>255053573000</v>
      </c>
      <c r="AW36" s="1">
        <v>231697295000</v>
      </c>
      <c r="AX36" s="1">
        <v>242695447000</v>
      </c>
      <c r="AY36" s="1">
        <v>216603697000</v>
      </c>
      <c r="AZ36" s="1">
        <v>225832646000</v>
      </c>
      <c r="BA36" s="1">
        <v>186028798000</v>
      </c>
      <c r="BB36" s="1">
        <v>143410588000</v>
      </c>
      <c r="BC36" s="1">
        <v>138738113000</v>
      </c>
      <c r="BD36" s="1">
        <v>178440559000</v>
      </c>
      <c r="BE36" s="1">
        <v>170819939000</v>
      </c>
      <c r="BF36" s="1">
        <v>143472277000</v>
      </c>
      <c r="BG36" s="1">
        <v>114836459000</v>
      </c>
      <c r="BH36" s="1">
        <v>150978778000</v>
      </c>
      <c r="BI36" s="1">
        <v>129445000000</v>
      </c>
      <c r="BJ36" s="1">
        <v>147886955000</v>
      </c>
      <c r="BK36" s="1">
        <v>132268758000</v>
      </c>
      <c r="BL36" s="1">
        <v>172486218000</v>
      </c>
      <c r="BM36" s="1">
        <v>159799703000</v>
      </c>
      <c r="BN36" s="1">
        <v>171276341000</v>
      </c>
      <c r="BO36" s="1">
        <v>156935077000</v>
      </c>
      <c r="BP36" s="1">
        <v>239517000000</v>
      </c>
      <c r="BQ36" s="1">
        <v>223262081000</v>
      </c>
      <c r="BR36" s="1">
        <v>194613752000</v>
      </c>
      <c r="BS36" s="1">
        <v>112152483114</v>
      </c>
      <c r="BT36" s="1">
        <v>146554157000</v>
      </c>
      <c r="BU36" s="1">
        <v>138693890000</v>
      </c>
      <c r="BV36" s="1">
        <v>91317953350</v>
      </c>
      <c r="BW36" s="1">
        <v>97130090000</v>
      </c>
      <c r="BX36" s="1">
        <v>163654211363</v>
      </c>
      <c r="BY36" s="1">
        <v>141159728600</v>
      </c>
      <c r="BZ36" s="1">
        <v>118587410920</v>
      </c>
      <c r="CA36" s="1">
        <v>77754863995</v>
      </c>
    </row>
    <row r="37" spans="1:79" x14ac:dyDescent="0.2">
      <c r="A37" s="1" t="s">
        <v>78</v>
      </c>
      <c r="B37" s="1">
        <v>731498564000</v>
      </c>
      <c r="C37" s="1">
        <v>741728462000</v>
      </c>
      <c r="D37" s="1">
        <v>426829000000</v>
      </c>
      <c r="E37" s="1">
        <v>497064085000</v>
      </c>
      <c r="F37" s="1">
        <v>625570000000</v>
      </c>
      <c r="G37" s="1">
        <v>620205000000</v>
      </c>
      <c r="H37" s="1">
        <v>391992467000</v>
      </c>
      <c r="I37" s="1">
        <v>377668210000</v>
      </c>
      <c r="J37" s="1">
        <v>436311108000</v>
      </c>
      <c r="K37" s="1">
        <v>404331237000</v>
      </c>
      <c r="L37" s="1">
        <v>294645276000</v>
      </c>
      <c r="M37" s="1">
        <v>167247979000</v>
      </c>
      <c r="N37" s="1">
        <v>385244745000</v>
      </c>
      <c r="O37" s="1">
        <v>486880000000</v>
      </c>
      <c r="P37" s="1">
        <v>412698167000</v>
      </c>
      <c r="Q37" s="1">
        <v>338849429000</v>
      </c>
      <c r="R37" s="1">
        <v>372169688000</v>
      </c>
      <c r="S37" s="1">
        <v>378200000000</v>
      </c>
      <c r="T37" s="1">
        <v>318706000000</v>
      </c>
      <c r="U37" s="1">
        <v>187439494000</v>
      </c>
      <c r="V37" s="1">
        <v>227815706000</v>
      </c>
      <c r="W37" s="1">
        <v>259130584000</v>
      </c>
      <c r="X37" s="1">
        <v>190171227000</v>
      </c>
      <c r="Y37" s="1">
        <v>170334959000</v>
      </c>
      <c r="Z37" s="1">
        <v>203029442000</v>
      </c>
      <c r="AA37" s="1">
        <v>202955000000</v>
      </c>
      <c r="AB37" s="1">
        <v>141753000000</v>
      </c>
      <c r="AC37" s="1">
        <v>117761028000</v>
      </c>
      <c r="AD37" s="1">
        <v>152670278000</v>
      </c>
      <c r="AE37" s="1">
        <v>189372000000</v>
      </c>
      <c r="AF37" s="1">
        <v>94082482000</v>
      </c>
      <c r="AG37" s="1">
        <v>129773360000</v>
      </c>
      <c r="AH37" s="1">
        <v>160725918000</v>
      </c>
      <c r="AI37" s="1">
        <v>204126342000</v>
      </c>
      <c r="AJ37" s="1">
        <v>116783434000</v>
      </c>
      <c r="AK37" s="1">
        <v>103400380000</v>
      </c>
      <c r="AL37" s="1">
        <v>161008044000</v>
      </c>
      <c r="AM37" s="1">
        <v>185219797000</v>
      </c>
      <c r="AN37" s="1">
        <v>126409559000</v>
      </c>
      <c r="AO37" s="1">
        <v>106676391000</v>
      </c>
      <c r="AP37" s="1">
        <v>121528853000</v>
      </c>
      <c r="AQ37" s="1">
        <v>144672148000</v>
      </c>
      <c r="AR37" s="1">
        <v>118139439000</v>
      </c>
      <c r="AS37" s="1">
        <v>111067152000</v>
      </c>
      <c r="AT37" s="1">
        <v>156000661000</v>
      </c>
      <c r="AU37" s="1">
        <v>153668816000</v>
      </c>
      <c r="AV37" s="1">
        <v>91245080000</v>
      </c>
      <c r="AW37" s="1">
        <v>81748863000</v>
      </c>
      <c r="AX37" s="1">
        <v>94860941000</v>
      </c>
      <c r="AY37" s="1">
        <v>102773065000</v>
      </c>
      <c r="AZ37" s="1">
        <v>95802107000</v>
      </c>
      <c r="BA37" s="1">
        <v>75238656000</v>
      </c>
      <c r="BB37" s="1">
        <v>73569672000</v>
      </c>
      <c r="BC37" s="1">
        <v>85411373000</v>
      </c>
      <c r="BD37" s="1">
        <v>76630960000</v>
      </c>
      <c r="BE37" s="1">
        <v>69972813000</v>
      </c>
      <c r="BF37" s="1">
        <v>57048654000</v>
      </c>
      <c r="BG37" s="1">
        <v>72836607000</v>
      </c>
      <c r="BH37" s="1">
        <v>55208959000</v>
      </c>
      <c r="BI37" s="1">
        <v>63063355000</v>
      </c>
      <c r="BJ37" s="1">
        <v>56478079000</v>
      </c>
      <c r="BK37" s="1">
        <v>70563933000</v>
      </c>
      <c r="BL37" s="1">
        <v>63951929000</v>
      </c>
      <c r="BM37" s="1">
        <v>48925669000</v>
      </c>
      <c r="BN37" s="1">
        <v>46034269000</v>
      </c>
      <c r="BO37" s="1">
        <v>61999356000</v>
      </c>
      <c r="BP37" s="1">
        <v>46655044000</v>
      </c>
      <c r="BQ37" s="1">
        <v>24523667000</v>
      </c>
      <c r="BR37" s="1">
        <v>26788333000</v>
      </c>
      <c r="BS37" s="1">
        <v>64260525873</v>
      </c>
      <c r="BT37" s="1">
        <v>61437866000</v>
      </c>
      <c r="BU37" s="1">
        <v>41335079000</v>
      </c>
      <c r="BV37" s="1">
        <v>55064270040</v>
      </c>
      <c r="BW37" s="1">
        <v>61256833000</v>
      </c>
      <c r="BX37" s="1">
        <v>49514413612</v>
      </c>
      <c r="BY37" s="1">
        <v>34613596397</v>
      </c>
      <c r="BZ37" s="1">
        <v>38392798400</v>
      </c>
      <c r="CA37" s="1">
        <v>58826632736</v>
      </c>
    </row>
    <row r="38" spans="1:79" x14ac:dyDescent="0.2">
      <c r="A38" s="1" t="s">
        <v>77</v>
      </c>
      <c r="B38" s="1">
        <v>-354388067000</v>
      </c>
      <c r="C38" s="1">
        <v>-353555370000</v>
      </c>
      <c r="D38" s="1">
        <v>-287452000000</v>
      </c>
      <c r="E38" s="1">
        <v>-299562606000</v>
      </c>
      <c r="F38" s="1">
        <v>-330830000000</v>
      </c>
      <c r="G38" s="1">
        <v>-361949000000</v>
      </c>
      <c r="H38" s="1">
        <v>-207903818000</v>
      </c>
      <c r="I38" s="1">
        <v>-205674684000</v>
      </c>
      <c r="J38" s="1">
        <v>-181304802000</v>
      </c>
      <c r="K38" s="1">
        <v>-124759287000</v>
      </c>
      <c r="L38" s="1">
        <v>-227807092000</v>
      </c>
      <c r="M38" s="1">
        <v>-250534217000</v>
      </c>
      <c r="N38" s="1">
        <v>-302804977000</v>
      </c>
      <c r="O38" s="1">
        <v>-336800000000</v>
      </c>
      <c r="P38" s="1">
        <v>-267635828000</v>
      </c>
      <c r="Q38" s="1">
        <v>-220945293000</v>
      </c>
      <c r="R38" s="1">
        <v>-262717722000</v>
      </c>
      <c r="S38" s="1">
        <v>-235556000000</v>
      </c>
      <c r="T38" s="1">
        <v>-188640000000</v>
      </c>
      <c r="U38" s="1">
        <v>-170513981000</v>
      </c>
      <c r="V38" s="1">
        <v>-249809419000</v>
      </c>
      <c r="W38" s="1">
        <v>-89513159000</v>
      </c>
      <c r="X38" s="1">
        <v>-101720285000</v>
      </c>
      <c r="Y38" s="1">
        <v>-134339955000</v>
      </c>
      <c r="Z38" s="1">
        <v>-193405710000</v>
      </c>
      <c r="AA38" s="1">
        <v>-170009000000</v>
      </c>
      <c r="AB38" s="1">
        <v>-98118000000</v>
      </c>
      <c r="AC38" s="1">
        <v>-116933823000</v>
      </c>
      <c r="AD38" s="1">
        <v>-78043144000</v>
      </c>
      <c r="AE38" s="1">
        <v>-114105000000</v>
      </c>
      <c r="AF38" s="1">
        <v>-71497989000</v>
      </c>
      <c r="AG38" s="1">
        <v>-60849798000</v>
      </c>
      <c r="AH38" s="1">
        <v>-72069733000</v>
      </c>
      <c r="AI38" s="1">
        <v>-62803089000</v>
      </c>
      <c r="AJ38" s="1">
        <v>-63420625000</v>
      </c>
      <c r="AK38" s="1">
        <v>-106241555000</v>
      </c>
      <c r="AL38" s="1">
        <v>-103423231000</v>
      </c>
      <c r="AM38" s="1">
        <v>-113796437000</v>
      </c>
      <c r="AN38" s="1">
        <v>-104981237000</v>
      </c>
      <c r="AO38" s="1">
        <v>-75170948000</v>
      </c>
      <c r="AP38" s="1">
        <v>-39145078000</v>
      </c>
      <c r="AQ38" s="1">
        <v>-86149857000</v>
      </c>
      <c r="AR38" s="1">
        <v>-71371356000</v>
      </c>
      <c r="AS38" s="1">
        <v>-54252433000</v>
      </c>
      <c r="AT38" s="1">
        <v>-50027054000</v>
      </c>
      <c r="AU38" s="1">
        <v>-54015598000</v>
      </c>
      <c r="AV38" s="1">
        <v>-48946426000</v>
      </c>
      <c r="AW38" s="1">
        <v>-73353965000</v>
      </c>
      <c r="AX38" s="1">
        <v>-116083511000</v>
      </c>
      <c r="AY38" s="1">
        <v>-74691845000</v>
      </c>
      <c r="AZ38" s="1">
        <v>-55356990000</v>
      </c>
      <c r="BA38" s="1">
        <v>-78925885000</v>
      </c>
      <c r="BB38" s="1">
        <v>-81370480000</v>
      </c>
      <c r="BC38" s="1">
        <v>-59765720000</v>
      </c>
      <c r="BD38" s="1">
        <v>-78333589000</v>
      </c>
      <c r="BE38" s="1">
        <v>-59467478000</v>
      </c>
      <c r="BF38" s="1">
        <v>-48570613000</v>
      </c>
      <c r="BG38" s="1">
        <v>-29771461000</v>
      </c>
      <c r="BH38" s="1">
        <v>-38048184000</v>
      </c>
      <c r="BI38" s="1">
        <v>-64692278000</v>
      </c>
      <c r="BJ38" s="1">
        <v>-81450577000</v>
      </c>
      <c r="BK38" s="1">
        <v>-44522008000</v>
      </c>
      <c r="BL38" s="1">
        <v>-42763655000</v>
      </c>
      <c r="BM38" s="1">
        <v>-53522758000</v>
      </c>
      <c r="BN38" s="1">
        <v>-46135779000</v>
      </c>
      <c r="BO38" s="1">
        <v>-42714530000</v>
      </c>
      <c r="BP38" s="1">
        <v>-32038370000</v>
      </c>
      <c r="BQ38" s="1">
        <v>-7362677000</v>
      </c>
      <c r="BR38" s="1">
        <v>-5669323000</v>
      </c>
      <c r="BS38" s="1">
        <v>-11545051720</v>
      </c>
      <c r="BT38" s="1">
        <v>-11800969000</v>
      </c>
      <c r="BU38" s="1">
        <v>-21330918000</v>
      </c>
      <c r="BV38" s="1">
        <v>-14708116280</v>
      </c>
      <c r="BW38" s="1">
        <v>-20576763000</v>
      </c>
      <c r="BX38" s="1">
        <v>-24061418929</v>
      </c>
      <c r="BY38" s="1">
        <v>-25333255850</v>
      </c>
      <c r="BZ38" s="1">
        <v>-14033229760</v>
      </c>
      <c r="CA38" s="1">
        <v>-18803304126</v>
      </c>
    </row>
    <row r="39" spans="1:79" x14ac:dyDescent="0.2">
      <c r="A39" s="6" t="s">
        <v>76</v>
      </c>
      <c r="B39" s="5">
        <v>377110497000</v>
      </c>
      <c r="C39" s="5">
        <v>388173091000</v>
      </c>
      <c r="D39" s="5">
        <v>139377000000</v>
      </c>
      <c r="E39" s="5">
        <v>197501479000</v>
      </c>
      <c r="F39" s="5">
        <v>294740000000</v>
      </c>
      <c r="G39" s="5">
        <v>258256000000</v>
      </c>
      <c r="H39" s="5">
        <v>184088649000</v>
      </c>
      <c r="I39" s="5">
        <v>171993526000</v>
      </c>
      <c r="J39" s="5">
        <v>255006306000</v>
      </c>
      <c r="K39" s="5">
        <v>279571950000</v>
      </c>
      <c r="L39" s="5">
        <v>66838184000</v>
      </c>
      <c r="M39" s="5">
        <v>-83286238000</v>
      </c>
      <c r="N39" s="5">
        <v>82439768000</v>
      </c>
      <c r="O39" s="5">
        <v>150080000000</v>
      </c>
      <c r="P39" s="5">
        <v>145062339000</v>
      </c>
      <c r="Q39" s="5">
        <v>117904136000</v>
      </c>
      <c r="R39" s="5">
        <v>109451966000</v>
      </c>
      <c r="S39" s="5">
        <v>142644000000</v>
      </c>
      <c r="T39" s="5">
        <v>130066000000</v>
      </c>
      <c r="U39" s="5">
        <v>16925513000</v>
      </c>
      <c r="V39" s="5">
        <v>-21993713000</v>
      </c>
      <c r="W39" s="5">
        <v>169617425000</v>
      </c>
      <c r="X39" s="5">
        <v>88450942000</v>
      </c>
      <c r="Y39" s="5">
        <v>35995004000</v>
      </c>
      <c r="Z39" s="5">
        <v>9623732000</v>
      </c>
      <c r="AA39" s="5">
        <v>32946000000</v>
      </c>
      <c r="AB39" s="5">
        <v>43635000000</v>
      </c>
      <c r="AC39" s="5">
        <v>827205000</v>
      </c>
      <c r="AD39" s="5">
        <v>74627134000</v>
      </c>
      <c r="AE39" s="5">
        <v>75267000000</v>
      </c>
      <c r="AF39" s="5">
        <v>22584493000</v>
      </c>
      <c r="AG39" s="5">
        <v>68923562000</v>
      </c>
      <c r="AH39" s="5">
        <v>88656185000</v>
      </c>
      <c r="AI39" s="5">
        <v>141323253000</v>
      </c>
      <c r="AJ39" s="5">
        <v>53362809000</v>
      </c>
      <c r="AK39" s="5">
        <v>-2841175000</v>
      </c>
      <c r="AL39" s="5">
        <v>57584813000</v>
      </c>
      <c r="AM39" s="5">
        <v>71423360000</v>
      </c>
      <c r="AN39" s="5">
        <v>21428322000</v>
      </c>
      <c r="AO39" s="5">
        <v>31505443000</v>
      </c>
      <c r="AP39" s="5">
        <v>82383775000</v>
      </c>
      <c r="AQ39" s="5">
        <v>58522291000</v>
      </c>
      <c r="AR39" s="5">
        <v>46768083000</v>
      </c>
      <c r="AS39" s="5">
        <v>56814719000</v>
      </c>
      <c r="AT39" s="5">
        <v>105973607000</v>
      </c>
      <c r="AU39" s="5">
        <v>99653218000</v>
      </c>
      <c r="AV39" s="5">
        <v>42298654000</v>
      </c>
      <c r="AW39" s="5">
        <v>8394898000</v>
      </c>
      <c r="AX39" s="5">
        <v>-21222570000</v>
      </c>
      <c r="AY39" s="5">
        <v>28081220000</v>
      </c>
      <c r="AZ39" s="5">
        <v>40445117000</v>
      </c>
      <c r="BA39" s="5">
        <v>-3687229000</v>
      </c>
      <c r="BB39" s="5">
        <v>-7800808000</v>
      </c>
      <c r="BC39" s="5">
        <v>25645653000</v>
      </c>
      <c r="BD39" s="5">
        <v>-1702629000</v>
      </c>
      <c r="BE39" s="5">
        <v>10505335000</v>
      </c>
      <c r="BF39" s="5">
        <v>8478041000</v>
      </c>
      <c r="BG39" s="5">
        <v>43065146000</v>
      </c>
      <c r="BH39" s="5">
        <v>17160775000</v>
      </c>
      <c r="BI39" s="5">
        <v>-1628923000</v>
      </c>
      <c r="BJ39" s="5">
        <v>-24972498000</v>
      </c>
      <c r="BK39" s="5">
        <v>26041925000</v>
      </c>
      <c r="BL39" s="5">
        <v>21188274000</v>
      </c>
      <c r="BM39" s="5">
        <v>-4597089000</v>
      </c>
      <c r="BN39" s="5">
        <v>-101510000</v>
      </c>
      <c r="BO39" s="5">
        <v>19284826000</v>
      </c>
      <c r="BP39" s="5">
        <v>14616674000</v>
      </c>
      <c r="BQ39" s="5">
        <v>17160990000</v>
      </c>
      <c r="BR39" s="5">
        <v>21119010000</v>
      </c>
      <c r="BS39" s="5">
        <v>52715474153</v>
      </c>
      <c r="BT39" s="5">
        <v>49636897000</v>
      </c>
      <c r="BU39" s="5">
        <v>20004161000</v>
      </c>
      <c r="BV39" s="5">
        <v>40356153760</v>
      </c>
      <c r="BW39" s="5">
        <v>40680070000</v>
      </c>
      <c r="BX39" s="5">
        <v>25452994682</v>
      </c>
      <c r="BY39" s="5">
        <v>9280340546</v>
      </c>
      <c r="BZ39" s="5">
        <v>24359568640</v>
      </c>
      <c r="CA39" s="5">
        <v>40023328609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4B4D-0BA9-5A4A-B6FF-0B566D9CABF2}">
  <dimension ref="A1:CA61"/>
  <sheetViews>
    <sheetView tabSelected="1" workbookViewId="0"/>
  </sheetViews>
  <sheetFormatPr baseColWidth="10" defaultRowHeight="16" x14ac:dyDescent="0.2"/>
  <cols>
    <col min="1" max="1" width="38" bestFit="1" customWidth="1"/>
    <col min="2" max="24" width="20.5" bestFit="1" customWidth="1"/>
    <col min="25" max="79" width="19.5" bestFit="1" customWidth="1"/>
  </cols>
  <sheetData>
    <row r="1" spans="1:79" x14ac:dyDescent="0.2">
      <c r="A1" s="10" t="s">
        <v>103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</row>
    <row r="2" spans="1:79" x14ac:dyDescent="0.2">
      <c r="A2" t="s">
        <v>1</v>
      </c>
      <c r="B2" t="s">
        <v>2</v>
      </c>
    </row>
    <row r="3" spans="1:79" x14ac:dyDescent="0.2">
      <c r="A3" t="s">
        <v>3</v>
      </c>
      <c r="B3" t="str">
        <f>'TSM - Income Statement Q'!B3</f>
        <v>TWD</v>
      </c>
    </row>
    <row r="4" spans="1:79" x14ac:dyDescent="0.2">
      <c r="A4" t="s">
        <v>32</v>
      </c>
      <c r="B4" t="s">
        <v>195</v>
      </c>
      <c r="C4" t="s">
        <v>196</v>
      </c>
      <c r="D4" t="s">
        <v>197</v>
      </c>
      <c r="E4" t="s">
        <v>198</v>
      </c>
      <c r="F4" t="s">
        <v>195</v>
      </c>
      <c r="G4" t="s">
        <v>196</v>
      </c>
      <c r="H4" t="s">
        <v>197</v>
      </c>
      <c r="I4" t="s">
        <v>198</v>
      </c>
      <c r="J4" t="s">
        <v>195</v>
      </c>
      <c r="K4" t="s">
        <v>196</v>
      </c>
      <c r="L4" t="s">
        <v>197</v>
      </c>
      <c r="M4" t="s">
        <v>198</v>
      </c>
      <c r="N4" t="s">
        <v>195</v>
      </c>
      <c r="O4" t="s">
        <v>196</v>
      </c>
      <c r="P4" t="s">
        <v>197</v>
      </c>
      <c r="Q4" t="s">
        <v>198</v>
      </c>
      <c r="R4" t="s">
        <v>195</v>
      </c>
      <c r="S4" t="s">
        <v>196</v>
      </c>
      <c r="T4" t="s">
        <v>197</v>
      </c>
      <c r="U4" t="s">
        <v>198</v>
      </c>
      <c r="V4" t="s">
        <v>195</v>
      </c>
      <c r="W4" t="s">
        <v>196</v>
      </c>
      <c r="X4" t="s">
        <v>197</v>
      </c>
      <c r="Y4" t="s">
        <v>198</v>
      </c>
      <c r="Z4" t="s">
        <v>195</v>
      </c>
      <c r="AA4" t="s">
        <v>196</v>
      </c>
      <c r="AB4" t="s">
        <v>197</v>
      </c>
      <c r="AC4" t="s">
        <v>198</v>
      </c>
      <c r="AD4" t="s">
        <v>195</v>
      </c>
      <c r="AE4" t="s">
        <v>196</v>
      </c>
      <c r="AF4" t="s">
        <v>197</v>
      </c>
      <c r="AG4" t="s">
        <v>198</v>
      </c>
      <c r="AH4" t="s">
        <v>195</v>
      </c>
      <c r="AI4" t="s">
        <v>196</v>
      </c>
      <c r="AJ4" t="s">
        <v>197</v>
      </c>
      <c r="AK4" t="s">
        <v>198</v>
      </c>
      <c r="AL4" t="s">
        <v>195</v>
      </c>
      <c r="AM4" t="s">
        <v>196</v>
      </c>
      <c r="AN4" t="s">
        <v>197</v>
      </c>
      <c r="AO4" t="s">
        <v>198</v>
      </c>
      <c r="AP4" t="s">
        <v>195</v>
      </c>
      <c r="AQ4" t="s">
        <v>196</v>
      </c>
      <c r="AR4" t="s">
        <v>197</v>
      </c>
      <c r="AS4" t="s">
        <v>198</v>
      </c>
      <c r="AT4" t="s">
        <v>195</v>
      </c>
      <c r="AU4" t="s">
        <v>196</v>
      </c>
      <c r="AV4" t="s">
        <v>197</v>
      </c>
      <c r="AW4" t="s">
        <v>198</v>
      </c>
      <c r="AX4" t="s">
        <v>195</v>
      </c>
      <c r="AY4" t="s">
        <v>196</v>
      </c>
      <c r="AZ4" t="s">
        <v>197</v>
      </c>
      <c r="BA4" t="s">
        <v>198</v>
      </c>
      <c r="BB4" t="s">
        <v>195</v>
      </c>
      <c r="BC4" t="s">
        <v>196</v>
      </c>
      <c r="BD4" t="s">
        <v>197</v>
      </c>
      <c r="BE4" t="s">
        <v>198</v>
      </c>
      <c r="BF4" t="s">
        <v>195</v>
      </c>
      <c r="BG4" t="s">
        <v>196</v>
      </c>
      <c r="BH4" t="s">
        <v>197</v>
      </c>
      <c r="BI4" t="s">
        <v>198</v>
      </c>
      <c r="BJ4" t="s">
        <v>195</v>
      </c>
      <c r="BK4" t="s">
        <v>196</v>
      </c>
      <c r="BL4" t="s">
        <v>197</v>
      </c>
      <c r="BM4" t="s">
        <v>198</v>
      </c>
      <c r="BN4" t="s">
        <v>195</v>
      </c>
      <c r="BO4" t="s">
        <v>196</v>
      </c>
      <c r="BP4" t="s">
        <v>197</v>
      </c>
      <c r="BQ4" t="s">
        <v>198</v>
      </c>
      <c r="BR4" t="s">
        <v>195</v>
      </c>
      <c r="BS4" t="s">
        <v>196</v>
      </c>
      <c r="BT4" t="s">
        <v>197</v>
      </c>
      <c r="BU4" t="s">
        <v>198</v>
      </c>
      <c r="BV4" t="s">
        <v>195</v>
      </c>
      <c r="BW4" t="s">
        <v>196</v>
      </c>
      <c r="BX4" t="s">
        <v>197</v>
      </c>
      <c r="BY4" t="s">
        <v>198</v>
      </c>
      <c r="BZ4" t="s">
        <v>195</v>
      </c>
      <c r="CA4" t="s">
        <v>196</v>
      </c>
    </row>
    <row r="5" spans="1:79" x14ac:dyDescent="0.2">
      <c r="A5" t="s">
        <v>34</v>
      </c>
      <c r="B5" s="9">
        <v>46112</v>
      </c>
      <c r="C5" s="9">
        <v>46022</v>
      </c>
      <c r="D5" s="9">
        <v>45930</v>
      </c>
      <c r="E5" s="9">
        <v>45838</v>
      </c>
      <c r="F5" s="9">
        <v>45747</v>
      </c>
      <c r="G5" s="9">
        <v>45657</v>
      </c>
      <c r="H5" s="9">
        <v>45565</v>
      </c>
      <c r="I5" s="9">
        <v>45473</v>
      </c>
      <c r="J5" s="9">
        <v>45382</v>
      </c>
      <c r="K5" s="9">
        <v>45291</v>
      </c>
      <c r="L5" s="9">
        <v>45199</v>
      </c>
      <c r="M5" s="9">
        <v>45107</v>
      </c>
      <c r="N5" s="9">
        <v>45016</v>
      </c>
      <c r="O5" s="9">
        <v>44926</v>
      </c>
      <c r="P5" s="9">
        <v>44834</v>
      </c>
      <c r="Q5" s="9">
        <v>44742</v>
      </c>
      <c r="R5" s="9">
        <v>44651</v>
      </c>
      <c r="S5" s="9">
        <v>44561</v>
      </c>
      <c r="T5" s="9">
        <v>44469</v>
      </c>
      <c r="U5" s="9">
        <v>44377</v>
      </c>
      <c r="V5" s="9">
        <v>44286</v>
      </c>
      <c r="W5" s="9">
        <v>44196</v>
      </c>
      <c r="X5" s="9">
        <v>44104</v>
      </c>
      <c r="Y5" s="9">
        <v>44012</v>
      </c>
      <c r="Z5" s="9">
        <v>43921</v>
      </c>
      <c r="AA5" s="9">
        <v>43830</v>
      </c>
      <c r="AB5" s="9">
        <v>43738</v>
      </c>
      <c r="AC5" s="9">
        <v>43646</v>
      </c>
      <c r="AD5" s="9">
        <v>43555</v>
      </c>
      <c r="AE5" s="9">
        <v>43465</v>
      </c>
      <c r="AF5" s="9">
        <v>43373</v>
      </c>
      <c r="AG5" s="9">
        <v>43281</v>
      </c>
      <c r="AH5" s="9">
        <v>43190</v>
      </c>
      <c r="AI5" s="9">
        <v>43100</v>
      </c>
      <c r="AJ5" s="9">
        <v>43008</v>
      </c>
      <c r="AK5" s="9">
        <v>42916</v>
      </c>
      <c r="AL5" s="9">
        <v>42825</v>
      </c>
      <c r="AM5" s="9">
        <v>42735</v>
      </c>
      <c r="AN5" s="9">
        <v>42643</v>
      </c>
      <c r="AO5" s="9">
        <v>42551</v>
      </c>
      <c r="AP5" s="9">
        <v>42460</v>
      </c>
      <c r="AQ5" s="9">
        <v>42369</v>
      </c>
      <c r="AR5" s="9">
        <v>42277</v>
      </c>
      <c r="AS5" s="9">
        <v>42185</v>
      </c>
      <c r="AT5" s="9">
        <v>42094</v>
      </c>
      <c r="AU5" s="9">
        <v>42004</v>
      </c>
      <c r="AV5" s="9">
        <v>41912</v>
      </c>
      <c r="AW5" s="9">
        <v>41820</v>
      </c>
      <c r="AX5" s="9">
        <v>41729</v>
      </c>
      <c r="AY5" s="9">
        <v>41639</v>
      </c>
      <c r="AZ5" s="9">
        <v>41547</v>
      </c>
      <c r="BA5" s="9">
        <v>41455</v>
      </c>
      <c r="BB5" s="9">
        <v>41364</v>
      </c>
      <c r="BC5" s="9">
        <v>41274</v>
      </c>
      <c r="BD5" s="9">
        <v>41182</v>
      </c>
      <c r="BE5" s="9">
        <v>41090</v>
      </c>
      <c r="BF5" s="9">
        <v>40999</v>
      </c>
      <c r="BG5" s="9">
        <v>40908</v>
      </c>
      <c r="BH5" s="9">
        <v>40816</v>
      </c>
      <c r="BI5" s="9">
        <v>40724</v>
      </c>
      <c r="BJ5" s="9">
        <v>40633</v>
      </c>
      <c r="BK5" s="9">
        <v>40543</v>
      </c>
      <c r="BL5" s="9">
        <v>40451</v>
      </c>
      <c r="BM5" s="9">
        <v>40359</v>
      </c>
      <c r="BN5" s="9">
        <v>40268</v>
      </c>
      <c r="BO5" s="9">
        <v>40178</v>
      </c>
      <c r="BP5" s="9">
        <v>40086</v>
      </c>
      <c r="BQ5" s="9">
        <v>39994</v>
      </c>
      <c r="BR5" s="9">
        <v>39903</v>
      </c>
      <c r="BS5" s="9">
        <v>39813</v>
      </c>
      <c r="BT5" s="9">
        <v>39721</v>
      </c>
      <c r="BU5" s="9">
        <v>39629</v>
      </c>
      <c r="BV5" s="9">
        <v>39538</v>
      </c>
      <c r="BW5" s="9">
        <v>39447</v>
      </c>
      <c r="BX5" s="9">
        <v>39355</v>
      </c>
      <c r="BY5" s="9">
        <v>39263</v>
      </c>
      <c r="BZ5" s="9">
        <v>39172</v>
      </c>
      <c r="CA5" s="9">
        <v>39082</v>
      </c>
    </row>
    <row r="6" spans="1:79" x14ac:dyDescent="0.2">
      <c r="A6" s="2" t="s">
        <v>159</v>
      </c>
      <c r="B6" s="2">
        <v>43.735313702382925</v>
      </c>
      <c r="C6" s="2">
        <v>40.335460363833107</v>
      </c>
      <c r="D6" s="2">
        <v>38.169563089643283</v>
      </c>
      <c r="E6" s="2">
        <v>36.013421265764201</v>
      </c>
      <c r="F6" s="2">
        <v>32.370148112055062</v>
      </c>
      <c r="G6" s="2">
        <v>33.488988607564039</v>
      </c>
      <c r="H6" s="2">
        <v>29.302307164949127</v>
      </c>
      <c r="I6" s="2">
        <v>25.97316636458293</v>
      </c>
      <c r="J6" s="2">
        <v>22.855541881989971</v>
      </c>
      <c r="K6" s="2">
        <v>24.121829683406311</v>
      </c>
      <c r="L6" s="2">
        <v>21.085555561597634</v>
      </c>
      <c r="M6" s="2">
        <v>18.544343558020998</v>
      </c>
      <c r="N6" s="2">
        <v>19.616307870141828</v>
      </c>
      <c r="O6" s="2">
        <v>24.124797562574724</v>
      </c>
      <c r="P6" s="2">
        <v>23.646994042537635</v>
      </c>
      <c r="Q6" s="2">
        <v>20.600136997221604</v>
      </c>
      <c r="R6" s="2">
        <v>18.938674553913682</v>
      </c>
      <c r="S6" s="2">
        <v>16.901790161856582</v>
      </c>
      <c r="T6" s="2">
        <v>15.991681533398276</v>
      </c>
      <c r="U6" s="2">
        <v>14.351703368789813</v>
      </c>
      <c r="V6" s="2">
        <v>13.976279175237694</v>
      </c>
      <c r="W6" s="2">
        <v>13.944285698859794</v>
      </c>
      <c r="X6" s="2">
        <v>13.746001022738579</v>
      </c>
      <c r="Y6" s="2">
        <v>11.979359076110724</v>
      </c>
      <c r="Z6" s="2">
        <v>11.977823309955349</v>
      </c>
      <c r="AA6" s="2">
        <v>12.234182453168831</v>
      </c>
      <c r="AB6" s="2">
        <v>11.300478897725371</v>
      </c>
      <c r="AC6" s="2">
        <v>9.2962503827556713</v>
      </c>
      <c r="AD6" s="2">
        <v>8.4345042764510207</v>
      </c>
      <c r="AE6" s="2">
        <v>11.174961570173673</v>
      </c>
      <c r="AF6" s="2">
        <v>10.039717080891217</v>
      </c>
      <c r="AG6" s="2">
        <v>8.9940695431382025</v>
      </c>
      <c r="AH6" s="2">
        <v>9.5625870504018842</v>
      </c>
      <c r="AI6" s="2">
        <v>10.70569713980281</v>
      </c>
      <c r="AJ6" s="2">
        <v>9.7226038338042091</v>
      </c>
      <c r="AK6" s="2">
        <v>8.245564584861464</v>
      </c>
      <c r="AL6" s="2">
        <v>9.0210158894701884</v>
      </c>
      <c r="AM6" s="2">
        <v>10.1127052129587</v>
      </c>
      <c r="AN6" s="2">
        <v>10.042953554864988</v>
      </c>
      <c r="AO6" s="2">
        <v>8.5537827444102241</v>
      </c>
      <c r="AP6" s="2">
        <v>7.8464901787015844</v>
      </c>
      <c r="AQ6" s="2">
        <v>7.8492224589162642</v>
      </c>
      <c r="AR6" s="2">
        <v>8.1959531638178849</v>
      </c>
      <c r="AS6" s="2">
        <v>7.922784109369803</v>
      </c>
      <c r="AT6" s="2">
        <v>8.5620710689247304</v>
      </c>
      <c r="AU6" s="2">
        <v>8.5823077696174899</v>
      </c>
      <c r="AV6" s="2">
        <v>8.0621506688842288</v>
      </c>
      <c r="AW6" s="2">
        <v>7.0582668012067264</v>
      </c>
      <c r="AX6" s="2">
        <v>5.7170372166167969</v>
      </c>
      <c r="AY6" s="2">
        <v>5.6242680732834414</v>
      </c>
      <c r="AZ6" s="2">
        <v>6.268329859525811</v>
      </c>
      <c r="BA6" s="2">
        <v>6.0123383334942258</v>
      </c>
      <c r="BB6" s="2">
        <v>5.1206818311645987</v>
      </c>
      <c r="BC6" s="2">
        <v>5.064148210520079</v>
      </c>
      <c r="BD6" s="2">
        <v>5.4591958677433761</v>
      </c>
      <c r="BE6" s="2">
        <v>4.9370710354576417</v>
      </c>
      <c r="BF6" s="2">
        <v>4.0778726586511755</v>
      </c>
      <c r="BG6" s="2">
        <v>4.0404261313178056</v>
      </c>
      <c r="BH6" s="2">
        <v>4.1092278090034959</v>
      </c>
      <c r="BI6" s="2">
        <v>4.2645438975697836</v>
      </c>
      <c r="BJ6" s="2">
        <v>4.0666655320793748</v>
      </c>
      <c r="BK6" s="2">
        <v>4.2510895660142554</v>
      </c>
      <c r="BL6" s="2">
        <v>4.3330716878864424</v>
      </c>
      <c r="BM6" s="2">
        <v>4.0518718870090051</v>
      </c>
      <c r="BN6" s="2">
        <v>3.5588553886516725</v>
      </c>
      <c r="BO6" s="2">
        <v>3.5599425480844173</v>
      </c>
      <c r="BP6" s="2">
        <v>3.4650980219004905</v>
      </c>
      <c r="BQ6" s="2">
        <v>2.8462375142480627</v>
      </c>
      <c r="BR6" s="2">
        <v>1.5337519284927525</v>
      </c>
      <c r="BS6" s="2">
        <v>2.5551450673928482</v>
      </c>
      <c r="BT6" s="2">
        <v>3.5482497433020153</v>
      </c>
      <c r="BU6" s="2">
        <v>3.2992530252562919</v>
      </c>
      <c r="BV6" s="2">
        <v>3.3330337107077255</v>
      </c>
      <c r="BW6" s="2">
        <v>3.6295896315262106</v>
      </c>
      <c r="BX6" s="2">
        <v>3.2991401984497704</v>
      </c>
      <c r="BY6" s="2">
        <v>2.7379628384309673</v>
      </c>
      <c r="BZ6" s="2">
        <v>2.5039779183480739</v>
      </c>
      <c r="CA6" s="2">
        <v>0.42902148798863993</v>
      </c>
    </row>
    <row r="7" spans="1:79" x14ac:dyDescent="0.2">
      <c r="A7" s="2" t="s">
        <v>158</v>
      </c>
      <c r="B7" s="2">
        <v>22.077000403261586</v>
      </c>
      <c r="C7" s="2">
        <v>19.500632896066698</v>
      </c>
      <c r="D7" s="2">
        <v>17.439999802581465</v>
      </c>
      <c r="E7" s="2">
        <v>15.360137298006094</v>
      </c>
      <c r="F7" s="2">
        <v>13.945580688761728</v>
      </c>
      <c r="G7" s="2">
        <v>14.448149371684041</v>
      </c>
      <c r="H7" s="2">
        <v>12.54560461232419</v>
      </c>
      <c r="I7" s="2">
        <v>9.557885465273225</v>
      </c>
      <c r="J7" s="2">
        <v>8.6959073274199774</v>
      </c>
      <c r="K7" s="2">
        <v>9.205280981993301</v>
      </c>
      <c r="L7" s="2">
        <v>8.1375227460151489</v>
      </c>
      <c r="M7" s="2">
        <v>7.0113441305014854</v>
      </c>
      <c r="N7" s="2">
        <v>7.9827937257183903</v>
      </c>
      <c r="O7" s="2">
        <v>11.41209367889236</v>
      </c>
      <c r="P7" s="2">
        <v>10.832112916996044</v>
      </c>
      <c r="Q7" s="2">
        <v>9.141400786370685</v>
      </c>
      <c r="R7" s="2">
        <v>7.8185348659385649</v>
      </c>
      <c r="S7" s="2">
        <v>6.2495543256114603</v>
      </c>
      <c r="T7" s="2">
        <v>6.0260700768750786</v>
      </c>
      <c r="U7" s="2">
        <v>5.1815261480934716</v>
      </c>
      <c r="V7" s="2">
        <v>5.3871363628300086</v>
      </c>
      <c r="W7" s="2">
        <v>5.2303532381708253</v>
      </c>
      <c r="X7" s="2">
        <v>5.2953346615051533</v>
      </c>
      <c r="Y7" s="2">
        <v>4.6594840877765771</v>
      </c>
      <c r="Z7" s="2">
        <v>4.5115698265895059</v>
      </c>
      <c r="AA7" s="2">
        <v>4.4748669321467718</v>
      </c>
      <c r="AB7" s="2">
        <v>3.897740256795311</v>
      </c>
      <c r="AC7" s="2">
        <v>2.5747732968047519</v>
      </c>
      <c r="AD7" s="2">
        <v>2.3676417777140175</v>
      </c>
      <c r="AE7" s="2">
        <v>3.8558632769747301</v>
      </c>
      <c r="AF7" s="2">
        <v>3.4350297990233849</v>
      </c>
      <c r="AG7" s="2">
        <v>2.7878704052929422</v>
      </c>
      <c r="AH7" s="2">
        <v>3.4625262722721377</v>
      </c>
      <c r="AI7" s="2">
        <v>3.9017147454067391</v>
      </c>
      <c r="AJ7" s="2">
        <v>3.4679567750260505</v>
      </c>
      <c r="AK7" s="2">
        <v>2.555728801506187</v>
      </c>
      <c r="AL7" s="2">
        <v>3.3793912005917384</v>
      </c>
      <c r="AM7" s="2">
        <v>3.7665020720868725</v>
      </c>
      <c r="AN7" s="2">
        <v>3.7314939464828516</v>
      </c>
      <c r="AO7" s="2">
        <v>2.7961919956437198</v>
      </c>
      <c r="AP7" s="2">
        <v>2.4982855245468829</v>
      </c>
      <c r="AQ7" s="2">
        <v>2.6653822121998121</v>
      </c>
      <c r="AR7" s="2">
        <v>2.9050566941170937</v>
      </c>
      <c r="AS7" s="2">
        <v>3.0627213837054033</v>
      </c>
      <c r="AT7" s="2">
        <v>3.0462737173539955</v>
      </c>
      <c r="AU7" s="2">
        <v>2.7147746197190075</v>
      </c>
      <c r="AV7" s="2">
        <v>2.9438139176127462</v>
      </c>
      <c r="AW7" s="2">
        <v>2.3023467094866477</v>
      </c>
      <c r="AX7" s="2">
        <v>1.8460825178195344</v>
      </c>
      <c r="AY7" s="2">
        <v>1.5674392699594455</v>
      </c>
      <c r="AZ7" s="2">
        <v>2.0036754788836699</v>
      </c>
      <c r="BA7" s="2">
        <v>1.9981150711043558</v>
      </c>
      <c r="BB7" s="2">
        <v>1.5265352870978801</v>
      </c>
      <c r="BC7" s="2">
        <v>1.6035457928225458</v>
      </c>
      <c r="BD7" s="2">
        <v>1.9049804653178908</v>
      </c>
      <c r="BE7" s="2">
        <v>1.6142825678763419</v>
      </c>
      <c r="BF7" s="2">
        <v>1.2922328671361589</v>
      </c>
      <c r="BG7" s="2">
        <v>1.2185074229252888</v>
      </c>
      <c r="BH7" s="2">
        <v>1.172931836407811</v>
      </c>
      <c r="BI7" s="2">
        <v>1.3873318522143714</v>
      </c>
      <c r="BJ7" s="2">
        <v>1.4000102112856241</v>
      </c>
      <c r="BK7" s="2">
        <v>1.5716613682206482</v>
      </c>
      <c r="BL7" s="2">
        <v>1.8120117321800371</v>
      </c>
      <c r="BM7" s="2">
        <v>1.5550072412679137</v>
      </c>
      <c r="BN7" s="2">
        <v>1.2995603869984189</v>
      </c>
      <c r="BO7" s="2">
        <v>1.2627164973172118</v>
      </c>
      <c r="BP7" s="2">
        <v>1.1770783402705962</v>
      </c>
      <c r="BQ7" s="2">
        <v>0.93741897972364507</v>
      </c>
      <c r="BR7" s="2">
        <v>6.052954033678988E-2</v>
      </c>
      <c r="BS7" s="2">
        <v>0.49997182864507433</v>
      </c>
      <c r="BT7" s="2">
        <v>1.1667473050346475</v>
      </c>
      <c r="BU7" s="2">
        <v>1.1089686894710895</v>
      </c>
      <c r="BV7" s="2">
        <v>1.0722779766435324</v>
      </c>
      <c r="BW7" s="2">
        <v>1.3291156660222891</v>
      </c>
      <c r="BX7" s="2">
        <v>1.1265952825817365</v>
      </c>
      <c r="BY7" s="2">
        <v>0.95775171908873746</v>
      </c>
      <c r="BZ7" s="2">
        <v>0.72720696767027193</v>
      </c>
      <c r="CA7" s="2">
        <v>1.0596553950727654</v>
      </c>
    </row>
    <row r="8" spans="1:79" x14ac:dyDescent="0.2">
      <c r="A8" s="2" t="s">
        <v>157</v>
      </c>
      <c r="B8" s="2">
        <v>27.920803388708499</v>
      </c>
      <c r="C8" s="2">
        <v>28.8138478924106</v>
      </c>
      <c r="D8" s="2">
        <v>16.457804024160943</v>
      </c>
      <c r="E8" s="2">
        <v>20.005440009256045</v>
      </c>
      <c r="F8" s="2">
        <v>24.128466969048887</v>
      </c>
      <c r="G8" s="2">
        <v>23.915925675863011</v>
      </c>
      <c r="H8" s="2">
        <v>15.119655745051169</v>
      </c>
      <c r="I8" s="2">
        <v>14.564351933978635</v>
      </c>
      <c r="J8" s="2">
        <v>16.826498573081373</v>
      </c>
      <c r="K8" s="2">
        <v>15.225509755854054</v>
      </c>
      <c r="L8" s="2">
        <v>11.36342481258726</v>
      </c>
      <c r="M8" s="2">
        <v>6.450161994546086</v>
      </c>
      <c r="N8" s="2">
        <v>14.85762804306885</v>
      </c>
      <c r="O8" s="2">
        <v>18.777504570172393</v>
      </c>
      <c r="P8" s="2">
        <v>15.916474928278163</v>
      </c>
      <c r="Q8" s="2">
        <v>13.06836054142172</v>
      </c>
      <c r="R8" s="2">
        <v>14.352976774861009</v>
      </c>
      <c r="S8" s="2">
        <v>14.585347009364856</v>
      </c>
      <c r="T8" s="2">
        <v>12.29084213189317</v>
      </c>
      <c r="U8" s="2">
        <v>7.2285671093134773</v>
      </c>
      <c r="V8" s="2">
        <v>8.785667853691308</v>
      </c>
      <c r="W8" s="2">
        <v>9.993319496281968</v>
      </c>
      <c r="X8" s="2">
        <v>7.3339159703791461</v>
      </c>
      <c r="Y8" s="2">
        <v>6.5689341228319833</v>
      </c>
      <c r="Z8" s="2">
        <v>7.8297904619986287</v>
      </c>
      <c r="AA8" s="2">
        <v>7.8268962506527089</v>
      </c>
      <c r="AB8" s="2">
        <v>5.4666765392562704</v>
      </c>
      <c r="AC8" s="2">
        <v>4.5414308621778776</v>
      </c>
      <c r="AD8" s="2">
        <v>5.8876992161318116</v>
      </c>
      <c r="AE8" s="2">
        <v>7.3030938998965693</v>
      </c>
      <c r="AF8" s="2">
        <v>3.6282723970878945</v>
      </c>
      <c r="AG8" s="2">
        <v>5.0046840809891719</v>
      </c>
      <c r="AH8" s="2">
        <v>6.1983633868844192</v>
      </c>
      <c r="AI8" s="2">
        <v>7.8720921945609748</v>
      </c>
      <c r="AJ8" s="2">
        <v>4.5037301420187443</v>
      </c>
      <c r="AK8" s="2">
        <v>3.9876152991201828</v>
      </c>
      <c r="AL8" s="2">
        <v>6.209243520534601</v>
      </c>
      <c r="AM8" s="2">
        <v>7.1429650086115206</v>
      </c>
      <c r="AN8" s="2">
        <v>4.8749597576279253</v>
      </c>
      <c r="AO8" s="2">
        <v>4.1139540184139225</v>
      </c>
      <c r="AP8" s="2">
        <v>4.6867362915622524</v>
      </c>
      <c r="AQ8" s="2">
        <v>5.5792628047135837</v>
      </c>
      <c r="AR8" s="2">
        <v>4.5560242078982256</v>
      </c>
      <c r="AS8" s="2">
        <v>4.2832836779259846</v>
      </c>
      <c r="AT8" s="2">
        <v>6.0162203941988297</v>
      </c>
      <c r="AU8" s="2">
        <v>5.9263763070851496</v>
      </c>
      <c r="AV8" s="2">
        <v>3.5189849350398918</v>
      </c>
      <c r="AW8" s="2">
        <v>3.1527567162558165</v>
      </c>
      <c r="AX8" s="2">
        <v>3.6585096646021449</v>
      </c>
      <c r="AY8" s="2">
        <v>3.963738982941158</v>
      </c>
      <c r="AZ8" s="2">
        <v>3.6948826460887054</v>
      </c>
      <c r="BA8" s="2">
        <v>2.9017968359590425</v>
      </c>
      <c r="BB8" s="2">
        <v>2.8376848230319363</v>
      </c>
      <c r="BC8" s="2">
        <v>3.2947670481684037</v>
      </c>
      <c r="BD8" s="2">
        <v>2.9086414267352687</v>
      </c>
      <c r="BE8" s="2">
        <v>2.6491217850071429</v>
      </c>
      <c r="BF8" s="2">
        <v>2.1646114774466785</v>
      </c>
      <c r="BG8" s="2">
        <v>2.8105030737740107</v>
      </c>
      <c r="BH8" s="2">
        <v>2.130526724683484</v>
      </c>
      <c r="BI8" s="2">
        <v>2.4336297153456887</v>
      </c>
      <c r="BJ8" s="2">
        <v>2.1795683906450423</v>
      </c>
      <c r="BK8" s="2">
        <v>2.7235120122918648</v>
      </c>
      <c r="BL8" s="2">
        <v>2.4687433608682241</v>
      </c>
      <c r="BM8" s="2">
        <v>1.8886829906223201</v>
      </c>
      <c r="BN8" s="2">
        <v>1.7771471500048353</v>
      </c>
      <c r="BO8" s="2">
        <v>2.3966074355092815</v>
      </c>
      <c r="BP8" s="2">
        <v>1.797552441342072</v>
      </c>
      <c r="BQ8" s="2">
        <v>0.94054665003689542</v>
      </c>
      <c r="BR8" s="2">
        <v>1.04016522377311</v>
      </c>
      <c r="BS8" s="2">
        <v>2.4814315879138125</v>
      </c>
      <c r="BT8" s="2">
        <v>2.3507193895018674</v>
      </c>
      <c r="BU8" s="2">
        <v>1.5092443452380608</v>
      </c>
      <c r="BV8" s="2">
        <v>2.182985412561572</v>
      </c>
      <c r="BW8" s="2">
        <v>2.3006662399359898</v>
      </c>
      <c r="BX8" s="2">
        <v>1.8562271455113373</v>
      </c>
      <c r="BY8" s="2">
        <v>1.2987781083733292</v>
      </c>
      <c r="BZ8" s="2">
        <v>1.4721816448473219</v>
      </c>
      <c r="CA8" s="2">
        <v>2.2317470912122821</v>
      </c>
    </row>
    <row r="9" spans="1:79" x14ac:dyDescent="0.2">
      <c r="A9" s="2" t="s">
        <v>156</v>
      </c>
      <c r="B9" s="2">
        <v>14.394051550304983</v>
      </c>
      <c r="C9" s="2">
        <v>12.279873434667651</v>
      </c>
      <c r="D9" s="2">
        <v>5.3741412872027903</v>
      </c>
      <c r="E9" s="2">
        <v>7.1867610397624277</v>
      </c>
      <c r="F9" s="2">
        <v>11.279843215447929</v>
      </c>
      <c r="G9" s="2">
        <v>9.8407287423195999</v>
      </c>
      <c r="H9" s="2">
        <v>7.100536958664458</v>
      </c>
      <c r="I9" s="2">
        <v>6.5156973120974895</v>
      </c>
      <c r="J9" s="2">
        <v>9.755160547628229</v>
      </c>
      <c r="K9" s="2">
        <v>8.6637507663772784</v>
      </c>
      <c r="L9" s="2">
        <v>2.5777120502480844</v>
      </c>
      <c r="M9" s="2">
        <v>-3.2871853921984995</v>
      </c>
      <c r="N9" s="2">
        <v>3.1794318411816103</v>
      </c>
      <c r="O9" s="2">
        <v>5.7292745188784755</v>
      </c>
      <c r="P9" s="2">
        <v>5.5945997979944693</v>
      </c>
      <c r="Q9" s="2">
        <v>4.5471930205696767</v>
      </c>
      <c r="R9" s="2">
        <v>4.2210894025331713</v>
      </c>
      <c r="S9" s="2">
        <v>5.3713713747685095</v>
      </c>
      <c r="T9" s="2">
        <v>4.9560545583982956</v>
      </c>
      <c r="U9" s="2">
        <v>0.65272919255329076</v>
      </c>
      <c r="V9" s="2">
        <v>-0.84818321212415704</v>
      </c>
      <c r="W9" s="2">
        <v>6.4450278784961883</v>
      </c>
      <c r="X9" s="2">
        <v>3.4110945539556305</v>
      </c>
      <c r="Y9" s="2">
        <v>1.3881388548875875</v>
      </c>
      <c r="Z9" s="2">
        <v>0.37113733003527138</v>
      </c>
      <c r="AA9" s="2">
        <v>1.014148693540164</v>
      </c>
      <c r="AB9" s="2">
        <v>1.6827751849375134</v>
      </c>
      <c r="AC9" s="2">
        <v>3.1900997979975615E-2</v>
      </c>
      <c r="AD9" s="2">
        <v>2.87798073148176</v>
      </c>
      <c r="AE9" s="2">
        <v>2.9026570378066192</v>
      </c>
      <c r="AF9" s="2">
        <v>0.8709665265221721</v>
      </c>
      <c r="AG9" s="2">
        <v>2.6580236001169286</v>
      </c>
      <c r="AH9" s="2">
        <v>3.4190083215132212</v>
      </c>
      <c r="AI9" s="2">
        <v>5.4501034308020166</v>
      </c>
      <c r="AJ9" s="2">
        <v>2.0579262239890044</v>
      </c>
      <c r="AK9" s="2">
        <v>-0.10956935455631579</v>
      </c>
      <c r="AL9" s="2">
        <v>2.2207469770979058</v>
      </c>
      <c r="AM9" s="2">
        <v>2.7544278178723181</v>
      </c>
      <c r="AN9" s="2">
        <v>0.82637901951301906</v>
      </c>
      <c r="AO9" s="2">
        <v>1.2150012070783383</v>
      </c>
      <c r="AP9" s="2">
        <v>3.177114064660834</v>
      </c>
      <c r="AQ9" s="2">
        <v>2.2569046353201623</v>
      </c>
      <c r="AR9" s="2">
        <v>1.8036019140483093</v>
      </c>
      <c r="AS9" s="2">
        <v>2.1910488760768017</v>
      </c>
      <c r="AT9" s="2">
        <v>4.086909450211957</v>
      </c>
      <c r="AU9" s="2">
        <v>3.8432161153632589</v>
      </c>
      <c r="AV9" s="2">
        <v>1.6313024899366066</v>
      </c>
      <c r="AW9" s="2">
        <v>0.3237607237642256</v>
      </c>
      <c r="AX9" s="2">
        <v>-0.81849259172640454</v>
      </c>
      <c r="AY9" s="2">
        <v>1.0830330534809574</v>
      </c>
      <c r="AZ9" s="2">
        <v>1.5598817771547269</v>
      </c>
      <c r="BA9" s="2">
        <v>-0.14220867323382841</v>
      </c>
      <c r="BB9" s="2">
        <v>-0.30088804078107229</v>
      </c>
      <c r="BC9" s="2">
        <v>0.98928807095936933</v>
      </c>
      <c r="BD9" s="2">
        <v>-0.12492459396281819</v>
      </c>
      <c r="BE9" s="2">
        <v>0.33937598065916652</v>
      </c>
      <c r="BF9" s="2">
        <v>0.27500684282824145</v>
      </c>
      <c r="BG9" s="2">
        <v>1.6617293170387046</v>
      </c>
      <c r="BH9" s="2">
        <v>0.66223834710921126</v>
      </c>
      <c r="BI9" s="2">
        <v>-6.2860522038671193E-2</v>
      </c>
      <c r="BJ9" s="2">
        <v>-0.95646152479424418</v>
      </c>
      <c r="BK9" s="2">
        <v>1.0051239003458583</v>
      </c>
      <c r="BL9" s="2">
        <v>0.81793327556635254</v>
      </c>
      <c r="BM9" s="2">
        <v>-0.17746193313528266</v>
      </c>
      <c r="BN9" s="2">
        <v>-1.8705760020908398E-2</v>
      </c>
      <c r="BO9" s="2">
        <v>0.74546189454133549</v>
      </c>
      <c r="BP9" s="2">
        <v>0.56315964535369833</v>
      </c>
      <c r="BQ9" s="2">
        <v>0.64571944471291398</v>
      </c>
      <c r="BR9" s="2">
        <v>0.82206328892598524</v>
      </c>
      <c r="BS9" s="2">
        <v>2.0356173709756398</v>
      </c>
      <c r="BT9" s="2">
        <v>1.8991938328816154</v>
      </c>
      <c r="BU9" s="2">
        <v>0.73215534629739687</v>
      </c>
      <c r="BV9" s="2">
        <v>1.5769981950632448</v>
      </c>
      <c r="BW9" s="2">
        <v>1.5278501859087761</v>
      </c>
      <c r="BX9" s="2">
        <v>0.95419770157257278</v>
      </c>
      <c r="BY9" s="2">
        <v>0.34821874625364335</v>
      </c>
      <c r="BZ9" s="2">
        <v>0.93407387121347318</v>
      </c>
      <c r="CA9" s="2">
        <v>1.5183929973456889</v>
      </c>
    </row>
    <row r="10" spans="1:79" x14ac:dyDescent="0.2">
      <c r="A10" s="2" t="s">
        <v>155</v>
      </c>
      <c r="B10" s="2">
        <v>130.48448966160618</v>
      </c>
      <c r="C10" s="2">
        <v>118.31979242674731</v>
      </c>
      <c r="D10" s="2">
        <v>108.15813995956313</v>
      </c>
      <c r="E10" s="2">
        <v>103.49925581395348</v>
      </c>
      <c r="F10" s="2">
        <v>106.55266843881053</v>
      </c>
      <c r="G10" s="2">
        <v>95.830508878489596</v>
      </c>
      <c r="H10" s="2">
        <v>83.56961041992642</v>
      </c>
      <c r="I10" s="2">
        <v>80.37710435386218</v>
      </c>
      <c r="J10" s="2">
        <v>75.409459660624762</v>
      </c>
      <c r="K10" s="2">
        <v>66.12673550060849</v>
      </c>
      <c r="L10" s="2">
        <v>60.860774660540926</v>
      </c>
      <c r="M10" s="2">
        <v>58.414690842795871</v>
      </c>
      <c r="N10" s="2">
        <v>62.259464852755329</v>
      </c>
      <c r="O10" s="2">
        <v>61.186320336302984</v>
      </c>
      <c r="P10" s="2">
        <v>58.580588648390624</v>
      </c>
      <c r="Q10" s="2">
        <v>55.931244148201202</v>
      </c>
      <c r="R10" s="2">
        <v>50.029499003674964</v>
      </c>
      <c r="S10" s="2">
        <v>46.467787389285704</v>
      </c>
      <c r="T10" s="2">
        <v>38.171041535064276</v>
      </c>
      <c r="U10" s="2">
        <v>34.063712139968636</v>
      </c>
      <c r="V10" s="2">
        <v>31.306480969426595</v>
      </c>
      <c r="W10" s="2">
        <v>30.847723789624371</v>
      </c>
      <c r="X10" s="2">
        <v>29.003339981905395</v>
      </c>
      <c r="Y10" s="2">
        <v>23.734798024556525</v>
      </c>
      <c r="Z10" s="2">
        <v>22.068710331279373</v>
      </c>
      <c r="AA10" s="2">
        <v>22.919124208746652</v>
      </c>
      <c r="AB10" s="2">
        <v>23.23916915216823</v>
      </c>
      <c r="AC10" s="2">
        <v>30.063145275927312</v>
      </c>
      <c r="AD10" s="2">
        <v>29.724557912379225</v>
      </c>
      <c r="AE10" s="2">
        <v>27.525859628744353</v>
      </c>
      <c r="AF10" s="2">
        <v>23.874468711989564</v>
      </c>
      <c r="AG10" s="2">
        <v>29.397296298781583</v>
      </c>
      <c r="AH10" s="2">
        <v>26.841732708892042</v>
      </c>
      <c r="AI10" s="2">
        <v>25.320770463063017</v>
      </c>
      <c r="AJ10" s="2">
        <v>19.548006045418539</v>
      </c>
      <c r="AK10" s="2">
        <v>25.50581117592569</v>
      </c>
      <c r="AL10" s="2">
        <v>25.571739558001077</v>
      </c>
      <c r="AM10" s="2">
        <v>24.535093585207775</v>
      </c>
      <c r="AN10" s="2">
        <v>20.162526696484971</v>
      </c>
      <c r="AO10" s="2">
        <v>26.04220235106466</v>
      </c>
      <c r="AP10" s="2">
        <v>25.277499172784971</v>
      </c>
      <c r="AQ10" s="2">
        <v>22.771253158559393</v>
      </c>
      <c r="AR10" s="2">
        <v>20.377777649228435</v>
      </c>
      <c r="AS10" s="2">
        <v>21.548438848261931</v>
      </c>
      <c r="AT10" s="2">
        <v>20.166637839066091</v>
      </c>
      <c r="AU10" s="2">
        <v>16.984461258662961</v>
      </c>
      <c r="AV10" s="2">
        <v>11.312831219418131</v>
      </c>
      <c r="AW10" s="2">
        <v>12.16965268054768</v>
      </c>
      <c r="AX10" s="2">
        <v>9.0837920759148272</v>
      </c>
      <c r="AY10" s="2">
        <v>9.481696707379303</v>
      </c>
      <c r="AZ10" s="2">
        <v>8.4343008390593113</v>
      </c>
      <c r="BA10" s="2">
        <v>8.8063821695360733</v>
      </c>
      <c r="BB10" s="2">
        <v>7.3476663091484138</v>
      </c>
      <c r="BC10" s="2">
        <v>5.8399684732007158</v>
      </c>
      <c r="BD10" s="2">
        <v>5.7168789506311271</v>
      </c>
      <c r="BE10" s="2">
        <v>7.1947589152963944</v>
      </c>
      <c r="BF10" s="2">
        <v>6.7510146561921553</v>
      </c>
      <c r="BG10" s="2">
        <v>5.8357814158672943</v>
      </c>
      <c r="BH10" s="2">
        <v>4.6781156820258758</v>
      </c>
      <c r="BI10" s="2">
        <v>5.9806416328979592</v>
      </c>
      <c r="BJ10" s="2">
        <v>5.2520629614133041</v>
      </c>
      <c r="BK10" s="2">
        <v>7.0475359514618168</v>
      </c>
      <c r="BL10" s="2">
        <v>6.4940274329528158</v>
      </c>
      <c r="BM10" s="2">
        <v>8.0300677694970464</v>
      </c>
      <c r="BN10" s="2">
        <v>7.5127923619484882</v>
      </c>
      <c r="BO10" s="2">
        <v>7.6401198339357999</v>
      </c>
      <c r="BP10" s="2">
        <v>6.9474392386044315</v>
      </c>
      <c r="BQ10" s="2">
        <v>9.4642805092637339</v>
      </c>
      <c r="BR10" s="2">
        <v>9.0187408356187788</v>
      </c>
      <c r="BS10" s="2">
        <v>8.2390075575114654</v>
      </c>
      <c r="BT10" s="2">
        <v>6.0349020874531654</v>
      </c>
      <c r="BU10" s="2">
        <v>6.1440403436205919</v>
      </c>
      <c r="BV10" s="2">
        <v>8.0086731301180212</v>
      </c>
      <c r="BW10" s="2">
        <v>6.505666162379323</v>
      </c>
      <c r="BX10" s="2">
        <v>6.5982803968995407</v>
      </c>
      <c r="BY10" s="2">
        <v>8.6873722017494881</v>
      </c>
      <c r="BZ10" s="2">
        <v>8.3368631035284313</v>
      </c>
      <c r="CA10" s="2">
        <v>7.9553594682348594</v>
      </c>
    </row>
    <row r="11" spans="1:79" x14ac:dyDescent="0.2">
      <c r="A11" s="2" t="s">
        <v>154</v>
      </c>
      <c r="B11" s="2">
        <v>228.77542332536439</v>
      </c>
      <c r="C11" s="2">
        <v>210.55901526400027</v>
      </c>
      <c r="D11" s="2">
        <v>194.16335959771038</v>
      </c>
      <c r="E11" s="2">
        <v>178.04897412163987</v>
      </c>
      <c r="F11" s="2">
        <v>177.48532056939254</v>
      </c>
      <c r="G11" s="2">
        <v>165.0142929401232</v>
      </c>
      <c r="H11" s="2">
        <v>155.13073743140964</v>
      </c>
      <c r="I11" s="2">
        <v>147.31974104353861</v>
      </c>
      <c r="J11" s="2">
        <v>141.36969741612032</v>
      </c>
      <c r="K11" s="2">
        <v>133.1889959733644</v>
      </c>
      <c r="L11" s="2">
        <v>130.07764959186852</v>
      </c>
      <c r="M11" s="2">
        <v>123.62355154029031</v>
      </c>
      <c r="N11" s="2">
        <v>119.2829303521975</v>
      </c>
      <c r="O11" s="2">
        <v>112.53162096494273</v>
      </c>
      <c r="P11" s="2">
        <v>106.14820864813377</v>
      </c>
      <c r="Q11" s="2">
        <v>96.820656513733482</v>
      </c>
      <c r="R11" s="2">
        <v>89.529019111646519</v>
      </c>
      <c r="S11" s="2">
        <v>82.980154461889455</v>
      </c>
      <c r="T11" s="2">
        <v>80.150013613375506</v>
      </c>
      <c r="U11" s="2">
        <v>76.436785731639873</v>
      </c>
      <c r="V11" s="2">
        <v>74.854165731470189</v>
      </c>
      <c r="W11" s="2">
        <v>70.795869555324686</v>
      </c>
      <c r="X11" s="2">
        <v>68.964140710625912</v>
      </c>
      <c r="Y11" s="2">
        <v>66.378255235750501</v>
      </c>
      <c r="Z11" s="2">
        <v>64.674275155242611</v>
      </c>
      <c r="AA11" s="2">
        <v>62.25852841339001</v>
      </c>
      <c r="AB11" s="2">
        <v>61.221509326126345</v>
      </c>
      <c r="AC11" s="2">
        <v>59.945960182612055</v>
      </c>
      <c r="AD11" s="2">
        <v>67.238413089202709</v>
      </c>
      <c r="AE11" s="2">
        <v>64.060191173442121</v>
      </c>
      <c r="AF11" s="2">
        <v>60.771573767912386</v>
      </c>
      <c r="AG11" s="2">
        <v>57.486056316953317</v>
      </c>
      <c r="AH11" s="2">
        <v>61.958406664306501</v>
      </c>
      <c r="AI11" s="2">
        <v>57.633035073145862</v>
      </c>
      <c r="AJ11" s="2">
        <v>55.202148560877241</v>
      </c>
      <c r="AK11" s="2">
        <v>51.768066838974207</v>
      </c>
      <c r="AL11" s="2">
        <v>56.162309422384091</v>
      </c>
      <c r="AM11" s="2">
        <v>52.442185575375291</v>
      </c>
      <c r="AN11" s="2">
        <v>49.513067259330562</v>
      </c>
      <c r="AO11" s="2">
        <v>46.174833457897648</v>
      </c>
      <c r="AP11" s="2">
        <v>49.399433251653079</v>
      </c>
      <c r="AQ11" s="2">
        <v>46.083868414498632</v>
      </c>
      <c r="AR11" s="2">
        <v>44.387893428480417</v>
      </c>
      <c r="AS11" s="2">
        <v>41.134289612086214</v>
      </c>
      <c r="AT11" s="2">
        <v>43.344206564355105</v>
      </c>
      <c r="AU11" s="2">
        <v>39.428261292616384</v>
      </c>
      <c r="AV11" s="2">
        <v>36.890910444235544</v>
      </c>
      <c r="AW11" s="2">
        <v>33.821173229016964</v>
      </c>
      <c r="AX11" s="2">
        <v>34.633166155318584</v>
      </c>
      <c r="AY11" s="2">
        <v>32.169968019130287</v>
      </c>
      <c r="AZ11" s="2">
        <v>31.01530291856141</v>
      </c>
      <c r="BA11" s="2">
        <v>28.780764638667581</v>
      </c>
      <c r="BB11" s="2">
        <v>29.647866891969894</v>
      </c>
      <c r="BC11" s="2">
        <v>27.527095079021834</v>
      </c>
      <c r="BD11" s="2">
        <v>26.123118629740222</v>
      </c>
      <c r="BE11" s="2">
        <v>24.307120374011461</v>
      </c>
      <c r="BF11" s="2">
        <v>25.603498442721225</v>
      </c>
      <c r="BG11" s="2">
        <v>24.203656594700828</v>
      </c>
      <c r="BH11" s="2">
        <v>23.197486185756954</v>
      </c>
      <c r="BI11" s="2">
        <v>21.933241323921379</v>
      </c>
      <c r="BJ11" s="2">
        <v>23.633065786844391</v>
      </c>
      <c r="BK11" s="2">
        <v>22.335891977083481</v>
      </c>
      <c r="BL11" s="2">
        <v>20.88057967665533</v>
      </c>
      <c r="BM11" s="2">
        <v>19.180833007635677</v>
      </c>
      <c r="BN11" s="2">
        <v>20.549555899181829</v>
      </c>
      <c r="BO11" s="2">
        <v>19.290899501919885</v>
      </c>
      <c r="BP11" s="2">
        <v>17.978461485351378</v>
      </c>
      <c r="BQ11" s="2">
        <v>16.773709313438971</v>
      </c>
      <c r="BR11" s="2">
        <v>18.844266820574621</v>
      </c>
      <c r="BS11" s="2">
        <v>18.549669167366229</v>
      </c>
      <c r="BT11" s="2">
        <v>17.776759071819267</v>
      </c>
      <c r="BU11" s="2">
        <v>17.08484862940692</v>
      </c>
      <c r="BV11" s="2">
        <v>19.533659748256795</v>
      </c>
      <c r="BW11" s="2">
        <v>18.430487687212498</v>
      </c>
      <c r="BX11" s="2">
        <v>18.87474762659533</v>
      </c>
      <c r="BY11" s="2">
        <v>17.809334418925474</v>
      </c>
      <c r="BZ11" s="2">
        <v>20.394792277234966</v>
      </c>
      <c r="CA11" s="2">
        <v>16.983178310410427</v>
      </c>
    </row>
    <row r="12" spans="1:79" x14ac:dyDescent="0.2">
      <c r="A12" s="2" t="s">
        <v>153</v>
      </c>
      <c r="B12" s="2">
        <v>228.77542332536439</v>
      </c>
      <c r="C12" s="2">
        <v>209.5968846506625</v>
      </c>
      <c r="D12" s="2">
        <v>193.1778845123153</v>
      </c>
      <c r="E12" s="2">
        <v>177.09609148058158</v>
      </c>
      <c r="F12" s="2">
        <v>176.50369716049295</v>
      </c>
      <c r="G12" s="2">
        <v>164.00080546851734</v>
      </c>
      <c r="H12" s="2">
        <v>154.27896640355647</v>
      </c>
      <c r="I12" s="2">
        <v>146.45473009139639</v>
      </c>
      <c r="J12" s="2">
        <v>140.51204508291553</v>
      </c>
      <c r="K12" s="2">
        <v>132.3110599226726</v>
      </c>
      <c r="L12" s="2">
        <v>129.17478685378958</v>
      </c>
      <c r="M12" s="2">
        <v>122.70374412420745</v>
      </c>
      <c r="N12" s="2">
        <v>118.34588085010934</v>
      </c>
      <c r="O12" s="2">
        <v>111.5289135716765</v>
      </c>
      <c r="P12" s="2">
        <v>105.11822063433007</v>
      </c>
      <c r="Q12" s="2">
        <v>95.771290925181702</v>
      </c>
      <c r="R12" s="2">
        <v>88.540964445104862</v>
      </c>
      <c r="S12" s="2">
        <v>81.945769133696075</v>
      </c>
      <c r="T12" s="2">
        <v>79.161061118271306</v>
      </c>
      <c r="U12" s="2">
        <v>75.413464823886116</v>
      </c>
      <c r="V12" s="2">
        <v>73.889556342791735</v>
      </c>
      <c r="W12" s="2">
        <v>69.80212785157795</v>
      </c>
      <c r="X12" s="2">
        <v>67.948362577023559</v>
      </c>
      <c r="Y12" s="2">
        <v>65.321749314896266</v>
      </c>
      <c r="Z12" s="2">
        <v>63.624075698080787</v>
      </c>
      <c r="AA12" s="2">
        <v>61.46204953417574</v>
      </c>
      <c r="AB12" s="2">
        <v>60.523734245313797</v>
      </c>
      <c r="AC12" s="2">
        <v>59.271044118906083</v>
      </c>
      <c r="AD12" s="2">
        <v>66.545248661994151</v>
      </c>
      <c r="AE12" s="2">
        <v>63.404508534005288</v>
      </c>
      <c r="AF12" s="2">
        <v>60.232083640887637</v>
      </c>
      <c r="AG12" s="2">
        <v>56.95416241489712</v>
      </c>
      <c r="AH12" s="2">
        <v>61.431060169577151</v>
      </c>
      <c r="AI12" s="2">
        <v>57.08637127570055</v>
      </c>
      <c r="AJ12" s="2">
        <v>54.629792930146031</v>
      </c>
      <c r="AK12" s="2">
        <v>51.223574548464001</v>
      </c>
      <c r="AL12" s="2">
        <v>55.611664348921998</v>
      </c>
      <c r="AM12" s="2">
        <v>51.878568690470409</v>
      </c>
      <c r="AN12" s="2">
        <v>48.948840549193648</v>
      </c>
      <c r="AO12" s="2">
        <v>45.632359263535669</v>
      </c>
      <c r="AP12" s="2">
        <v>48.859930436808099</v>
      </c>
      <c r="AQ12" s="2">
        <v>45.54141878774103</v>
      </c>
      <c r="AR12" s="2">
        <v>43.87898102534556</v>
      </c>
      <c r="AS12" s="2">
        <v>40.635318540514746</v>
      </c>
      <c r="AT12" s="2">
        <v>42.837497832145154</v>
      </c>
      <c r="AU12" s="2">
        <v>38.906406806542101</v>
      </c>
      <c r="AV12" s="2">
        <v>36.430342111986889</v>
      </c>
      <c r="AW12" s="2">
        <v>33.380232106285206</v>
      </c>
      <c r="AX12" s="2">
        <v>34.16597883561969</v>
      </c>
      <c r="AY12" s="2">
        <v>31.726807679311801</v>
      </c>
      <c r="AZ12" s="2">
        <v>30.575888443532907</v>
      </c>
      <c r="BA12" s="2">
        <v>28.351028657915432</v>
      </c>
      <c r="BB12" s="2">
        <v>29.205127573150747</v>
      </c>
      <c r="BC12" s="2">
        <v>27.104325514819809</v>
      </c>
      <c r="BD12" s="2">
        <v>25.703045557109274</v>
      </c>
      <c r="BE12" s="2">
        <v>23.888128998661802</v>
      </c>
      <c r="BF12" s="2">
        <v>25.387792240082298</v>
      </c>
      <c r="BG12" s="2">
        <v>23.784546459791553</v>
      </c>
      <c r="BH12" s="2">
        <v>22.778233146843448</v>
      </c>
      <c r="BI12" s="2">
        <v>21.501882682519948</v>
      </c>
      <c r="BJ12" s="2">
        <v>23.200443639067561</v>
      </c>
      <c r="BK12" s="2">
        <v>21.883079306789035</v>
      </c>
      <c r="BL12" s="2">
        <v>20.415247170792533</v>
      </c>
      <c r="BM12" s="2">
        <v>18.712684790916967</v>
      </c>
      <c r="BN12" s="2">
        <v>20.078831654375197</v>
      </c>
      <c r="BO12" s="2">
        <v>18.8119634551452</v>
      </c>
      <c r="BP12" s="2">
        <v>17.515543371792173</v>
      </c>
      <c r="BQ12" s="2">
        <v>16.773709313438971</v>
      </c>
      <c r="BR12" s="2">
        <v>18.345897465477197</v>
      </c>
      <c r="BS12" s="2">
        <v>18.041099561762149</v>
      </c>
      <c r="BT12" s="2">
        <v>17.276272726897066</v>
      </c>
      <c r="BU12" s="2">
        <v>17.024419189735028</v>
      </c>
      <c r="BV12" s="2">
        <v>19.533659748256795</v>
      </c>
      <c r="BW12" s="2">
        <v>17.90793933513768</v>
      </c>
      <c r="BX12" s="2">
        <v>18.87474762659533</v>
      </c>
      <c r="BY12" s="2">
        <v>17.366399805064692</v>
      </c>
      <c r="BZ12" s="2">
        <v>20.394792277234966</v>
      </c>
      <c r="CA12" s="2">
        <v>16.510083783511554</v>
      </c>
    </row>
    <row r="13" spans="1:79" x14ac:dyDescent="0.2">
      <c r="A13" s="2" t="s">
        <v>152</v>
      </c>
      <c r="B13" s="2">
        <v>227.17776393166201</v>
      </c>
      <c r="C13" s="2">
        <v>208.97045153475176</v>
      </c>
      <c r="D13" s="2">
        <v>192.72625945700341</v>
      </c>
      <c r="E13" s="2">
        <v>176.67761868949825</v>
      </c>
      <c r="F13" s="2">
        <v>176.04041055758967</v>
      </c>
      <c r="G13" s="2">
        <v>163.66445063850387</v>
      </c>
      <c r="H13" s="2">
        <v>153.90019219303173</v>
      </c>
      <c r="I13" s="2">
        <v>146.21120951756583</v>
      </c>
      <c r="J13" s="2">
        <v>140.21334091785576</v>
      </c>
      <c r="K13" s="2">
        <v>132.2502317689937</v>
      </c>
      <c r="L13" s="2">
        <v>129.13398813009252</v>
      </c>
      <c r="M13" s="2">
        <v>122.9788073847669</v>
      </c>
      <c r="N13" s="2">
        <v>118.71740178443608</v>
      </c>
      <c r="O13" s="2">
        <v>111.96034170234101</v>
      </c>
      <c r="P13" s="2">
        <v>105.5950883244868</v>
      </c>
      <c r="Q13" s="2">
        <v>96.276519184528297</v>
      </c>
      <c r="R13" s="2">
        <v>89.257568485607919</v>
      </c>
      <c r="S13" s="2">
        <v>82.886722452187826</v>
      </c>
      <c r="T13" s="2">
        <v>80.061305002086357</v>
      </c>
      <c r="U13" s="2">
        <v>76.353331497648711</v>
      </c>
      <c r="V13" s="2">
        <v>74.774700409326826</v>
      </c>
      <c r="W13" s="2">
        <v>70.759136580335493</v>
      </c>
      <c r="X13" s="2">
        <v>68.929226220363915</v>
      </c>
      <c r="Y13" s="2">
        <v>66.346038160644</v>
      </c>
      <c r="Z13" s="2">
        <v>64.644868297340807</v>
      </c>
      <c r="AA13" s="2">
        <v>62.232238787090665</v>
      </c>
      <c r="AB13" s="2">
        <v>61.196791794026929</v>
      </c>
      <c r="AC13" s="2">
        <v>59.922553352476903</v>
      </c>
      <c r="AD13" s="2">
        <v>67.212498389919475</v>
      </c>
      <c r="AE13" s="2">
        <v>64.034109797079722</v>
      </c>
      <c r="AF13" s="2">
        <v>60.746194772309543</v>
      </c>
      <c r="AG13" s="2">
        <v>57.461616142918075</v>
      </c>
      <c r="AH13" s="2">
        <v>61.931155231816888</v>
      </c>
      <c r="AI13" s="2">
        <v>57.606051280390027</v>
      </c>
      <c r="AJ13" s="2">
        <v>55.175313551131914</v>
      </c>
      <c r="AK13" s="2">
        <v>51.741837065249335</v>
      </c>
      <c r="AL13" s="2">
        <v>56.131586309186368</v>
      </c>
      <c r="AM13" s="2">
        <v>52.41152270040007</v>
      </c>
      <c r="AN13" s="2">
        <v>49.483001560331935</v>
      </c>
      <c r="AO13" s="2">
        <v>46.141018257349103</v>
      </c>
      <c r="AP13" s="2">
        <v>49.361910893708462</v>
      </c>
      <c r="AQ13" s="2">
        <v>46.046753582117375</v>
      </c>
      <c r="AR13" s="2">
        <v>44.386513656953738</v>
      </c>
      <c r="AS13" s="2">
        <v>41.132470355712172</v>
      </c>
      <c r="AT13" s="2">
        <v>43.341420063416095</v>
      </c>
      <c r="AU13" s="2">
        <v>39.423355710040269</v>
      </c>
      <c r="AV13" s="2">
        <v>36.885563458432763</v>
      </c>
      <c r="AW13" s="2">
        <v>33.814471165623729</v>
      </c>
      <c r="AX13" s="2">
        <v>34.624509465287467</v>
      </c>
      <c r="AY13" s="2">
        <v>32.159681966196565</v>
      </c>
      <c r="AZ13" s="2">
        <v>31.003818874202505</v>
      </c>
      <c r="BA13" s="2">
        <v>28.76824873856939</v>
      </c>
      <c r="BB13" s="2">
        <v>29.550751179831451</v>
      </c>
      <c r="BC13" s="2">
        <v>27.428990444210473</v>
      </c>
      <c r="BD13" s="2">
        <v>26.02270458081766</v>
      </c>
      <c r="BE13" s="2">
        <v>24.207109274775455</v>
      </c>
      <c r="BF13" s="2">
        <v>25.501248338680142</v>
      </c>
      <c r="BG13" s="2">
        <v>24.109636951672183</v>
      </c>
      <c r="BH13" s="2">
        <v>23.101203085320194</v>
      </c>
      <c r="BI13" s="2">
        <v>21.762944776099648</v>
      </c>
      <c r="BJ13" s="2">
        <v>23.450988607585849</v>
      </c>
      <c r="BK13" s="2">
        <v>22.159911805739505</v>
      </c>
      <c r="BL13" s="2">
        <v>20.711480875720046</v>
      </c>
      <c r="BM13" s="2">
        <v>19.01914955533946</v>
      </c>
      <c r="BN13" s="2">
        <v>20.388689930092365</v>
      </c>
      <c r="BO13" s="2">
        <v>19.137600074620309</v>
      </c>
      <c r="BP13" s="2">
        <v>17.834311708745844</v>
      </c>
      <c r="BQ13" s="2">
        <v>16.635946079040504</v>
      </c>
      <c r="BR13" s="2">
        <v>18.698018216332962</v>
      </c>
      <c r="BS13" s="2">
        <v>18.395386088731847</v>
      </c>
      <c r="BT13" s="2">
        <v>17.633746307551199</v>
      </c>
      <c r="BU13" s="2">
        <v>17.08484859081122</v>
      </c>
      <c r="BV13" s="2">
        <v>19.393563005658425</v>
      </c>
      <c r="BW13" s="2">
        <v>18.295282868318207</v>
      </c>
      <c r="BX13" s="2">
        <v>18.750113478059408</v>
      </c>
      <c r="BY13" s="2">
        <v>17.697126433999792</v>
      </c>
      <c r="BZ13" s="2">
        <v>20.275494782246117</v>
      </c>
      <c r="CA13" s="2">
        <v>16.957869616095145</v>
      </c>
    </row>
    <row r="14" spans="1:79" x14ac:dyDescent="0.2">
      <c r="A14" s="2" t="s">
        <v>151</v>
      </c>
      <c r="B14" s="2">
        <v>39.29592162047836</v>
      </c>
      <c r="C14" s="2">
        <v>41.165858407415413</v>
      </c>
      <c r="D14" s="2">
        <v>39.653033567166339</v>
      </c>
      <c r="E14" s="2">
        <v>39.209519688379807</v>
      </c>
      <c r="F14" s="2">
        <v>41.677148759146377</v>
      </c>
      <c r="G14" s="2">
        <v>40.472604063752172</v>
      </c>
      <c r="H14" s="2">
        <v>39.678771456534513</v>
      </c>
      <c r="I14" s="2">
        <v>39.654433303767689</v>
      </c>
      <c r="J14" s="2">
        <v>38.921172001542615</v>
      </c>
      <c r="K14" s="2">
        <v>36.988042219998547</v>
      </c>
      <c r="L14" s="2">
        <v>37.696393500055365</v>
      </c>
      <c r="M14" s="2">
        <v>36.568204740681459</v>
      </c>
      <c r="N14" s="2">
        <v>34.547058114809126</v>
      </c>
      <c r="O14" s="2">
        <v>34.382713756797408</v>
      </c>
      <c r="P14" s="2">
        <v>34.803537761763444</v>
      </c>
      <c r="Q14" s="2">
        <v>34.641068899204839</v>
      </c>
      <c r="R14" s="2">
        <v>30.871653805462604</v>
      </c>
      <c r="S14" s="2">
        <v>29.147823018169376</v>
      </c>
      <c r="T14" s="2">
        <v>23.309984234708477</v>
      </c>
      <c r="U14" s="2">
        <v>22.181776703619462</v>
      </c>
      <c r="V14" s="2">
        <v>16.908072076074472</v>
      </c>
      <c r="W14" s="2">
        <v>14.213479594205715</v>
      </c>
      <c r="X14" s="2">
        <v>15.540053250280174</v>
      </c>
      <c r="Y14" s="2">
        <v>11.216729064518145</v>
      </c>
      <c r="Z14" s="2">
        <v>8.5459456822460762</v>
      </c>
      <c r="AA14" s="2">
        <v>7.3700307130092195</v>
      </c>
      <c r="AB14" s="2">
        <v>4.8803250472997313</v>
      </c>
      <c r="AC14" s="2">
        <v>5.0069208395711904</v>
      </c>
      <c r="AD14" s="2">
        <v>5.0018221098186757</v>
      </c>
      <c r="AE14" s="2">
        <v>6.9968308216077046</v>
      </c>
      <c r="AF14" s="2">
        <v>5.0756561608429953</v>
      </c>
      <c r="AG14" s="2">
        <v>4.4296915047137757</v>
      </c>
      <c r="AH14" s="2">
        <v>5.4352969759795267</v>
      </c>
      <c r="AI14" s="2">
        <v>8.283658858836624</v>
      </c>
      <c r="AJ14" s="2">
        <v>5.672417218721824</v>
      </c>
      <c r="AK14" s="2">
        <v>5.9737671796556784</v>
      </c>
      <c r="AL14" s="2">
        <v>7.315773737214804</v>
      </c>
      <c r="AM14" s="2">
        <v>9.6406233923297684</v>
      </c>
      <c r="AN14" s="2">
        <v>7.3517870544126236</v>
      </c>
      <c r="AO14" s="2">
        <v>8.5175587862576645</v>
      </c>
      <c r="AP14" s="2">
        <v>8.3578288478610805</v>
      </c>
      <c r="AQ14" s="2">
        <v>9.8649603202180121</v>
      </c>
      <c r="AR14" s="2">
        <v>8.7296373982949724</v>
      </c>
      <c r="AS14" s="2">
        <v>8.0614769743977863</v>
      </c>
      <c r="AT14" s="2">
        <v>9.0060092917045047</v>
      </c>
      <c r="AU14" s="2">
        <v>9.6991935330229389</v>
      </c>
      <c r="AV14" s="2">
        <v>9.6149621809241452</v>
      </c>
      <c r="AW14" s="2">
        <v>9.5321061155152194</v>
      </c>
      <c r="AX14" s="2">
        <v>9.1890546390645671</v>
      </c>
      <c r="AY14" s="2">
        <v>8.7940135557604542</v>
      </c>
      <c r="AZ14" s="2">
        <v>8.8706314276720253</v>
      </c>
      <c r="BA14" s="2">
        <v>7.8162932323481771</v>
      </c>
      <c r="BB14" s="2">
        <v>6.3088137294414954</v>
      </c>
      <c r="BC14" s="2">
        <v>4.5243195109642889</v>
      </c>
      <c r="BD14" s="2">
        <v>4.1616596646476474</v>
      </c>
      <c r="BE14" s="2">
        <v>2.6420354031293054</v>
      </c>
      <c r="BF14" s="2">
        <v>2.7895372905394265</v>
      </c>
      <c r="BG14" s="2">
        <v>1.973829308623009</v>
      </c>
      <c r="BH14" s="2">
        <v>2.3567922731234718</v>
      </c>
      <c r="BI14" s="2">
        <v>1.5411043313641637</v>
      </c>
      <c r="BJ14" s="2">
        <v>1.5728318210519663</v>
      </c>
      <c r="BK14" s="2">
        <v>1.4309631080796146</v>
      </c>
      <c r="BL14" s="2">
        <v>1.7166120590287106</v>
      </c>
      <c r="BM14" s="2">
        <v>1.2296042928357047</v>
      </c>
      <c r="BN14" s="2">
        <v>0.48828625822838762</v>
      </c>
      <c r="BO14" s="2">
        <v>0.26397641079839806</v>
      </c>
      <c r="BP14" s="2">
        <v>0.57669053473464849</v>
      </c>
      <c r="BQ14" s="2">
        <v>0.18443858413759143</v>
      </c>
      <c r="BR14" s="2">
        <v>0.64982671958961125</v>
      </c>
      <c r="BS14" s="2">
        <v>0.94601777800277553</v>
      </c>
      <c r="BT14" s="2">
        <v>0.25775125372229296</v>
      </c>
      <c r="BU14" s="2">
        <v>0.48181646641481429</v>
      </c>
      <c r="BV14" s="2">
        <v>0.17726606470103709</v>
      </c>
      <c r="BW14" s="2">
        <v>0.57005276820400508</v>
      </c>
      <c r="BX14" s="2">
        <v>0.65005282146868426</v>
      </c>
      <c r="BY14" s="2">
        <v>0.72344596483127221</v>
      </c>
      <c r="BZ14" s="2">
        <v>0.66248172944462347</v>
      </c>
      <c r="CA14" s="2">
        <v>0.78757604848893192</v>
      </c>
    </row>
    <row r="15" spans="1:79" x14ac:dyDescent="0.2">
      <c r="A15" s="1" t="s">
        <v>150</v>
      </c>
      <c r="B15" s="1">
        <v>45638663840000</v>
      </c>
      <c r="C15" s="1">
        <v>40198859400000</v>
      </c>
      <c r="D15" s="1">
        <v>33844846140000</v>
      </c>
      <c r="E15" s="1">
        <v>27484740000000</v>
      </c>
      <c r="F15" s="1">
        <v>23593377990000</v>
      </c>
      <c r="G15" s="1">
        <v>27877687975000</v>
      </c>
      <c r="H15" s="1">
        <v>24811199226000</v>
      </c>
      <c r="I15" s="1">
        <v>25101208000000</v>
      </c>
      <c r="J15" s="1">
        <v>19966100000000</v>
      </c>
      <c r="K15" s="1">
        <v>15377718103000</v>
      </c>
      <c r="L15" s="1">
        <v>13820299311000</v>
      </c>
      <c r="M15" s="1">
        <v>14935258368000</v>
      </c>
      <c r="N15" s="1">
        <v>13820203904000</v>
      </c>
      <c r="O15" s="1">
        <v>11629156500000</v>
      </c>
      <c r="P15" s="1">
        <v>10942035046000</v>
      </c>
      <c r="Q15" s="1">
        <v>12342200668000</v>
      </c>
      <c r="R15" s="1">
        <v>15480085227000</v>
      </c>
      <c r="S15" s="1">
        <v>15947002582500</v>
      </c>
      <c r="T15" s="1">
        <v>15039620400000</v>
      </c>
      <c r="U15" s="1">
        <v>15428576100000</v>
      </c>
      <c r="V15" s="1">
        <v>15221133060000</v>
      </c>
      <c r="W15" s="1">
        <v>13743101400000</v>
      </c>
      <c r="X15" s="1">
        <v>11227854540000</v>
      </c>
      <c r="Y15" s="1">
        <v>8116208940000</v>
      </c>
      <c r="Z15" s="1">
        <v>7104924120000</v>
      </c>
      <c r="AA15" s="1">
        <v>8582955780000</v>
      </c>
      <c r="AB15" s="1">
        <v>7260506400000</v>
      </c>
      <c r="AC15" s="1">
        <v>6443699430000</v>
      </c>
      <c r="AD15" s="1">
        <v>6365908290000</v>
      </c>
      <c r="AE15" s="1">
        <v>5691718410000</v>
      </c>
      <c r="AF15" s="1">
        <v>6819689940000</v>
      </c>
      <c r="AG15" s="1">
        <v>5613927270000</v>
      </c>
      <c r="AH15" s="1">
        <v>6378873480000</v>
      </c>
      <c r="AI15" s="1">
        <v>6028813350000</v>
      </c>
      <c r="AJ15" s="1">
        <v>5613927270000</v>
      </c>
      <c r="AK15" s="1">
        <v>5406484230000</v>
      </c>
      <c r="AL15" s="1">
        <v>4900841820000</v>
      </c>
      <c r="AM15" s="1">
        <v>4706363970000</v>
      </c>
      <c r="AN15" s="1">
        <v>4732294350000</v>
      </c>
      <c r="AO15" s="1">
        <v>4213686750000</v>
      </c>
      <c r="AP15" s="1">
        <v>4200721560000</v>
      </c>
      <c r="AQ15" s="1">
        <v>3708037762000</v>
      </c>
      <c r="AR15" s="1">
        <v>3370949400000</v>
      </c>
      <c r="AS15" s="1">
        <v>3643217687500</v>
      </c>
      <c r="AT15" s="1">
        <v>3772816600500</v>
      </c>
      <c r="AU15" s="1">
        <v>3656079522000</v>
      </c>
      <c r="AV15" s="1">
        <v>3111525000000</v>
      </c>
      <c r="AW15" s="1">
        <v>3280059992000</v>
      </c>
      <c r="AX15" s="1">
        <v>3072568488000</v>
      </c>
      <c r="AY15" s="1">
        <v>2735437021500</v>
      </c>
      <c r="AZ15" s="1">
        <v>2605796361000</v>
      </c>
      <c r="BA15" s="1">
        <v>2800256292000</v>
      </c>
      <c r="BB15" s="1">
        <v>2618520849000</v>
      </c>
      <c r="BC15" s="1">
        <v>2581964863200</v>
      </c>
      <c r="BD15" s="1">
        <v>2304406503700</v>
      </c>
      <c r="BE15" s="1">
        <v>2107353153900</v>
      </c>
      <c r="BF15" s="1">
        <v>2200408145400</v>
      </c>
      <c r="BG15" s="1">
        <v>1964422263800</v>
      </c>
      <c r="BH15" s="1">
        <v>1813930370000</v>
      </c>
      <c r="BI15" s="1">
        <v>1870939610200</v>
      </c>
      <c r="BJ15" s="1">
        <v>1829422923599.9998</v>
      </c>
      <c r="BK15" s="1">
        <v>1839550999000</v>
      </c>
      <c r="BL15" s="1">
        <v>1606088207000</v>
      </c>
      <c r="BM15" s="1">
        <v>1569821699100</v>
      </c>
      <c r="BN15" s="1">
        <v>1593063097500</v>
      </c>
      <c r="BO15" s="1">
        <v>1668591360750</v>
      </c>
      <c r="BP15" s="1">
        <v>1674082084500</v>
      </c>
      <c r="BQ15" s="1">
        <v>1419192579600</v>
      </c>
      <c r="BR15" s="1">
        <v>1317055519940</v>
      </c>
      <c r="BS15" s="1">
        <v>1144109733630</v>
      </c>
      <c r="BT15" s="1">
        <v>1365332729280</v>
      </c>
      <c r="BU15" s="1">
        <v>1667284240049.9998</v>
      </c>
      <c r="BV15" s="1">
        <v>1639609422030</v>
      </c>
      <c r="BW15" s="1">
        <v>1634285036340</v>
      </c>
      <c r="BX15" s="1">
        <v>1687445317600</v>
      </c>
      <c r="BY15" s="1">
        <v>1870626179670</v>
      </c>
      <c r="BZ15" s="1">
        <v>1744414008940</v>
      </c>
      <c r="CA15" s="1">
        <v>1752610242449.9998</v>
      </c>
    </row>
    <row r="16" spans="1:79" x14ac:dyDescent="0.2">
      <c r="A16" s="1" t="s">
        <v>149</v>
      </c>
      <c r="B16" s="1">
        <v>43619294840000</v>
      </c>
      <c r="C16" s="1">
        <v>38495586101000</v>
      </c>
      <c r="D16" s="1">
        <v>32399519621000</v>
      </c>
      <c r="E16" s="1">
        <v>26133188201000</v>
      </c>
      <c r="F16" s="1">
        <v>22276451108000</v>
      </c>
      <c r="G16" s="1">
        <v>26797103075000</v>
      </c>
      <c r="H16" s="1">
        <v>23950495424000</v>
      </c>
      <c r="I16" s="1">
        <v>24327721619000</v>
      </c>
      <c r="J16" s="1">
        <v>19274432031000</v>
      </c>
      <c r="K16" s="1">
        <v>14868548203000</v>
      </c>
      <c r="L16" s="1">
        <v>13482820706000</v>
      </c>
      <c r="M16" s="1">
        <v>14603716010000</v>
      </c>
      <c r="N16" s="1">
        <v>13327781118000</v>
      </c>
      <c r="O16" s="1">
        <v>11174516800000</v>
      </c>
      <c r="P16" s="1">
        <v>10545072931000</v>
      </c>
      <c r="Q16" s="1">
        <v>11984315273000</v>
      </c>
      <c r="R16" s="1">
        <v>15126850346000</v>
      </c>
      <c r="S16" s="1">
        <v>15635644282500</v>
      </c>
      <c r="T16" s="1">
        <v>14788911120000</v>
      </c>
      <c r="U16" s="1">
        <v>15254641500000</v>
      </c>
      <c r="V16" s="1">
        <v>14994065842000</v>
      </c>
      <c r="W16" s="1">
        <v>13450723100000</v>
      </c>
      <c r="X16" s="1">
        <v>11026245749000</v>
      </c>
      <c r="Y16" s="1">
        <v>7939040399000</v>
      </c>
      <c r="Z16" s="1">
        <v>6895215946000</v>
      </c>
      <c r="AA16" s="1">
        <v>8318020580000</v>
      </c>
      <c r="AB16" s="1">
        <v>6933781349000</v>
      </c>
      <c r="AC16" s="1">
        <v>5922968777000</v>
      </c>
      <c r="AD16" s="1">
        <v>5849037846000</v>
      </c>
      <c r="AE16" s="1">
        <v>5294458510000</v>
      </c>
      <c r="AF16" s="1">
        <v>6461832444000</v>
      </c>
      <c r="AG16" s="1">
        <v>5095932690000</v>
      </c>
      <c r="AH16" s="1">
        <v>5941221867000</v>
      </c>
      <c r="AI16" s="1">
        <v>5689389550000</v>
      </c>
      <c r="AJ16" s="1">
        <v>5352094295000</v>
      </c>
      <c r="AK16" s="1">
        <v>4990079412000</v>
      </c>
      <c r="AL16" s="1">
        <v>4525000683000</v>
      </c>
      <c r="AM16" s="1">
        <v>4414283770000</v>
      </c>
      <c r="AN16" s="1">
        <v>4458134658000</v>
      </c>
      <c r="AO16" s="1">
        <v>3811369559000</v>
      </c>
      <c r="AP16" s="1">
        <v>3798608340000</v>
      </c>
      <c r="AQ16" s="1">
        <v>3400330562000</v>
      </c>
      <c r="AR16" s="1">
        <v>3080787876000</v>
      </c>
      <c r="AS16" s="1">
        <v>3322576300500</v>
      </c>
      <c r="AT16" s="1">
        <v>3568136167500</v>
      </c>
      <c r="AU16" s="1">
        <v>3548304922000</v>
      </c>
      <c r="AV16" s="1">
        <v>3134134588000</v>
      </c>
      <c r="AW16" s="1">
        <v>3271366075000</v>
      </c>
      <c r="AX16" s="1">
        <v>3078336214000</v>
      </c>
      <c r="AY16" s="1">
        <v>2719970421500</v>
      </c>
      <c r="AZ16" s="1">
        <v>2618460926000</v>
      </c>
      <c r="BA16" s="1">
        <v>2776451494000</v>
      </c>
      <c r="BB16" s="1">
        <v>2595560036000</v>
      </c>
      <c r="BC16" s="1">
        <v>2555504763200</v>
      </c>
      <c r="BD16" s="1">
        <v>2273273824700</v>
      </c>
      <c r="BE16" s="1">
        <v>1997198743900</v>
      </c>
      <c r="BF16" s="1">
        <v>2101668853400</v>
      </c>
      <c r="BG16" s="1">
        <v>1871897463800</v>
      </c>
      <c r="BH16" s="1">
        <v>1759988702000</v>
      </c>
      <c r="BI16" s="1">
        <v>1759772578200</v>
      </c>
      <c r="BJ16" s="1">
        <v>1740614015599.9998</v>
      </c>
      <c r="BK16" s="1">
        <v>1728615899000</v>
      </c>
      <c r="BL16" s="1">
        <v>1518170393000</v>
      </c>
      <c r="BM16" s="1">
        <v>1429090447100</v>
      </c>
      <c r="BN16" s="1">
        <v>1445824254500</v>
      </c>
      <c r="BO16" s="1">
        <v>1504050460750</v>
      </c>
      <c r="BP16" s="1">
        <v>1532114872500</v>
      </c>
      <c r="BQ16" s="1">
        <v>1184484579600</v>
      </c>
      <c r="BR16" s="1">
        <v>1110421399940</v>
      </c>
      <c r="BS16" s="1">
        <v>973994533630</v>
      </c>
      <c r="BT16" s="1">
        <v>1259916774280</v>
      </c>
      <c r="BU16" s="1">
        <v>1533213766049.9998</v>
      </c>
      <c r="BV16" s="1">
        <v>1499912706030</v>
      </c>
      <c r="BW16" s="1">
        <v>1554470549340</v>
      </c>
      <c r="BX16" s="1">
        <v>1606677410600</v>
      </c>
      <c r="BY16" s="1">
        <v>1726252449670</v>
      </c>
      <c r="BZ16" s="1">
        <v>1621391567940</v>
      </c>
      <c r="CA16" s="1">
        <v>1631867548449.9998</v>
      </c>
    </row>
    <row r="17" spans="1:79" x14ac:dyDescent="0.2">
      <c r="A17" s="2" t="s">
        <v>148</v>
      </c>
      <c r="B17" s="2">
        <v>19.930243781442147</v>
      </c>
      <c r="C17" s="2">
        <v>19.871149929608656</v>
      </c>
      <c r="D17" s="2">
        <v>18.706995624604797</v>
      </c>
      <c r="E17" s="2">
        <v>17.252449952670656</v>
      </c>
      <c r="F17" s="2">
        <v>16.313411759421001</v>
      </c>
      <c r="G17" s="2">
        <v>18.600998168437066</v>
      </c>
      <c r="H17" s="2">
        <v>19.070424056324274</v>
      </c>
      <c r="I17" s="2">
        <v>25.319407820826203</v>
      </c>
      <c r="J17" s="2">
        <v>22.136850446072266</v>
      </c>
      <c r="K17" s="2">
        <v>16.104885911684374</v>
      </c>
      <c r="L17" s="2">
        <v>16.374762216824646</v>
      </c>
      <c r="M17" s="2">
        <v>20.538144658105722</v>
      </c>
      <c r="N17" s="2">
        <v>16.692151216522699</v>
      </c>
      <c r="O17" s="2">
        <v>9.8251033644584211</v>
      </c>
      <c r="P17" s="2">
        <v>9.7395587369169707</v>
      </c>
      <c r="Q17" s="2">
        <v>13.017698576067501</v>
      </c>
      <c r="R17" s="2">
        <v>19.089254260437897</v>
      </c>
      <c r="S17" s="2">
        <v>24.601754299488707</v>
      </c>
      <c r="T17" s="2">
        <v>24.06211646234161</v>
      </c>
      <c r="U17" s="2">
        <v>28.707758245074601</v>
      </c>
      <c r="V17" s="2">
        <v>27.240817777055163</v>
      </c>
      <c r="W17" s="2">
        <v>25.332897027493747</v>
      </c>
      <c r="X17" s="2">
        <v>20.442522884706754</v>
      </c>
      <c r="Y17" s="2">
        <v>16.793704737671828</v>
      </c>
      <c r="Z17" s="2">
        <v>15.183185151271871</v>
      </c>
      <c r="AA17" s="2">
        <v>18.492169991812816</v>
      </c>
      <c r="AB17" s="2">
        <v>17.959123848225179</v>
      </c>
      <c r="AC17" s="2">
        <v>24.1283378529271</v>
      </c>
      <c r="AD17" s="2">
        <v>25.922418069197189</v>
      </c>
      <c r="AE17" s="2">
        <v>14.231573076692271</v>
      </c>
      <c r="AF17" s="2">
        <v>19.141027544708177</v>
      </c>
      <c r="AG17" s="2">
        <v>19.41446054925666</v>
      </c>
      <c r="AH17" s="2">
        <v>17.76159808302139</v>
      </c>
      <c r="AI17" s="2">
        <v>14.897296135866203</v>
      </c>
      <c r="AJ17" s="2">
        <v>15.60717261234994</v>
      </c>
      <c r="AK17" s="2">
        <v>20.395356490595081</v>
      </c>
      <c r="AL17" s="2">
        <v>13.981808318529808</v>
      </c>
      <c r="AM17" s="2">
        <v>12.046986602309095</v>
      </c>
      <c r="AN17" s="2">
        <v>12.227006302128453</v>
      </c>
      <c r="AO17" s="2">
        <v>14.528687609180999</v>
      </c>
      <c r="AP17" s="2">
        <v>16.211117425157212</v>
      </c>
      <c r="AQ17" s="2">
        <v>13.412710505970757</v>
      </c>
      <c r="AR17" s="2">
        <v>11.187389239533385</v>
      </c>
      <c r="AS17" s="2">
        <v>11.46855870954359</v>
      </c>
      <c r="AT17" s="2">
        <v>11.940817987818724</v>
      </c>
      <c r="AU17" s="2">
        <v>12.984503296869834</v>
      </c>
      <c r="AV17" s="2">
        <v>10.190861528478734</v>
      </c>
      <c r="AW17" s="2">
        <v>13.735985058067731</v>
      </c>
      <c r="AX17" s="2">
        <v>16.047495013923328</v>
      </c>
      <c r="AY17" s="2">
        <v>16.826808225037261</v>
      </c>
      <c r="AZ17" s="2">
        <v>12.539455747593504</v>
      </c>
      <c r="BA17" s="2">
        <v>13.512735272587244</v>
      </c>
      <c r="BB17" s="2">
        <v>16.540724746692995</v>
      </c>
      <c r="BC17" s="2">
        <v>15.528087885891464</v>
      </c>
      <c r="BD17" s="2">
        <v>11.666786302867015</v>
      </c>
      <c r="BE17" s="2">
        <v>12.590732505238169</v>
      </c>
      <c r="BF17" s="2">
        <v>16.425058160793231</v>
      </c>
      <c r="BG17" s="2">
        <v>15.551813344317964</v>
      </c>
      <c r="BH17" s="2">
        <v>14.919878083960123</v>
      </c>
      <c r="BI17" s="2">
        <v>13.010585730580416</v>
      </c>
      <c r="BJ17" s="2">
        <v>12.607050904144527</v>
      </c>
      <c r="BK17" s="2">
        <v>11.293781446123862</v>
      </c>
      <c r="BL17" s="2">
        <v>8.554028500329796</v>
      </c>
      <c r="BM17" s="2">
        <v>9.7427199037652539</v>
      </c>
      <c r="BN17" s="2">
        <v>11.830923867656105</v>
      </c>
      <c r="BO17" s="2">
        <v>12.770087374528993</v>
      </c>
      <c r="BP17" s="2">
        <v>13.699173154688291</v>
      </c>
      <c r="BQ17" s="2">
        <v>14.515921156206531</v>
      </c>
      <c r="BR17" s="2">
        <v>211.21918205331673</v>
      </c>
      <c r="BS17" s="2">
        <v>22.091244680589295</v>
      </c>
      <c r="BT17" s="2">
        <v>11.193512034392205</v>
      </c>
      <c r="BU17" s="2">
        <v>14.506721562781683</v>
      </c>
      <c r="BV17" s="2">
        <v>14.564786687950296</v>
      </c>
      <c r="BW17" s="2">
        <v>11.54527058275052</v>
      </c>
      <c r="BX17" s="2">
        <v>14.03787166919243</v>
      </c>
      <c r="BY17" s="2">
        <v>18.321554167186193</v>
      </c>
      <c r="BZ17" s="2">
        <v>22.995516742053919</v>
      </c>
      <c r="CA17" s="2">
        <v>15.68670350501877</v>
      </c>
    </row>
    <row r="18" spans="1:79" x14ac:dyDescent="0.2">
      <c r="A18" s="2" t="s">
        <v>147</v>
      </c>
      <c r="B18" s="2">
        <v>40.242080163794647</v>
      </c>
      <c r="C18" s="2">
        <v>38.427725530308102</v>
      </c>
      <c r="D18" s="2">
        <v>34.189545134041403</v>
      </c>
      <c r="E18" s="2">
        <v>29.4334712655495</v>
      </c>
      <c r="F18" s="2">
        <v>28.112321168561603</v>
      </c>
      <c r="G18" s="2">
        <v>32.100103487663809</v>
      </c>
      <c r="H18" s="2">
        <v>32.659544335974523</v>
      </c>
      <c r="I18" s="2">
        <v>37.269233423921968</v>
      </c>
      <c r="J18" s="2">
        <v>33.689859727489342</v>
      </c>
      <c r="K18" s="2">
        <v>24.583541455312222</v>
      </c>
      <c r="L18" s="2">
        <v>25.277968059363527</v>
      </c>
      <c r="M18" s="2">
        <v>31.060684256513483</v>
      </c>
      <c r="N18" s="2">
        <v>27.17127012526575</v>
      </c>
      <c r="O18" s="2">
        <v>18.590829574286953</v>
      </c>
      <c r="P18" s="2">
        <v>17.845820032807598</v>
      </c>
      <c r="Q18" s="2">
        <v>23.106642449232226</v>
      </c>
      <c r="R18" s="2">
        <v>31.522797347855043</v>
      </c>
      <c r="S18" s="2">
        <v>36.386678222281581</v>
      </c>
      <c r="T18" s="2">
        <v>36.268856329378664</v>
      </c>
      <c r="U18" s="2">
        <v>41.45849344224375</v>
      </c>
      <c r="V18" s="2">
        <v>41.999733451232878</v>
      </c>
      <c r="W18" s="2">
        <v>38.008400820655694</v>
      </c>
      <c r="X18" s="2">
        <v>31.500070404747763</v>
      </c>
      <c r="Y18" s="2">
        <v>26.128275979654504</v>
      </c>
      <c r="Z18" s="2">
        <v>22.875608773779899</v>
      </c>
      <c r="AA18" s="2">
        <v>27.055342787884136</v>
      </c>
      <c r="AB18" s="2">
        <v>24.777710974387123</v>
      </c>
      <c r="AC18" s="2">
        <v>26.73120772015368</v>
      </c>
      <c r="AD18" s="2">
        <v>29.106630568133266</v>
      </c>
      <c r="AE18" s="2">
        <v>19.642125713063074</v>
      </c>
      <c r="AF18" s="2">
        <v>26.195957304471545</v>
      </c>
      <c r="AG18" s="2">
        <v>24.071417166789995</v>
      </c>
      <c r="AH18" s="2">
        <v>25.725256011098111</v>
      </c>
      <c r="AI18" s="2">
        <v>21.717408680989685</v>
      </c>
      <c r="AJ18" s="2">
        <v>22.267697388559441</v>
      </c>
      <c r="AK18" s="2">
        <v>25.286321858760029</v>
      </c>
      <c r="AL18" s="2">
        <v>20.951077164226135</v>
      </c>
      <c r="AM18" s="2">
        <v>17.94771984131614</v>
      </c>
      <c r="AN18" s="2">
        <v>18.171945036188454</v>
      </c>
      <c r="AO18" s="2">
        <v>18.997442985817173</v>
      </c>
      <c r="AP18" s="2">
        <v>20.646173806440334</v>
      </c>
      <c r="AQ18" s="2">
        <v>18.218365035324009</v>
      </c>
      <c r="AR18" s="2">
        <v>15.861486443566092</v>
      </c>
      <c r="AS18" s="2">
        <v>17.733665093037061</v>
      </c>
      <c r="AT18" s="2">
        <v>16.993552007303375</v>
      </c>
      <c r="AU18" s="2">
        <v>16.429147472333575</v>
      </c>
      <c r="AV18" s="2">
        <v>14.884365838403209</v>
      </c>
      <c r="AW18" s="2">
        <v>17.922246857879156</v>
      </c>
      <c r="AX18" s="2">
        <v>20.727519431844001</v>
      </c>
      <c r="AY18" s="2">
        <v>18.757996351765151</v>
      </c>
      <c r="AZ18" s="2">
        <v>16.032978840013161</v>
      </c>
      <c r="BA18" s="2">
        <v>17.963060960548606</v>
      </c>
      <c r="BB18" s="2">
        <v>19.723935860515969</v>
      </c>
      <c r="BC18" s="2">
        <v>19.667670822329914</v>
      </c>
      <c r="BD18" s="2">
        <v>16.284449606448703</v>
      </c>
      <c r="BE18" s="2">
        <v>16.467253441587133</v>
      </c>
      <c r="BF18" s="2">
        <v>20.819679059836581</v>
      </c>
      <c r="BG18" s="2">
        <v>18.76039742750536</v>
      </c>
      <c r="BH18" s="2">
        <v>17.034830691700027</v>
      </c>
      <c r="BI18" s="2">
        <v>16.93029822981639</v>
      </c>
      <c r="BJ18" s="2">
        <v>17.360660581274967</v>
      </c>
      <c r="BK18" s="2">
        <v>16.701600589085757</v>
      </c>
      <c r="BL18" s="2">
        <v>14.308556254291274</v>
      </c>
      <c r="BM18" s="2">
        <v>14.956050361388268</v>
      </c>
      <c r="BN18" s="2">
        <v>17.280837034319685</v>
      </c>
      <c r="BO18" s="2">
        <v>18.118269923964657</v>
      </c>
      <c r="BP18" s="2">
        <v>18.614192035070886</v>
      </c>
      <c r="BQ18" s="2">
        <v>19.123491882714386</v>
      </c>
      <c r="BR18" s="2">
        <v>33.343071359823007</v>
      </c>
      <c r="BS18" s="2">
        <v>17.290603404009161</v>
      </c>
      <c r="BT18" s="2">
        <v>14.722751716846528</v>
      </c>
      <c r="BU18" s="2">
        <v>19.504414941015678</v>
      </c>
      <c r="BV18" s="2">
        <v>18.742684719722</v>
      </c>
      <c r="BW18" s="2">
        <v>16.911002683846178</v>
      </c>
      <c r="BX18" s="2">
        <v>19.174692857770996</v>
      </c>
      <c r="BY18" s="2">
        <v>25.635848308380798</v>
      </c>
      <c r="BZ18" s="2">
        <v>26.713494360257265</v>
      </c>
      <c r="CA18" s="2">
        <v>154.9805822354534</v>
      </c>
    </row>
    <row r="19" spans="1:79" x14ac:dyDescent="0.2">
      <c r="A19" s="2" t="s">
        <v>146</v>
      </c>
      <c r="B19" s="2">
        <v>63.035435459989834</v>
      </c>
      <c r="C19" s="2">
        <v>53.793578899549232</v>
      </c>
      <c r="D19" s="2">
        <v>79.293689369747611</v>
      </c>
      <c r="E19" s="2">
        <v>52.985587895570553</v>
      </c>
      <c r="F19" s="2">
        <v>37.714787316049325</v>
      </c>
      <c r="G19" s="2">
        <v>44.949127814230359</v>
      </c>
      <c r="H19" s="2">
        <v>63.295091907977913</v>
      </c>
      <c r="I19" s="2">
        <v>66.463650726652375</v>
      </c>
      <c r="J19" s="2">
        <v>45.76115444670274</v>
      </c>
      <c r="K19" s="2">
        <v>38.947792849562724</v>
      </c>
      <c r="L19" s="2">
        <v>46.904873204211832</v>
      </c>
      <c r="M19" s="2">
        <v>89.300082771104812</v>
      </c>
      <c r="N19" s="2">
        <v>35.873828477530566</v>
      </c>
      <c r="O19" s="2">
        <v>23.884962899299797</v>
      </c>
      <c r="P19" s="2">
        <v>26.513408396117253</v>
      </c>
      <c r="Q19" s="2">
        <v>36.423849685755265</v>
      </c>
      <c r="R19" s="2">
        <v>41.594159132594378</v>
      </c>
      <c r="S19" s="2">
        <v>42.165606317431127</v>
      </c>
      <c r="T19" s="2">
        <v>47.189606194271576</v>
      </c>
      <c r="U19" s="2">
        <v>82.31230214815136</v>
      </c>
      <c r="V19" s="2">
        <v>66.813361235067788</v>
      </c>
      <c r="W19" s="2">
        <v>53.035430338956679</v>
      </c>
      <c r="X19" s="2">
        <v>59.040763726887221</v>
      </c>
      <c r="Y19" s="2">
        <v>47.648521685137588</v>
      </c>
      <c r="Z19" s="2">
        <v>34.994550790323309</v>
      </c>
      <c r="AA19" s="2">
        <v>42.29007123639807</v>
      </c>
      <c r="AB19" s="2">
        <v>51.219419694821269</v>
      </c>
      <c r="AC19" s="2">
        <v>54.718437325462212</v>
      </c>
      <c r="AD19" s="2">
        <v>41.69710288992858</v>
      </c>
      <c r="AE19" s="2">
        <v>30.055754863443379</v>
      </c>
      <c r="AF19" s="2">
        <v>72.486288573891997</v>
      </c>
      <c r="AG19" s="2">
        <v>43.259473824211689</v>
      </c>
      <c r="AH19" s="2">
        <v>39.687895763021864</v>
      </c>
      <c r="AI19" s="2">
        <v>29.534715073667464</v>
      </c>
      <c r="AJ19" s="2">
        <v>48.071263857509102</v>
      </c>
      <c r="AK19" s="2">
        <v>52.286889371199599</v>
      </c>
      <c r="AL19" s="2">
        <v>30.4384905141758</v>
      </c>
      <c r="AM19" s="2">
        <v>25.409616284159949</v>
      </c>
      <c r="AN19" s="2">
        <v>37.436206465999931</v>
      </c>
      <c r="AO19" s="2">
        <v>39.499712265294015</v>
      </c>
      <c r="AP19" s="2">
        <v>34.565631587093151</v>
      </c>
      <c r="AQ19" s="2">
        <v>25.630626304103814</v>
      </c>
      <c r="AR19" s="2">
        <v>28.533649969338352</v>
      </c>
      <c r="AS19" s="2">
        <v>32.80193668331389</v>
      </c>
      <c r="AT19" s="2">
        <v>24.184619323504023</v>
      </c>
      <c r="AU19" s="2">
        <v>23.791941769109485</v>
      </c>
      <c r="AV19" s="2">
        <v>34.1007427468966</v>
      </c>
      <c r="AW19" s="2">
        <v>40.123616055675292</v>
      </c>
      <c r="AX19" s="2">
        <v>32.390238338453763</v>
      </c>
      <c r="AY19" s="2">
        <v>26.616283376388548</v>
      </c>
      <c r="AZ19" s="2">
        <v>27.199781326312586</v>
      </c>
      <c r="BA19" s="2">
        <v>37.218318891820715</v>
      </c>
      <c r="BB19" s="2">
        <v>35.592395314743278</v>
      </c>
      <c r="BC19" s="2">
        <v>30.229754803262555</v>
      </c>
      <c r="BD19" s="2">
        <v>30.564097445240463</v>
      </c>
      <c r="BE19" s="2">
        <v>30.689415813241212</v>
      </c>
      <c r="BF19" s="2">
        <v>39.221819196923931</v>
      </c>
      <c r="BG19" s="2">
        <v>26.970260487284914</v>
      </c>
      <c r="BH19" s="2">
        <v>32.855724919573284</v>
      </c>
      <c r="BI19" s="2">
        <v>29.667619336142206</v>
      </c>
      <c r="BJ19" s="2">
        <v>32.39173420894857</v>
      </c>
      <c r="BK19" s="2">
        <v>26.069281016408198</v>
      </c>
      <c r="BL19" s="2">
        <v>25.113991588901094</v>
      </c>
      <c r="BM19" s="2">
        <v>32.085850458171556</v>
      </c>
      <c r="BN19" s="2">
        <v>34.606025730526966</v>
      </c>
      <c r="BO19" s="2">
        <v>26.913043431451129</v>
      </c>
      <c r="BP19" s="2">
        <v>35.882124224338959</v>
      </c>
      <c r="BQ19" s="2">
        <v>57.870601099759206</v>
      </c>
      <c r="BR19" s="2">
        <v>49.165266085799374</v>
      </c>
      <c r="BS19" s="2">
        <v>17.804238575500275</v>
      </c>
      <c r="BT19" s="2">
        <v>22.222984263157837</v>
      </c>
      <c r="BU19" s="2">
        <v>42.637231143542721</v>
      </c>
      <c r="BV19" s="2">
        <v>28.616773909953011</v>
      </c>
      <c r="BW19" s="2">
        <v>26.67922836200167</v>
      </c>
      <c r="BX19" s="2">
        <v>34.079880877172329</v>
      </c>
      <c r="BY19" s="2">
        <v>54.043103704535284</v>
      </c>
      <c r="BZ19" s="2">
        <v>45.435969286885843</v>
      </c>
      <c r="CA19" s="2">
        <v>29.792802357314919</v>
      </c>
    </row>
    <row r="20" spans="1:79" x14ac:dyDescent="0.2">
      <c r="A20" s="2" t="s">
        <v>145</v>
      </c>
      <c r="B20" s="2">
        <v>122.27273147168275</v>
      </c>
      <c r="C20" s="2">
        <v>126.22279930216153</v>
      </c>
      <c r="D20" s="2">
        <v>242.8294922404701</v>
      </c>
      <c r="E20" s="2">
        <v>147.49342494279458</v>
      </c>
      <c r="F20" s="2">
        <v>80.67488019281511</v>
      </c>
      <c r="G20" s="2">
        <v>109.23987726407009</v>
      </c>
      <c r="H20" s="2">
        <v>134.77853936556403</v>
      </c>
      <c r="I20" s="2">
        <v>148.56429843705982</v>
      </c>
      <c r="J20" s="2">
        <v>78.932580990397938</v>
      </c>
      <c r="K20" s="2">
        <v>68.446105617597439</v>
      </c>
      <c r="L20" s="2">
        <v>206.77251361287733</v>
      </c>
      <c r="M20" s="2">
        <v>-175.22589427630851</v>
      </c>
      <c r="N20" s="2">
        <v>167.64001451338387</v>
      </c>
      <c r="O20" s="2">
        <v>78.282162693051646</v>
      </c>
      <c r="P20" s="2">
        <v>75.429881535275669</v>
      </c>
      <c r="Q20" s="2">
        <v>104.6799636273998</v>
      </c>
      <c r="R20" s="2">
        <v>141.4326831461392</v>
      </c>
      <c r="S20" s="2">
        <v>114.49590003940189</v>
      </c>
      <c r="T20" s="2">
        <v>117.02857447708267</v>
      </c>
      <c r="U20" s="2">
        <v>911.55720747302473</v>
      </c>
      <c r="V20" s="2">
        <v>-692.06745855054123</v>
      </c>
      <c r="W20" s="2">
        <v>82.233934436240844</v>
      </c>
      <c r="X20" s="2">
        <v>126.93872689570487</v>
      </c>
      <c r="Y20" s="2">
        <v>225.48176567346857</v>
      </c>
      <c r="Z20" s="2">
        <v>738.2711945843879</v>
      </c>
      <c r="AA20" s="2">
        <v>326.38211941540226</v>
      </c>
      <c r="AB20" s="2">
        <v>166.39180474389823</v>
      </c>
      <c r="AC20" s="2">
        <v>7789.724953306617</v>
      </c>
      <c r="AD20" s="2">
        <v>85.302864371020874</v>
      </c>
      <c r="AE20" s="2">
        <v>75.620370281796809</v>
      </c>
      <c r="AF20" s="2">
        <v>301.96338434517878</v>
      </c>
      <c r="AG20" s="2">
        <v>81.451496514356009</v>
      </c>
      <c r="AH20" s="2">
        <v>71.950687704416794</v>
      </c>
      <c r="AI20" s="2">
        <v>42.659740856658601</v>
      </c>
      <c r="AJ20" s="2">
        <v>105.20299390536206</v>
      </c>
      <c r="AK20" s="2">
        <v>-1902.904337114046</v>
      </c>
      <c r="AL20" s="2">
        <v>85.106498826348542</v>
      </c>
      <c r="AM20" s="2">
        <v>65.893903199177416</v>
      </c>
      <c r="AN20" s="2">
        <v>220.84297361221286</v>
      </c>
      <c r="AO20" s="2">
        <v>133.74472309435546</v>
      </c>
      <c r="AP20" s="2">
        <v>50.98967072096417</v>
      </c>
      <c r="AQ20" s="2">
        <v>63.361117595344993</v>
      </c>
      <c r="AR20" s="2">
        <v>72.077989598162489</v>
      </c>
      <c r="AS20" s="2">
        <v>64.124539408528975</v>
      </c>
      <c r="AT20" s="2">
        <v>35.601473869809865</v>
      </c>
      <c r="AU20" s="2">
        <v>36.688022678806014</v>
      </c>
      <c r="AV20" s="2">
        <v>73.56085136893482</v>
      </c>
      <c r="AW20" s="2">
        <v>390.7206486606508</v>
      </c>
      <c r="AX20" s="2">
        <v>-144.77834154864374</v>
      </c>
      <c r="AY20" s="2">
        <v>97.411616072948391</v>
      </c>
      <c r="AZ20" s="2">
        <v>64.427959523519249</v>
      </c>
      <c r="BA20" s="2">
        <v>-759.44734975777203</v>
      </c>
      <c r="BB20" s="2">
        <v>-335.67302887085543</v>
      </c>
      <c r="BC20" s="2">
        <v>100.67846052506442</v>
      </c>
      <c r="BD20" s="2">
        <v>-711.62928915710279</v>
      </c>
      <c r="BE20" s="2">
        <v>239.55731882407184</v>
      </c>
      <c r="BF20" s="2">
        <v>308.71959085405462</v>
      </c>
      <c r="BG20" s="2">
        <v>45.615130709181855</v>
      </c>
      <c r="BH20" s="2">
        <v>105.70212417562726</v>
      </c>
      <c r="BI20" s="2">
        <v>-1148.5746166025035</v>
      </c>
      <c r="BJ20" s="2">
        <v>-73.813737583628992</v>
      </c>
      <c r="BK20" s="2">
        <v>70.638057632068296</v>
      </c>
      <c r="BL20" s="2">
        <v>75.800804114577716</v>
      </c>
      <c r="BM20" s="2">
        <v>-341.48168527953231</v>
      </c>
      <c r="BN20" s="2">
        <v>-3287.7573502096816</v>
      </c>
      <c r="BO20" s="2">
        <v>86.523537248923063</v>
      </c>
      <c r="BP20" s="2">
        <v>114.53235424830574</v>
      </c>
      <c r="BQ20" s="2">
        <v>84.293574315699146</v>
      </c>
      <c r="BR20" s="2">
        <v>62.209322188336287</v>
      </c>
      <c r="BS20" s="2">
        <v>21.703489383579594</v>
      </c>
      <c r="BT20" s="2">
        <v>27.506407769204429</v>
      </c>
      <c r="BU20" s="2">
        <v>87.891183647604507</v>
      </c>
      <c r="BV20" s="2">
        <v>39.613234939368255</v>
      </c>
      <c r="BW20" s="2">
        <v>40.174095972302901</v>
      </c>
      <c r="BX20" s="2">
        <v>66.296533617450436</v>
      </c>
      <c r="BY20" s="2">
        <v>201.56870000581026</v>
      </c>
      <c r="BZ20" s="2">
        <v>71.611038549983121</v>
      </c>
      <c r="CA20" s="2">
        <v>43.789717231462163</v>
      </c>
    </row>
    <row r="21" spans="1:79" x14ac:dyDescent="0.2">
      <c r="A21" s="2" t="s">
        <v>144</v>
      </c>
      <c r="B21" s="2">
        <v>7.747237095481891</v>
      </c>
      <c r="C21" s="2">
        <v>7.4173166044111039</v>
      </c>
      <c r="D21" s="2">
        <v>6.7712620152374265</v>
      </c>
      <c r="E21" s="2">
        <v>5.9996280675646592</v>
      </c>
      <c r="F21" s="2">
        <v>5.1692676534760951</v>
      </c>
      <c r="G21" s="2">
        <v>6.568317040176435</v>
      </c>
      <c r="H21" s="2">
        <v>6.2183158212022747</v>
      </c>
      <c r="I21" s="2">
        <v>6.6205594167094581</v>
      </c>
      <c r="J21" s="2">
        <v>5.4916315021058226</v>
      </c>
      <c r="K21" s="2">
        <v>4.4839240889635246</v>
      </c>
      <c r="L21" s="2">
        <v>4.1274958492185938</v>
      </c>
      <c r="M21" s="2">
        <v>4.6837338257627943</v>
      </c>
      <c r="N21" s="2">
        <v>4.4896535132044697</v>
      </c>
      <c r="O21" s="2">
        <v>4.0058827365174272</v>
      </c>
      <c r="P21" s="2">
        <v>3.9963980019906002</v>
      </c>
      <c r="Q21" s="2">
        <v>4.9440923293838139</v>
      </c>
      <c r="R21" s="2">
        <v>6.688508438320965</v>
      </c>
      <c r="S21" s="2">
        <v>7.4197649732712634</v>
      </c>
      <c r="T21" s="2">
        <v>7.2444484883788176</v>
      </c>
      <c r="U21" s="2">
        <v>7.7927182524880783</v>
      </c>
      <c r="V21" s="2">
        <v>7.8502487711309117</v>
      </c>
      <c r="W21" s="2">
        <v>7.490198801369929</v>
      </c>
      <c r="X21" s="2">
        <v>6.281805610521678</v>
      </c>
      <c r="Y21" s="2">
        <v>4.7176893854932453</v>
      </c>
      <c r="Z21" s="2">
        <v>4.2385421645490631</v>
      </c>
      <c r="AA21" s="2">
        <v>5.3187866361745284</v>
      </c>
      <c r="AB21" s="2">
        <v>4.5754032489547791</v>
      </c>
      <c r="AC21" s="2">
        <v>4.1470195460175301</v>
      </c>
      <c r="AD21" s="2">
        <v>3.652594470983392</v>
      </c>
      <c r="AE21" s="2">
        <v>3.4278605683062109</v>
      </c>
      <c r="AF21" s="2">
        <v>4.3294892953506539</v>
      </c>
      <c r="AG21" s="2">
        <v>3.7677325235949319</v>
      </c>
      <c r="AH21" s="2">
        <v>3.9721526117054968</v>
      </c>
      <c r="AI21" s="2">
        <v>4.0360343198726856</v>
      </c>
      <c r="AJ21" s="2">
        <v>3.9238562695138239</v>
      </c>
      <c r="AK21" s="2">
        <v>4.0296211310988035</v>
      </c>
      <c r="AL21" s="2">
        <v>3.3670881659916438</v>
      </c>
      <c r="AM21" s="2">
        <v>3.4629789528823318</v>
      </c>
      <c r="AN21" s="2">
        <v>3.6881352029037218</v>
      </c>
      <c r="AO21" s="2">
        <v>3.5218121779121736</v>
      </c>
      <c r="AP21" s="2">
        <v>3.281882671617725</v>
      </c>
      <c r="AQ21" s="2">
        <v>3.1055392373097761</v>
      </c>
      <c r="AR21" s="2">
        <v>2.9288175459041437</v>
      </c>
      <c r="AS21" s="2">
        <v>3.4157928951254544</v>
      </c>
      <c r="AT21" s="2">
        <v>3.3570658226497425</v>
      </c>
      <c r="AU21" s="2">
        <v>3.5765600736035359</v>
      </c>
      <c r="AV21" s="2">
        <v>3.2533053245948356</v>
      </c>
      <c r="AW21" s="2">
        <v>3.7410018740320177</v>
      </c>
      <c r="AX21" s="2">
        <v>3.4224311572933979</v>
      </c>
      <c r="AY21" s="2">
        <v>3.2805050780941287</v>
      </c>
      <c r="AZ21" s="2">
        <v>3.2415361606832089</v>
      </c>
      <c r="BA21" s="2">
        <v>3.7541388417990547</v>
      </c>
      <c r="BB21" s="2">
        <v>3.4178488183045936</v>
      </c>
      <c r="BC21" s="2">
        <v>3.6311945276506847</v>
      </c>
      <c r="BD21" s="2">
        <v>3.416247520464557</v>
      </c>
      <c r="BE21" s="2">
        <v>3.3585174948880439</v>
      </c>
      <c r="BF21" s="2">
        <v>3.3292487831360078</v>
      </c>
      <c r="BG21" s="2">
        <v>3.1439710250279278</v>
      </c>
      <c r="BH21" s="2">
        <v>3.0301452154447293</v>
      </c>
      <c r="BI21" s="2">
        <v>3.3175657404273244</v>
      </c>
      <c r="BJ21" s="2">
        <v>3.0105340623960961</v>
      </c>
      <c r="BK21" s="2">
        <v>3.2039838706222072</v>
      </c>
      <c r="BL21" s="2">
        <v>2.9935087873258861</v>
      </c>
      <c r="BM21" s="2">
        <v>3.1862623417347851</v>
      </c>
      <c r="BN21" s="2">
        <v>3.0163782082550603</v>
      </c>
      <c r="BO21" s="2">
        <v>3.3703285547040926</v>
      </c>
      <c r="BP21" s="2">
        <v>3.6166240140554216</v>
      </c>
      <c r="BQ21" s="2">
        <v>3.2718307538022091</v>
      </c>
      <c r="BR21" s="2">
        <v>2.7350492126127328</v>
      </c>
      <c r="BS21" s="2">
        <v>2.4016891946107402</v>
      </c>
      <c r="BT21" s="2">
        <v>2.9625015064229183</v>
      </c>
      <c r="BU21" s="2">
        <v>3.7664951877073989</v>
      </c>
      <c r="BV21" s="2">
        <v>3.2211718899602531</v>
      </c>
      <c r="BW21" s="2">
        <v>3.3549631586342539</v>
      </c>
      <c r="BX21" s="2">
        <v>3.3738462475986708</v>
      </c>
      <c r="BY21" s="2">
        <v>3.9661806260902721</v>
      </c>
      <c r="BZ21" s="2">
        <v>3.299056359333389</v>
      </c>
      <c r="CA21" s="2">
        <v>3.9208934556786925</v>
      </c>
    </row>
    <row r="22" spans="1:79" x14ac:dyDescent="0.2">
      <c r="A22" s="2" t="s">
        <v>143</v>
      </c>
      <c r="B22" s="2">
        <v>7.747237095481891</v>
      </c>
      <c r="C22" s="2">
        <v>7.4173166044111039</v>
      </c>
      <c r="D22" s="2">
        <v>6.7712620152374265</v>
      </c>
      <c r="E22" s="2">
        <v>5.9996280675646592</v>
      </c>
      <c r="F22" s="2">
        <v>5.1692676534760951</v>
      </c>
      <c r="G22" s="2">
        <v>6.568317040176435</v>
      </c>
      <c r="H22" s="2">
        <v>6.2183158212022747</v>
      </c>
      <c r="I22" s="2">
        <v>6.6205594167094581</v>
      </c>
      <c r="J22" s="2">
        <v>5.4916315021058226</v>
      </c>
      <c r="K22" s="2">
        <v>4.4839240889635246</v>
      </c>
      <c r="L22" s="2">
        <v>4.1274958492185938</v>
      </c>
      <c r="M22" s="2">
        <v>4.6837338257627943</v>
      </c>
      <c r="N22" s="2">
        <v>4.4896535132044697</v>
      </c>
      <c r="O22" s="2">
        <v>4.0058827365174272</v>
      </c>
      <c r="P22" s="2">
        <v>3.9963980019906002</v>
      </c>
      <c r="Q22" s="2">
        <v>4.9440923293838139</v>
      </c>
      <c r="R22" s="2">
        <v>6.688508438320965</v>
      </c>
      <c r="S22" s="2">
        <v>7.4197649732712634</v>
      </c>
      <c r="T22" s="2">
        <v>7.2444484883788176</v>
      </c>
      <c r="U22" s="2">
        <v>7.7927182524880783</v>
      </c>
      <c r="V22" s="2">
        <v>7.8502487711309117</v>
      </c>
      <c r="W22" s="2">
        <v>7.490198801369929</v>
      </c>
      <c r="X22" s="2">
        <v>6.281805610521678</v>
      </c>
      <c r="Y22" s="2">
        <v>4.7176893854932453</v>
      </c>
      <c r="Z22" s="2">
        <v>4.2385421645490631</v>
      </c>
      <c r="AA22" s="2">
        <v>5.3187866361745284</v>
      </c>
      <c r="AB22" s="2">
        <v>4.5754032489547791</v>
      </c>
      <c r="AC22" s="2">
        <v>4.1470195460175301</v>
      </c>
      <c r="AD22" s="2">
        <v>3.652594470983392</v>
      </c>
      <c r="AE22" s="2">
        <v>3.4278605683062109</v>
      </c>
      <c r="AF22" s="2">
        <v>4.3294892953506539</v>
      </c>
      <c r="AG22" s="2">
        <v>3.7677325235949319</v>
      </c>
      <c r="AH22" s="2">
        <v>3.9721526117054968</v>
      </c>
      <c r="AI22" s="2">
        <v>4.0360343198726856</v>
      </c>
      <c r="AJ22" s="2">
        <v>3.9238562695138239</v>
      </c>
      <c r="AK22" s="2">
        <v>4.0296211310988035</v>
      </c>
      <c r="AL22" s="2">
        <v>3.3670881659916438</v>
      </c>
      <c r="AM22" s="2">
        <v>3.4629789528823318</v>
      </c>
      <c r="AN22" s="2">
        <v>3.6881352029037218</v>
      </c>
      <c r="AO22" s="2">
        <v>3.5218121779121736</v>
      </c>
      <c r="AP22" s="2">
        <v>3.281882671617725</v>
      </c>
      <c r="AQ22" s="2">
        <v>3.1055392373097761</v>
      </c>
      <c r="AR22" s="2">
        <v>2.9288175459041437</v>
      </c>
      <c r="AS22" s="2">
        <v>3.4157928951254544</v>
      </c>
      <c r="AT22" s="2">
        <v>3.3570658226497425</v>
      </c>
      <c r="AU22" s="2">
        <v>3.5765600736035359</v>
      </c>
      <c r="AV22" s="2">
        <v>3.2533053245948356</v>
      </c>
      <c r="AW22" s="2">
        <v>3.7410018740320177</v>
      </c>
      <c r="AX22" s="2">
        <v>3.4224311572933979</v>
      </c>
      <c r="AY22" s="2">
        <v>3.2805050780941287</v>
      </c>
      <c r="AZ22" s="2">
        <v>3.2415361606832089</v>
      </c>
      <c r="BA22" s="2">
        <v>3.7541388417990547</v>
      </c>
      <c r="BB22" s="2">
        <v>3.4178488183045936</v>
      </c>
      <c r="BC22" s="2">
        <v>3.6311945276506847</v>
      </c>
      <c r="BD22" s="2">
        <v>3.416247520464557</v>
      </c>
      <c r="BE22" s="2">
        <v>3.3585174948880439</v>
      </c>
      <c r="BF22" s="2">
        <v>3.3292487831360078</v>
      </c>
      <c r="BG22" s="2">
        <v>3.1439710250279278</v>
      </c>
      <c r="BH22" s="2">
        <v>3.0301452154447293</v>
      </c>
      <c r="BI22" s="2">
        <v>3.3175657404273244</v>
      </c>
      <c r="BJ22" s="2">
        <v>3.0105340623960961</v>
      </c>
      <c r="BK22" s="2">
        <v>3.2039838706222072</v>
      </c>
      <c r="BL22" s="2">
        <v>2.9935087873258861</v>
      </c>
      <c r="BM22" s="2">
        <v>3.1862623417347851</v>
      </c>
      <c r="BN22" s="2">
        <v>3.0163782082550603</v>
      </c>
      <c r="BO22" s="2">
        <v>3.3703285547040926</v>
      </c>
      <c r="BP22" s="2">
        <v>3.6166240140554216</v>
      </c>
      <c r="BQ22" s="2">
        <v>3.2718307538022091</v>
      </c>
      <c r="BR22" s="2">
        <v>2.7350492126127328</v>
      </c>
      <c r="BS22" s="2">
        <v>2.4016891946107402</v>
      </c>
      <c r="BT22" s="2">
        <v>2.9625015064229183</v>
      </c>
      <c r="BU22" s="2">
        <v>3.7664951877073989</v>
      </c>
      <c r="BV22" s="2">
        <v>3.2211718899602531</v>
      </c>
      <c r="BW22" s="2">
        <v>3.3549631586342539</v>
      </c>
      <c r="BX22" s="2">
        <v>3.3738462475986708</v>
      </c>
      <c r="BY22" s="2">
        <v>3.9661806260902721</v>
      </c>
      <c r="BZ22" s="2">
        <v>3.299056359333389</v>
      </c>
      <c r="CA22" s="2">
        <v>3.9208934556786925</v>
      </c>
    </row>
    <row r="23" spans="1:79" x14ac:dyDescent="0.2">
      <c r="A23" s="2" t="s">
        <v>142</v>
      </c>
      <c r="B23" s="2">
        <v>38.461493215342877</v>
      </c>
      <c r="C23" s="2">
        <v>36.79949727174526</v>
      </c>
      <c r="D23" s="2">
        <v>32.729498424111895</v>
      </c>
      <c r="E23" s="2">
        <v>27.986091336186217</v>
      </c>
      <c r="F23" s="2">
        <v>26.543157504164412</v>
      </c>
      <c r="G23" s="2">
        <v>30.855850838437188</v>
      </c>
      <c r="H23" s="2">
        <v>31.526580397975764</v>
      </c>
      <c r="I23" s="2">
        <v>36.120792899317983</v>
      </c>
      <c r="J23" s="2">
        <v>32.522771670552466</v>
      </c>
      <c r="K23" s="2">
        <v>23.769558570425993</v>
      </c>
      <c r="L23" s="2">
        <v>24.660704047496676</v>
      </c>
      <c r="M23" s="2">
        <v>30.371179445430862</v>
      </c>
      <c r="N23" s="2">
        <v>26.203140231728547</v>
      </c>
      <c r="O23" s="2">
        <v>17.864024566511461</v>
      </c>
      <c r="P23" s="2">
        <v>17.198398009906807</v>
      </c>
      <c r="Q23" s="2">
        <v>22.436621754988622</v>
      </c>
      <c r="R23" s="2">
        <v>30.803489191170261</v>
      </c>
      <c r="S23" s="2">
        <v>35.676244131904674</v>
      </c>
      <c r="T23" s="2">
        <v>35.664257369104241</v>
      </c>
      <c r="U23" s="2">
        <v>40.991109645661297</v>
      </c>
      <c r="V23" s="2">
        <v>41.373185966632342</v>
      </c>
      <c r="W23" s="2">
        <v>37.199789191139381</v>
      </c>
      <c r="X23" s="2">
        <v>30.934451114963476</v>
      </c>
      <c r="Y23" s="2">
        <v>25.557922435483579</v>
      </c>
      <c r="Z23" s="2">
        <v>22.200414772540128</v>
      </c>
      <c r="AA23" s="2">
        <v>26.220209433325874</v>
      </c>
      <c r="AB23" s="2">
        <v>23.662706257667928</v>
      </c>
      <c r="AC23" s="2">
        <v>24.570995344823462</v>
      </c>
      <c r="AD23" s="2">
        <v>26.743361042443158</v>
      </c>
      <c r="AE23" s="2">
        <v>18.271181415669616</v>
      </c>
      <c r="AF23" s="2">
        <v>24.821346468967622</v>
      </c>
      <c r="AG23" s="2">
        <v>21.850358178023264</v>
      </c>
      <c r="AH23" s="2">
        <v>23.960257877274795</v>
      </c>
      <c r="AI23" s="2">
        <v>20.494712778378187</v>
      </c>
      <c r="AJ23" s="2">
        <v>21.229134333992786</v>
      </c>
      <c r="AK23" s="2">
        <v>23.338781497306613</v>
      </c>
      <c r="AL23" s="2">
        <v>19.344357961283674</v>
      </c>
      <c r="AM23" s="2">
        <v>16.833871946378345</v>
      </c>
      <c r="AN23" s="2">
        <v>17.11917560011938</v>
      </c>
      <c r="AO23" s="2">
        <v>17.183592466853796</v>
      </c>
      <c r="AP23" s="2">
        <v>18.669823003035173</v>
      </c>
      <c r="AQ23" s="2">
        <v>16.70653520687755</v>
      </c>
      <c r="AR23" s="2">
        <v>14.496175804560215</v>
      </c>
      <c r="AS23" s="2">
        <v>16.172916474711496</v>
      </c>
      <c r="AT23" s="2">
        <v>16.071628693405234</v>
      </c>
      <c r="AU23" s="2">
        <v>15.944845972183721</v>
      </c>
      <c r="AV23" s="2">
        <v>14.992521607438512</v>
      </c>
      <c r="AW23" s="2">
        <v>17.874743297878442</v>
      </c>
      <c r="AX23" s="2">
        <v>20.766428459652317</v>
      </c>
      <c r="AY23" s="2">
        <v>18.651935629440381</v>
      </c>
      <c r="AZ23" s="2">
        <v>16.110901545602115</v>
      </c>
      <c r="BA23" s="2">
        <v>17.810358138721487</v>
      </c>
      <c r="BB23" s="2">
        <v>19.550984171744709</v>
      </c>
      <c r="BC23" s="2">
        <v>19.466115586570062</v>
      </c>
      <c r="BD23" s="2">
        <v>16.064445652512958</v>
      </c>
      <c r="BE23" s="2">
        <v>15.606486187735301</v>
      </c>
      <c r="BF23" s="2">
        <v>19.885434031552617</v>
      </c>
      <c r="BG23" s="2">
        <v>17.876777824995514</v>
      </c>
      <c r="BH23" s="2">
        <v>16.52825822519025</v>
      </c>
      <c r="BI23" s="2">
        <v>15.924337911897657</v>
      </c>
      <c r="BJ23" s="2">
        <v>16.517891373295594</v>
      </c>
      <c r="BK23" s="2">
        <v>15.694401695161377</v>
      </c>
      <c r="BL23" s="2">
        <v>13.525301024665323</v>
      </c>
      <c r="BM23" s="2">
        <v>13.615271536926915</v>
      </c>
      <c r="BN23" s="2">
        <v>15.683655820971804</v>
      </c>
      <c r="BO23" s="2">
        <v>16.331615318254553</v>
      </c>
      <c r="BP23" s="2">
        <v>17.035652385600301</v>
      </c>
      <c r="BQ23" s="2">
        <v>15.960822772597423</v>
      </c>
      <c r="BR23" s="2">
        <v>28.111844502470699</v>
      </c>
      <c r="BS23" s="2">
        <v>14.719701007382115</v>
      </c>
      <c r="BT23" s="2">
        <v>13.58602299191681</v>
      </c>
      <c r="BU23" s="2">
        <v>17.936016407987957</v>
      </c>
      <c r="BV23" s="2">
        <v>17.145785196464296</v>
      </c>
      <c r="BW23" s="2">
        <v>16.085110643073673</v>
      </c>
      <c r="BX23" s="2">
        <v>18.256915082493112</v>
      </c>
      <c r="BY23" s="2">
        <v>23.65728996133144</v>
      </c>
      <c r="BZ23" s="2">
        <v>24.829561264675469</v>
      </c>
      <c r="CA23" s="2">
        <v>144.30349467567837</v>
      </c>
    </row>
    <row r="24" spans="1:79" x14ac:dyDescent="0.2">
      <c r="A24" s="2" t="s">
        <v>141</v>
      </c>
      <c r="B24" s="2">
        <v>51.121353460298856</v>
      </c>
      <c r="C24" s="2">
        <v>51.12349945417747</v>
      </c>
      <c r="D24" s="2">
        <v>47.081649540220532</v>
      </c>
      <c r="E24" s="2">
        <v>39.777753053365402</v>
      </c>
      <c r="F24" s="2">
        <v>36.67850672394993</v>
      </c>
      <c r="G24" s="2">
        <v>43.103008459228434</v>
      </c>
      <c r="H24" s="2">
        <v>43.150065196057703</v>
      </c>
      <c r="I24" s="2">
        <v>51.31182469157519</v>
      </c>
      <c r="J24" s="2">
        <v>45.005893753245616</v>
      </c>
      <c r="K24" s="2">
        <v>34.430078872933606</v>
      </c>
      <c r="L24" s="2">
        <v>34.365794297189886</v>
      </c>
      <c r="M24" s="2">
        <v>42.748453286155424</v>
      </c>
      <c r="N24" s="2">
        <v>37.274119664273023</v>
      </c>
      <c r="O24" s="2">
        <v>25.084877370557475</v>
      </c>
      <c r="P24" s="2">
        <v>24.788224126336974</v>
      </c>
      <c r="Q24" s="2">
        <v>31.362113345625872</v>
      </c>
      <c r="R24" s="2">
        <v>44.480986472009334</v>
      </c>
      <c r="S24" s="2">
        <v>52.545271523534097</v>
      </c>
      <c r="T24" s="2">
        <v>52.40346531114421</v>
      </c>
      <c r="U24" s="2">
        <v>59.979568249568928</v>
      </c>
      <c r="V24" s="2">
        <v>58.40247960243736</v>
      </c>
      <c r="W24" s="2">
        <v>51.851831791847111</v>
      </c>
      <c r="X24" s="2">
        <v>44.064395809792352</v>
      </c>
      <c r="Y24" s="2">
        <v>38.226721347629187</v>
      </c>
      <c r="Z24" s="2">
        <v>34.26496999469056</v>
      </c>
      <c r="AA24" s="2">
        <v>42.419213361348035</v>
      </c>
      <c r="AB24" s="2">
        <v>38.534771900885374</v>
      </c>
      <c r="AC24" s="2">
        <v>37.856474559608735</v>
      </c>
      <c r="AD24" s="2">
        <v>39.890178296212916</v>
      </c>
      <c r="AE24" s="2">
        <v>28.907141039780733</v>
      </c>
      <c r="AF24" s="2">
        <v>37.298632561002464</v>
      </c>
      <c r="AG24" s="2">
        <v>31.924486928629335</v>
      </c>
      <c r="AH24" s="2">
        <v>34.491961420559193</v>
      </c>
      <c r="AI24" s="2">
        <v>31.030595129990747</v>
      </c>
      <c r="AJ24" s="2">
        <v>31.021950628438468</v>
      </c>
      <c r="AK24" s="2">
        <v>34.426266505976521</v>
      </c>
      <c r="AL24" s="2">
        <v>28.492930385554061</v>
      </c>
      <c r="AM24" s="2">
        <v>26.080087366811931</v>
      </c>
      <c r="AN24" s="2">
        <v>26.963261434200415</v>
      </c>
      <c r="AO24" s="2">
        <v>25.493632607720187</v>
      </c>
      <c r="AP24" s="2">
        <v>29.457185432831078</v>
      </c>
      <c r="AQ24" s="2">
        <v>24.681536330567575</v>
      </c>
      <c r="AR24" s="2">
        <v>21.952909029132769</v>
      </c>
      <c r="AS24" s="2">
        <v>21.64006413557393</v>
      </c>
      <c r="AT24" s="2">
        <v>24.687701544246746</v>
      </c>
      <c r="AU24" s="2">
        <v>24.215221420161566</v>
      </c>
      <c r="AV24" s="2">
        <v>22.00546783606125</v>
      </c>
      <c r="AW24" s="2">
        <v>27.06423543743055</v>
      </c>
      <c r="AX24" s="2">
        <v>32.161050864888381</v>
      </c>
      <c r="AY24" s="2">
        <v>29.315176466994807</v>
      </c>
      <c r="AZ24" s="2">
        <v>26.048728153485595</v>
      </c>
      <c r="BA24" s="2">
        <v>28.116915488584628</v>
      </c>
      <c r="BB24" s="2">
        <v>31.370794993581072</v>
      </c>
      <c r="BC24" s="2">
        <v>30.868268393627609</v>
      </c>
      <c r="BD24" s="2">
        <v>25.625692937063778</v>
      </c>
      <c r="BE24" s="2">
        <v>25.404795936725989</v>
      </c>
      <c r="BF24" s="2">
        <v>32.891997577815992</v>
      </c>
      <c r="BG24" s="2">
        <v>30.403565672773478</v>
      </c>
      <c r="BH24" s="2">
        <v>29.18592006459151</v>
      </c>
      <c r="BI24" s="2">
        <v>26.528115600710635</v>
      </c>
      <c r="BJ24" s="2">
        <v>26.676587095489577</v>
      </c>
      <c r="BK24" s="2">
        <v>26.068800021764517</v>
      </c>
      <c r="BL24" s="2">
        <v>21.037639998579913</v>
      </c>
      <c r="BM24" s="2">
        <v>22.456288193210536</v>
      </c>
      <c r="BN24" s="2">
        <v>25.638412984742828</v>
      </c>
      <c r="BO24" s="2">
        <v>26.983875535846984</v>
      </c>
      <c r="BP24" s="2">
        <v>28.342087628570383</v>
      </c>
      <c r="BQ24" s="2">
        <v>26.21699119090988</v>
      </c>
      <c r="BR24" s="2">
        <v>52.035749330106526</v>
      </c>
      <c r="BS24" s="2">
        <v>28.740112543010888</v>
      </c>
      <c r="BT24" s="2">
        <v>22.066826917614517</v>
      </c>
      <c r="BU24" s="2">
        <v>32.538268768394751</v>
      </c>
      <c r="BV24" s="2">
        <v>29.09189496916002</v>
      </c>
      <c r="BW24" s="2">
        <v>26.554727892452981</v>
      </c>
      <c r="BX24" s="2">
        <v>31.419924709107121</v>
      </c>
      <c r="BY24" s="2">
        <v>38.867502330237706</v>
      </c>
      <c r="BZ24" s="2">
        <v>42.231658944141984</v>
      </c>
      <c r="CA24" s="2">
        <v>-126.62123023337894</v>
      </c>
    </row>
    <row r="25" spans="1:79" x14ac:dyDescent="0.2">
      <c r="A25" s="2" t="s">
        <v>140</v>
      </c>
      <c r="B25" s="2">
        <v>60.246313396389027</v>
      </c>
      <c r="C25" s="2">
        <v>51.514281228798609</v>
      </c>
      <c r="D25" s="2">
        <v>75.907493682481743</v>
      </c>
      <c r="E25" s="2">
        <v>50.38004144902127</v>
      </c>
      <c r="F25" s="2">
        <v>35.609636570510915</v>
      </c>
      <c r="G25" s="2">
        <v>43.206825912157818</v>
      </c>
      <c r="H25" s="2">
        <v>61.099376748992476</v>
      </c>
      <c r="I25" s="2">
        <v>64.415592773879482</v>
      </c>
      <c r="J25" s="2">
        <v>44.175891187716452</v>
      </c>
      <c r="K25" s="2">
        <v>37.658196847242728</v>
      </c>
      <c r="L25" s="2">
        <v>45.75950067497434</v>
      </c>
      <c r="M25" s="2">
        <v>87.317742775235573</v>
      </c>
      <c r="N25" s="2">
        <v>34.59562081242666</v>
      </c>
      <c r="O25" s="2">
        <v>22.951184738600972</v>
      </c>
      <c r="P25" s="2">
        <v>25.551538083279155</v>
      </c>
      <c r="Q25" s="2">
        <v>35.367671441464935</v>
      </c>
      <c r="R25" s="2">
        <v>40.645035943926736</v>
      </c>
      <c r="S25" s="2">
        <v>41.342341165654474</v>
      </c>
      <c r="T25" s="2">
        <v>46.402959199348132</v>
      </c>
      <c r="U25" s="2">
        <v>81.384351489813042</v>
      </c>
      <c r="V25" s="2">
        <v>65.816646732863973</v>
      </c>
      <c r="W25" s="2">
        <v>51.907125416293994</v>
      </c>
      <c r="X25" s="2">
        <v>57.980620228208231</v>
      </c>
      <c r="Y25" s="2">
        <v>46.60840318521111</v>
      </c>
      <c r="Z25" s="2">
        <v>33.961655403653232</v>
      </c>
      <c r="AA25" s="2">
        <v>40.984678459339001</v>
      </c>
      <c r="AB25" s="2">
        <v>48.914529844165557</v>
      </c>
      <c r="AC25" s="2">
        <v>50.296510463546568</v>
      </c>
      <c r="AD25" s="2">
        <v>38.311568712804728</v>
      </c>
      <c r="AE25" s="2">
        <v>27.957979585155144</v>
      </c>
      <c r="AF25" s="2">
        <v>68.682631523262742</v>
      </c>
      <c r="AG25" s="2">
        <v>39.267941355606418</v>
      </c>
      <c r="AH25" s="2">
        <v>36.964927255851791</v>
      </c>
      <c r="AI25" s="2">
        <v>27.871902735610675</v>
      </c>
      <c r="AJ25" s="2">
        <v>45.829225187880674</v>
      </c>
      <c r="AK25" s="2">
        <v>48.2597782716079</v>
      </c>
      <c r="AL25" s="2">
        <v>28.104190142201841</v>
      </c>
      <c r="AM25" s="2">
        <v>23.83267793992885</v>
      </c>
      <c r="AN25" s="2">
        <v>35.267385578016295</v>
      </c>
      <c r="AO25" s="2">
        <v>35.728332419869737</v>
      </c>
      <c r="AP25" s="2">
        <v>31.256843508594621</v>
      </c>
      <c r="AQ25" s="2">
        <v>23.503698597189558</v>
      </c>
      <c r="AR25" s="2">
        <v>26.077556335780468</v>
      </c>
      <c r="AS25" s="2">
        <v>29.915022044501509</v>
      </c>
      <c r="AT25" s="2">
        <v>22.872570825196696</v>
      </c>
      <c r="AU25" s="2">
        <v>23.090598433451845</v>
      </c>
      <c r="AV25" s="2">
        <v>34.348532414021669</v>
      </c>
      <c r="AW25" s="2">
        <v>40.017266967982174</v>
      </c>
      <c r="AX25" s="2">
        <v>32.451040244266608</v>
      </c>
      <c r="AY25" s="2">
        <v>26.465790637848546</v>
      </c>
      <c r="AZ25" s="2">
        <v>27.331976383358665</v>
      </c>
      <c r="BA25" s="2">
        <v>36.90192836512125</v>
      </c>
      <c r="BB25" s="2">
        <v>35.280299142831574</v>
      </c>
      <c r="BC25" s="2">
        <v>29.919958823282233</v>
      </c>
      <c r="BD25" s="2">
        <v>30.151174537255446</v>
      </c>
      <c r="BE25" s="2">
        <v>29.085235476454304</v>
      </c>
      <c r="BF25" s="2">
        <v>37.461811778958165</v>
      </c>
      <c r="BG25" s="2">
        <v>25.699954197482043</v>
      </c>
      <c r="BH25" s="2">
        <v>31.878679364340126</v>
      </c>
      <c r="BI25" s="2">
        <v>27.904835989141397</v>
      </c>
      <c r="BJ25" s="2">
        <v>30.819285046858617</v>
      </c>
      <c r="BK25" s="2">
        <v>24.497159179038391</v>
      </c>
      <c r="BL25" s="2">
        <v>23.739243158716917</v>
      </c>
      <c r="BM25" s="2">
        <v>29.20942066423251</v>
      </c>
      <c r="BN25" s="2">
        <v>31.40756410186507</v>
      </c>
      <c r="BO25" s="2">
        <v>24.259130381128475</v>
      </c>
      <c r="BP25" s="2">
        <v>32.839211822413027</v>
      </c>
      <c r="BQ25" s="2">
        <v>48.299882341667498</v>
      </c>
      <c r="BR25" s="2">
        <v>41.451679727140913</v>
      </c>
      <c r="BS25" s="2">
        <v>15.156964876928249</v>
      </c>
      <c r="BT25" s="2">
        <v>20.507170191751126</v>
      </c>
      <c r="BU25" s="2">
        <v>39.208665304468454</v>
      </c>
      <c r="BV25" s="2">
        <v>26.178589983938849</v>
      </c>
      <c r="BW25" s="2">
        <v>25.376280052545322</v>
      </c>
      <c r="BX25" s="2">
        <v>32.448680967729686</v>
      </c>
      <c r="BY25" s="2">
        <v>49.872091587097152</v>
      </c>
      <c r="BZ25" s="2">
        <v>42.231658944141984</v>
      </c>
      <c r="CA25" s="2">
        <v>27.740284842979793</v>
      </c>
    </row>
    <row r="26" spans="1:79" x14ac:dyDescent="0.2">
      <c r="A26" s="2" t="s">
        <v>139</v>
      </c>
      <c r="B26" s="2">
        <v>116.86254320795814</v>
      </c>
      <c r="C26" s="2">
        <v>120.87458975131025</v>
      </c>
      <c r="D26" s="2">
        <v>232.4595853046055</v>
      </c>
      <c r="E26" s="2">
        <v>140.24049099391584</v>
      </c>
      <c r="F26" s="2">
        <v>76.171798079135655</v>
      </c>
      <c r="G26" s="2">
        <v>105.00556048875984</v>
      </c>
      <c r="H26" s="2">
        <v>130.10305390420893</v>
      </c>
      <c r="I26" s="2">
        <v>143.98633304416379</v>
      </c>
      <c r="J26" s="2">
        <v>76.198189297400489</v>
      </c>
      <c r="K26" s="2">
        <v>66.179794288486619</v>
      </c>
      <c r="L26" s="2">
        <v>201.72332488865945</v>
      </c>
      <c r="M26" s="2">
        <v>-171.33611850279402</v>
      </c>
      <c r="N26" s="2">
        <v>161.66689258514168</v>
      </c>
      <c r="O26" s="2">
        <v>75.221736172682753</v>
      </c>
      <c r="P26" s="2">
        <v>72.693388261166803</v>
      </c>
      <c r="Q26" s="2">
        <v>101.64457057723573</v>
      </c>
      <c r="R26" s="2">
        <v>138.20537811079612</v>
      </c>
      <c r="S26" s="2">
        <v>112.26041731411789</v>
      </c>
      <c r="T26" s="2">
        <v>115.07771741644996</v>
      </c>
      <c r="U26" s="2">
        <v>901.28073495661818</v>
      </c>
      <c r="V26" s="2">
        <v>-681.74327099748916</v>
      </c>
      <c r="W26" s="2">
        <v>80.48444447375104</v>
      </c>
      <c r="X26" s="2">
        <v>124.65939889324909</v>
      </c>
      <c r="Y26" s="2">
        <v>220.55972932105399</v>
      </c>
      <c r="Z26" s="2">
        <v>716.48046163380275</v>
      </c>
      <c r="AA26" s="2">
        <v>316.3074884490822</v>
      </c>
      <c r="AB26" s="2">
        <v>158.90412166838547</v>
      </c>
      <c r="AC26" s="2">
        <v>7160.2187813178116</v>
      </c>
      <c r="AD26" s="2">
        <v>78.376825324686862</v>
      </c>
      <c r="AE26" s="2">
        <v>70.342361327009186</v>
      </c>
      <c r="AF26" s="2">
        <v>286.11810962504228</v>
      </c>
      <c r="AG26" s="2">
        <v>73.936003046389274</v>
      </c>
      <c r="AH26" s="2">
        <v>67.014183691752578</v>
      </c>
      <c r="AI26" s="2">
        <v>40.25798606546369</v>
      </c>
      <c r="AJ26" s="2">
        <v>100.29633737984071</v>
      </c>
      <c r="AK26" s="2">
        <v>-1756.3435592668527</v>
      </c>
      <c r="AL26" s="2">
        <v>78.579758225489073</v>
      </c>
      <c r="AM26" s="2">
        <v>61.804482035009272</v>
      </c>
      <c r="AN26" s="2">
        <v>208.04870572693466</v>
      </c>
      <c r="AO26" s="2">
        <v>120.97495531169011</v>
      </c>
      <c r="AP26" s="2">
        <v>46.108694824921535</v>
      </c>
      <c r="AQ26" s="2">
        <v>58.103168961720925</v>
      </c>
      <c r="AR26" s="2">
        <v>65.873725805695301</v>
      </c>
      <c r="AS26" s="2">
        <v>58.480907042768266</v>
      </c>
      <c r="AT26" s="2">
        <v>33.670045481230055</v>
      </c>
      <c r="AU26" s="2">
        <v>35.606526243838907</v>
      </c>
      <c r="AV26" s="2">
        <v>74.095374004099511</v>
      </c>
      <c r="AW26" s="2">
        <v>389.68502952626704</v>
      </c>
      <c r="AX26" s="2">
        <v>-145.05011475989949</v>
      </c>
      <c r="AY26" s="2">
        <v>96.860835159583516</v>
      </c>
      <c r="AZ26" s="2">
        <v>64.741089165349678</v>
      </c>
      <c r="BA26" s="2">
        <v>-752.99133685485765</v>
      </c>
      <c r="BB26" s="2">
        <v>-332.72963980141543</v>
      </c>
      <c r="BC26" s="2">
        <v>99.646702823281586</v>
      </c>
      <c r="BD26" s="2">
        <v>-702.01513202347473</v>
      </c>
      <c r="BE26" s="2">
        <v>227.03530984450822</v>
      </c>
      <c r="BF26" s="2">
        <v>294.8663637192688</v>
      </c>
      <c r="BG26" s="2">
        <v>43.466646178327132</v>
      </c>
      <c r="BH26" s="2">
        <v>102.55881229140293</v>
      </c>
      <c r="BI26" s="2">
        <v>-1080.3288910525544</v>
      </c>
      <c r="BJ26" s="2">
        <v>-70.23046695460414</v>
      </c>
      <c r="BK26" s="2">
        <v>66.378192049934867</v>
      </c>
      <c r="BL26" s="2">
        <v>71.651442349669438</v>
      </c>
      <c r="BM26" s="2">
        <v>-310.8685620617743</v>
      </c>
      <c r="BN26" s="2">
        <v>-2983.8864055689473</v>
      </c>
      <c r="BO26" s="2">
        <v>77.991393894349883</v>
      </c>
      <c r="BP26" s="2">
        <v>104.81966502776213</v>
      </c>
      <c r="BQ26" s="2">
        <v>70.352988291732373</v>
      </c>
      <c r="BR26" s="2">
        <v>52.449241195874443</v>
      </c>
      <c r="BS26" s="2">
        <v>18.476444521832509</v>
      </c>
      <c r="BT26" s="2">
        <v>25.382665928532962</v>
      </c>
      <c r="BU26" s="2">
        <v>80.823634894368524</v>
      </c>
      <c r="BV26" s="2">
        <v>36.238139165452317</v>
      </c>
      <c r="BW26" s="2">
        <v>38.212091310069034</v>
      </c>
      <c r="BX26" s="2">
        <v>63.123315376961109</v>
      </c>
      <c r="BY26" s="2">
        <v>186.01175688838651</v>
      </c>
      <c r="BZ26" s="2">
        <v>66.560766814136826</v>
      </c>
      <c r="CA26" s="2">
        <v>40.772909329761333</v>
      </c>
    </row>
    <row r="27" spans="1:79" x14ac:dyDescent="0.2">
      <c r="A27" s="3" t="s">
        <v>138</v>
      </c>
      <c r="B27" s="3">
        <v>1.2543750229125902E-2</v>
      </c>
      <c r="C27" s="3">
        <v>1.2581053481333353E-2</v>
      </c>
      <c r="D27" s="3">
        <v>1.3363984523050931E-2</v>
      </c>
      <c r="E27" s="3">
        <v>1.4490695564156693E-2</v>
      </c>
      <c r="F27" s="3">
        <v>1.5324813943694207E-2</v>
      </c>
      <c r="G27" s="3">
        <v>1.3440138950403758E-2</v>
      </c>
      <c r="H27" s="3">
        <v>1.3109304715072299E-2</v>
      </c>
      <c r="I27" s="3">
        <v>9.8738486211500266E-3</v>
      </c>
      <c r="J27" s="3">
        <v>1.1293386139506464E-2</v>
      </c>
      <c r="K27" s="3">
        <v>1.5523239430005567E-2</v>
      </c>
      <c r="L27" s="3">
        <v>1.5267397272073451E-2</v>
      </c>
      <c r="M27" s="3">
        <v>1.2172472448787301E-2</v>
      </c>
      <c r="N27" s="3">
        <v>1.4977098922548575E-2</v>
      </c>
      <c r="O27" s="3">
        <v>2.5445024925066576E-2</v>
      </c>
      <c r="P27" s="3">
        <v>2.5668514021317639E-2</v>
      </c>
      <c r="Q27" s="3">
        <v>1.9204623500778749E-2</v>
      </c>
      <c r="R27" s="3">
        <v>1.309637330977984E-2</v>
      </c>
      <c r="S27" s="3">
        <v>1.0161876952213756E-2</v>
      </c>
      <c r="T27" s="3">
        <v>1.0389775994612204E-2</v>
      </c>
      <c r="U27" s="3">
        <v>8.7084473077201196E-3</v>
      </c>
      <c r="V27" s="3">
        <v>9.1774043659795714E-3</v>
      </c>
      <c r="W27" s="3">
        <v>9.8685910154166518E-3</v>
      </c>
      <c r="X27" s="3">
        <v>1.2229410303707052E-2</v>
      </c>
      <c r="Y27" s="3">
        <v>1.4886530631874048E-2</v>
      </c>
      <c r="Z27" s="3">
        <v>1.6465583308720826E-2</v>
      </c>
      <c r="AA27" s="3">
        <v>1.3519235444552181E-2</v>
      </c>
      <c r="AB27" s="3">
        <v>1.392050091712611E-2</v>
      </c>
      <c r="AC27" s="3">
        <v>1.0361260751729384E-2</v>
      </c>
      <c r="AD27" s="3">
        <v>9.6441620273483401E-3</v>
      </c>
      <c r="AE27" s="3">
        <v>1.7566575293734534E-2</v>
      </c>
      <c r="AF27" s="3">
        <v>1.3060949806172567E-2</v>
      </c>
      <c r="AG27" s="3">
        <v>1.2876999562554005E-2</v>
      </c>
      <c r="AH27" s="3">
        <v>1.4075310049886739E-2</v>
      </c>
      <c r="AI27" s="3">
        <v>1.678156879744834E-2</v>
      </c>
      <c r="AJ27" s="3">
        <v>1.6018276097118016E-2</v>
      </c>
      <c r="AK27" s="3">
        <v>1.2257692093554854E-2</v>
      </c>
      <c r="AL27" s="3">
        <v>1.7880376722707609E-2</v>
      </c>
      <c r="AM27" s="3">
        <v>2.0752077532159078E-2</v>
      </c>
      <c r="AN27" s="3">
        <v>2.0446542172508776E-2</v>
      </c>
      <c r="AO27" s="3">
        <v>1.7207335357807507E-2</v>
      </c>
      <c r="AP27" s="3">
        <v>1.5421515583622734E-2</v>
      </c>
      <c r="AQ27" s="3">
        <v>1.8639036448949736E-2</v>
      </c>
      <c r="AR27" s="3">
        <v>2.2346589954746875E-2</v>
      </c>
      <c r="AS27" s="3">
        <v>2.1798728709646997E-2</v>
      </c>
      <c r="AT27" s="3">
        <v>2.0936589122707874E-2</v>
      </c>
      <c r="AU27" s="3">
        <v>1.9253720707227005E-2</v>
      </c>
      <c r="AV27" s="3">
        <v>2.4531782646772884E-2</v>
      </c>
      <c r="AW27" s="3">
        <v>1.8200369244953735E-2</v>
      </c>
      <c r="AX27" s="3">
        <v>1.557875542463742E-2</v>
      </c>
      <c r="AY27" s="3">
        <v>1.485724426501844E-2</v>
      </c>
      <c r="AZ27" s="3">
        <v>1.9937069441628555E-2</v>
      </c>
      <c r="BA27" s="3">
        <v>1.8501065473188479E-2</v>
      </c>
      <c r="BB27" s="3">
        <v>1.5114210763345348E-2</v>
      </c>
      <c r="BC27" s="3">
        <v>1.6099857357656084E-2</v>
      </c>
      <c r="BD27" s="3">
        <v>2.1428351690864912E-2</v>
      </c>
      <c r="BE27" s="3">
        <v>1.9855874143620444E-2</v>
      </c>
      <c r="BF27" s="3">
        <v>1.5220646256020716E-2</v>
      </c>
      <c r="BG27" s="3">
        <v>1.6075295816956318E-2</v>
      </c>
      <c r="BH27" s="3">
        <v>1.6756169091540155E-2</v>
      </c>
      <c r="BI27" s="3">
        <v>1.9215122606847247E-2</v>
      </c>
      <c r="BJ27" s="3">
        <v>1.9830172964385613E-2</v>
      </c>
      <c r="BK27" s="3">
        <v>2.2136075608741524E-2</v>
      </c>
      <c r="BL27" s="3">
        <v>2.9225995680323177E-2</v>
      </c>
      <c r="BM27" s="3">
        <v>2.5660185499470523E-2</v>
      </c>
      <c r="BN27" s="3">
        <v>2.1131063203226323E-2</v>
      </c>
      <c r="BO27" s="3">
        <v>1.9576999958406383E-2</v>
      </c>
      <c r="BP27" s="3">
        <v>1.8249276593342578E-2</v>
      </c>
      <c r="BQ27" s="3">
        <v>1.722246885400781E-2</v>
      </c>
      <c r="BR27" s="3">
        <v>1.1836046213685937E-3</v>
      </c>
      <c r="BS27" s="3">
        <v>1.1316700512563928E-2</v>
      </c>
      <c r="BT27" s="3">
        <v>2.2334366482286514E-2</v>
      </c>
      <c r="BU27" s="3">
        <v>1.7233390667771402E-2</v>
      </c>
      <c r="BV27" s="3">
        <v>1.7164686675900952E-2</v>
      </c>
      <c r="BW27" s="3">
        <v>2.1653888335325663E-2</v>
      </c>
      <c r="BX27" s="3">
        <v>1.7808967476790019E-2</v>
      </c>
      <c r="BY27" s="3">
        <v>1.3645130632408284E-2</v>
      </c>
      <c r="BZ27" s="3">
        <v>1.0871684372406517E-2</v>
      </c>
      <c r="CA27" s="3">
        <v>1.5937064146078591E-2</v>
      </c>
    </row>
    <row r="28" spans="1:79" x14ac:dyDescent="0.2">
      <c r="A28" s="3" t="s">
        <v>137</v>
      </c>
      <c r="B28" s="3">
        <v>8.1784383808551041E-3</v>
      </c>
      <c r="C28" s="3">
        <v>7.9224989901081622E-3</v>
      </c>
      <c r="D28" s="3">
        <v>4.1181159288910269E-3</v>
      </c>
      <c r="E28" s="3">
        <v>6.7799632450588941E-3</v>
      </c>
      <c r="F28" s="3">
        <v>1.2395432104887834E-2</v>
      </c>
      <c r="G28" s="3">
        <v>9.1541662719252098E-3</v>
      </c>
      <c r="H28" s="3">
        <v>7.4195788491791623E-3</v>
      </c>
      <c r="I28" s="3">
        <v>6.7310922645635223E-3</v>
      </c>
      <c r="J28" s="3">
        <v>1.2669039672244455E-2</v>
      </c>
      <c r="K28" s="3">
        <v>1.4610035019185967E-2</v>
      </c>
      <c r="L28" s="3">
        <v>4.8362327396774566E-3</v>
      </c>
      <c r="M28" s="3">
        <v>-5.7069190836779504E-3</v>
      </c>
      <c r="N28" s="3">
        <v>5.9651629290461737E-3</v>
      </c>
      <c r="O28" s="3">
        <v>1.2774302160264161E-2</v>
      </c>
      <c r="P28" s="3">
        <v>1.3257345492877888E-2</v>
      </c>
      <c r="Q28" s="3">
        <v>9.5529265138018411E-3</v>
      </c>
      <c r="R28" s="3">
        <v>7.0705015117808563E-3</v>
      </c>
      <c r="S28" s="3">
        <v>8.733937194745545E-3</v>
      </c>
      <c r="T28" s="3">
        <v>8.544921652410855E-3</v>
      </c>
      <c r="U28" s="3">
        <v>1.0970238530307408E-3</v>
      </c>
      <c r="V28" s="3">
        <v>-1.4449458468895351E-3</v>
      </c>
      <c r="W28" s="3">
        <v>1.2160429959426771E-2</v>
      </c>
      <c r="X28" s="3">
        <v>7.877816521837484E-3</v>
      </c>
      <c r="Y28" s="3">
        <v>4.4349484181712062E-3</v>
      </c>
      <c r="Z28" s="3">
        <v>1.3545158030484356E-3</v>
      </c>
      <c r="AA28" s="3">
        <v>3.0638933339581995E-3</v>
      </c>
      <c r="AB28" s="3">
        <v>6.0099113747768334E-3</v>
      </c>
      <c r="AC28" s="3">
        <v>1.2837423734396623E-4</v>
      </c>
      <c r="AD28" s="3">
        <v>1.1722935769783137E-2</v>
      </c>
      <c r="AE28" s="3">
        <v>1.3223950058344506E-2</v>
      </c>
      <c r="AF28" s="3">
        <v>3.3116597966622511E-3</v>
      </c>
      <c r="AG28" s="3">
        <v>1.2277245266129E-2</v>
      </c>
      <c r="AH28" s="3">
        <v>1.3898407811029355E-2</v>
      </c>
      <c r="AI28" s="3">
        <v>2.344130507871835E-2</v>
      </c>
      <c r="AJ28" s="3">
        <v>9.5054329052609906E-3</v>
      </c>
      <c r="AK28" s="3">
        <v>-5.2551249187681435E-4</v>
      </c>
      <c r="AL28" s="3">
        <v>1.1749984005809027E-2</v>
      </c>
      <c r="AM28" s="3">
        <v>1.5175910842271725E-2</v>
      </c>
      <c r="AN28" s="3">
        <v>4.5281042165096937E-3</v>
      </c>
      <c r="AO28" s="3">
        <v>7.4769305050974661E-3</v>
      </c>
      <c r="AP28" s="3">
        <v>1.9611815213955767E-2</v>
      </c>
      <c r="AQ28" s="3">
        <v>1.5782549897343789E-2</v>
      </c>
      <c r="AR28" s="3">
        <v>1.3873860877294687E-2</v>
      </c>
      <c r="AS28" s="3">
        <v>1.5594653922254818E-2</v>
      </c>
      <c r="AT28" s="3">
        <v>2.8088724743724792E-2</v>
      </c>
      <c r="AU28" s="3">
        <v>2.7256851882008926E-2</v>
      </c>
      <c r="AV28" s="3">
        <v>1.3594187416138388E-2</v>
      </c>
      <c r="AW28" s="3">
        <v>2.5593733103891352E-3</v>
      </c>
      <c r="AX28" s="3">
        <v>-6.9071104787038354E-3</v>
      </c>
      <c r="AY28" s="3">
        <v>1.0265716146738931E-2</v>
      </c>
      <c r="AZ28" s="3">
        <v>1.5521211712982355E-2</v>
      </c>
      <c r="BA28" s="3">
        <v>-1.3167469743873002E-3</v>
      </c>
      <c r="BB28" s="3">
        <v>-2.9790895126838839E-3</v>
      </c>
      <c r="BC28" s="3">
        <v>9.9326111542105359E-3</v>
      </c>
      <c r="BD28" s="3">
        <v>-1.4052260288281012E-3</v>
      </c>
      <c r="BE28" s="3">
        <v>4.1743663057708059E-3</v>
      </c>
      <c r="BF28" s="3">
        <v>3.239185427894481E-3</v>
      </c>
      <c r="BG28" s="3">
        <v>2.1922550356711142E-2</v>
      </c>
      <c r="BH28" s="3">
        <v>9.4605478158458749E-3</v>
      </c>
      <c r="BI28" s="3">
        <v>-8.7064434956608306E-4</v>
      </c>
      <c r="BJ28" s="3">
        <v>-1.3547613665640853E-2</v>
      </c>
      <c r="BK28" s="3">
        <v>1.4156674652758567E-2</v>
      </c>
      <c r="BL28" s="3">
        <v>1.3192472186554073E-2</v>
      </c>
      <c r="BM28" s="3">
        <v>-2.9284147382059845E-3</v>
      </c>
      <c r="BN28" s="3">
        <v>-3.0415869952696582E-4</v>
      </c>
      <c r="BO28" s="3">
        <v>1.1557548752578846E-2</v>
      </c>
      <c r="BP28" s="3">
        <v>8.7311572923054002E-3</v>
      </c>
      <c r="BQ28" s="3">
        <v>1.1863300472403344E-2</v>
      </c>
      <c r="BR28" s="3">
        <v>1.6074761222643435E-2</v>
      </c>
      <c r="BS28" s="3">
        <v>4.6075540311807148E-2</v>
      </c>
      <c r="BT28" s="3">
        <v>3.6355165254242254E-2</v>
      </c>
      <c r="BU28" s="3">
        <v>1.1377705459167008E-2</v>
      </c>
      <c r="BV28" s="3">
        <v>2.5244088283387943E-2</v>
      </c>
      <c r="BW28" s="3">
        <v>2.4891661549507595E-2</v>
      </c>
      <c r="BX28" s="3">
        <v>1.5083744887331217E-2</v>
      </c>
      <c r="BY28" s="3">
        <v>4.9610877084149217E-3</v>
      </c>
      <c r="BZ28" s="3">
        <v>1.3964327570839784E-2</v>
      </c>
      <c r="CA28" s="3">
        <v>2.283641145052924E-2</v>
      </c>
    </row>
    <row r="29" spans="1:79" x14ac:dyDescent="0.2">
      <c r="A29" s="2" t="s">
        <v>136</v>
      </c>
      <c r="B29" s="2">
        <v>0.17251313877534391</v>
      </c>
      <c r="C29" s="2">
        <v>0.19643211431257976</v>
      </c>
      <c r="D29" s="2">
        <v>0.20515603998401241</v>
      </c>
      <c r="E29" s="2">
        <v>0.22112119265657568</v>
      </c>
      <c r="F29" s="2">
        <v>0.23616103701546934</v>
      </c>
      <c r="G29" s="2">
        <v>0.24669565400758883</v>
      </c>
      <c r="H29" s="2">
        <v>0.25716085904713448</v>
      </c>
      <c r="I29" s="2">
        <v>0.27051753772553583</v>
      </c>
      <c r="J29" s="2">
        <v>0.27684322012156709</v>
      </c>
      <c r="K29" s="2">
        <v>0.27883121568181041</v>
      </c>
      <c r="L29" s="2">
        <v>0.29098751020912272</v>
      </c>
      <c r="M29" s="2">
        <v>0.29641128690956159</v>
      </c>
      <c r="N29" s="2">
        <v>0.29003969034896859</v>
      </c>
      <c r="O29" s="2">
        <v>0.30594845773867813</v>
      </c>
      <c r="P29" s="2">
        <v>0.32836344264802608</v>
      </c>
      <c r="Q29" s="2">
        <v>0.35864468412128436</v>
      </c>
      <c r="R29" s="2">
        <v>0.34494658809518003</v>
      </c>
      <c r="S29" s="2">
        <v>0.35064718560315511</v>
      </c>
      <c r="T29" s="2">
        <v>0.29050908372194717</v>
      </c>
      <c r="U29" s="2">
        <v>0.28994188459459652</v>
      </c>
      <c r="V29" s="2">
        <v>0.22572201950661613</v>
      </c>
      <c r="W29" s="2">
        <v>0.20045238439506013</v>
      </c>
      <c r="X29" s="2">
        <v>0.2252406287638713</v>
      </c>
      <c r="Y29" s="2">
        <v>0.16882621447594545</v>
      </c>
      <c r="Z29" s="2">
        <v>0.13188184631794714</v>
      </c>
      <c r="AA29" s="2">
        <v>0.11802902586444516</v>
      </c>
      <c r="AB29" s="2">
        <v>7.9216541243634128E-2</v>
      </c>
      <c r="AC29" s="2">
        <v>8.2999999319738657E-2</v>
      </c>
      <c r="AD29" s="2">
        <v>7.3902175400016951E-2</v>
      </c>
      <c r="AE29" s="2">
        <v>0.10873980263411476</v>
      </c>
      <c r="AF29" s="2">
        <v>8.3085931025557891E-2</v>
      </c>
      <c r="AG29" s="2">
        <v>7.6667907233615468E-2</v>
      </c>
      <c r="AH29" s="2">
        <v>8.726040885267991E-2</v>
      </c>
      <c r="AI29" s="2">
        <v>0.14324241564902432</v>
      </c>
      <c r="AJ29" s="2">
        <v>0.10221779404265308</v>
      </c>
      <c r="AK29" s="2">
        <v>0.11482731261870381</v>
      </c>
      <c r="AL29" s="2">
        <v>0.12977148393243573</v>
      </c>
      <c r="AM29" s="2">
        <v>0.18334385906280024</v>
      </c>
      <c r="AN29" s="2">
        <v>0.14793082134648475</v>
      </c>
      <c r="AO29" s="2">
        <v>0.18391186439601906</v>
      </c>
      <c r="AP29" s="2">
        <v>0.16865283873499382</v>
      </c>
      <c r="AQ29" s="2">
        <v>0.21355113539050041</v>
      </c>
      <c r="AR29" s="2">
        <v>0.19598425440577272</v>
      </c>
      <c r="AS29" s="2">
        <v>0.19525365711747514</v>
      </c>
      <c r="AT29" s="2">
        <v>0.20708575367218457</v>
      </c>
      <c r="AU29" s="2">
        <v>0.2452222510805995</v>
      </c>
      <c r="AV29" s="2">
        <v>0.25981682535707362</v>
      </c>
      <c r="AW29" s="2">
        <v>0.28098020677357272</v>
      </c>
      <c r="AX29" s="2">
        <v>0.26450433564354486</v>
      </c>
      <c r="AY29" s="2">
        <v>0.2725068157045249</v>
      </c>
      <c r="AZ29" s="2">
        <v>0.28520316203250395</v>
      </c>
      <c r="BA29" s="2">
        <v>0.27084684836479084</v>
      </c>
      <c r="BB29" s="2">
        <v>0.21284601191867814</v>
      </c>
      <c r="BC29" s="2">
        <v>0.16447552081699895</v>
      </c>
      <c r="BD29" s="2">
        <v>0.15952341589939792</v>
      </c>
      <c r="BE29" s="2">
        <v>0.10882856803122927</v>
      </c>
      <c r="BF29" s="2">
        <v>0.10905904289350943</v>
      </c>
      <c r="BG29" s="2">
        <v>8.1539222370531128E-2</v>
      </c>
      <c r="BH29" s="2">
        <v>0.10172389340069142</v>
      </c>
      <c r="BI29" s="2">
        <v>7.059452046240855E-2</v>
      </c>
      <c r="BJ29" s="2">
        <v>6.6871545967033111E-2</v>
      </c>
      <c r="BK29" s="2">
        <v>6.4359885457486429E-2</v>
      </c>
      <c r="BL29" s="2">
        <v>8.2663542395463391E-2</v>
      </c>
      <c r="BM29" s="2">
        <v>6.4452958184280512E-2</v>
      </c>
      <c r="BN29" s="2">
        <v>2.3783304277401766E-2</v>
      </c>
      <c r="BO29" s="2">
        <v>1.3604595757436081E-2</v>
      </c>
      <c r="BP29" s="2">
        <v>3.233601297053941E-2</v>
      </c>
      <c r="BQ29" s="2">
        <v>1.1086750537738525E-2</v>
      </c>
      <c r="BR29" s="2">
        <v>3.4530276781708523E-2</v>
      </c>
      <c r="BS29" s="2">
        <v>5.1426905281551111E-2</v>
      </c>
      <c r="BT29" s="2">
        <v>1.4616931038183168E-2</v>
      </c>
      <c r="BU29" s="2">
        <v>2.8201389310172208E-2</v>
      </c>
      <c r="BV29" s="2">
        <v>8.8358205725074402E-3</v>
      </c>
      <c r="BW29" s="2">
        <v>3.1158456106254624E-2</v>
      </c>
      <c r="BX29" s="2">
        <v>3.4669273987560055E-2</v>
      </c>
      <c r="BY29" s="2">
        <v>4.0879290066063209E-2</v>
      </c>
      <c r="BZ29" s="2">
        <v>3.2674010501815919E-2</v>
      </c>
      <c r="CA29" s="2">
        <v>4.6443100832749863E-2</v>
      </c>
    </row>
    <row r="30" spans="1:79" x14ac:dyDescent="0.2">
      <c r="A30" s="3" t="s">
        <v>135</v>
      </c>
      <c r="B30" s="3">
        <v>0.11733909097731773</v>
      </c>
      <c r="C30" s="3">
        <v>0.13419632929384809</v>
      </c>
      <c r="D30" s="3">
        <v>0.139436760221575</v>
      </c>
      <c r="E30" s="3">
        <v>0.1445792183098514</v>
      </c>
      <c r="F30" s="3">
        <v>0.15110527650657879</v>
      </c>
      <c r="G30" s="3">
        <v>0.1564672619167258</v>
      </c>
      <c r="H30" s="3">
        <v>0.16641804065525931</v>
      </c>
      <c r="I30" s="3">
        <v>0.17144409260282101</v>
      </c>
      <c r="J30" s="3">
        <v>0.17390232828158117</v>
      </c>
      <c r="K30" s="3">
        <v>0.17285320265010104</v>
      </c>
      <c r="L30" s="3">
        <v>0.17764935982340119</v>
      </c>
      <c r="M30" s="3">
        <v>0.18354947897311147</v>
      </c>
      <c r="N30" s="3">
        <v>0.17693966805652245</v>
      </c>
      <c r="O30" s="3">
        <v>0.17890658017506883</v>
      </c>
      <c r="P30" s="3">
        <v>0.19362314023680019</v>
      </c>
      <c r="Q30" s="3">
        <v>0.20600917798629234</v>
      </c>
      <c r="R30" s="3">
        <v>0.19995477510075071</v>
      </c>
      <c r="S30" s="3">
        <v>0.20230087642285771</v>
      </c>
      <c r="T30" s="3">
        <v>0.18098626629031342</v>
      </c>
      <c r="U30" s="3">
        <v>0.18561437542632805</v>
      </c>
      <c r="V30" s="3">
        <v>0.14992837590468489</v>
      </c>
      <c r="W30" s="3">
        <v>0.13322909272819447</v>
      </c>
      <c r="X30" s="3">
        <v>0.15275101166323041</v>
      </c>
      <c r="Y30" s="3">
        <v>0.11861359503945963</v>
      </c>
      <c r="Z30" s="3">
        <v>9.4341083533488468E-2</v>
      </c>
      <c r="AA30" s="3">
        <v>8.4100321231054542E-2</v>
      </c>
      <c r="AB30" s="3">
        <v>5.8899456430384203E-2</v>
      </c>
      <c r="AC30" s="3">
        <v>5.7591253486522123E-2</v>
      </c>
      <c r="AD30" s="3">
        <v>5.8881739524189264E-2</v>
      </c>
      <c r="AE30" s="3">
        <v>8.6388518984788359E-2</v>
      </c>
      <c r="AF30" s="3">
        <v>6.6437570383288055E-2</v>
      </c>
      <c r="AG30" s="3">
        <v>5.5631917475475322E-2</v>
      </c>
      <c r="AH30" s="3">
        <v>6.8384917139873158E-2</v>
      </c>
      <c r="AI30" s="3">
        <v>0.10742805759007738</v>
      </c>
      <c r="AJ30" s="3">
        <v>7.9419345931089125E-2</v>
      </c>
      <c r="AK30" s="3">
        <v>7.7557148787850083E-2</v>
      </c>
      <c r="AL30" s="3">
        <v>9.763150207680972E-2</v>
      </c>
      <c r="AM30" s="3">
        <v>0.13209671628010589</v>
      </c>
      <c r="AN30" s="3">
        <v>0.11044011572456615</v>
      </c>
      <c r="AO30" s="3">
        <v>0.1219413356524649</v>
      </c>
      <c r="AP30" s="3">
        <v>0.1250320837981464</v>
      </c>
      <c r="AQ30" s="3">
        <v>0.15384463617476413</v>
      </c>
      <c r="AR30" s="3">
        <v>0.14310822366090151</v>
      </c>
      <c r="AS30" s="3">
        <v>0.12944234896339502</v>
      </c>
      <c r="AT30" s="3">
        <v>0.14948469214580426</v>
      </c>
      <c r="AU30" s="3">
        <v>0.16769167269290025</v>
      </c>
      <c r="AV30" s="3">
        <v>0.18407026355745182</v>
      </c>
      <c r="AW30" s="3">
        <v>0.18316093415201548</v>
      </c>
      <c r="AX30" s="3">
        <v>0.18284271868419755</v>
      </c>
      <c r="AY30" s="3">
        <v>0.17994035004890321</v>
      </c>
      <c r="AZ30" s="3">
        <v>0.19470100390584114</v>
      </c>
      <c r="BA30" s="3">
        <v>0.1726902811802975</v>
      </c>
      <c r="BB30" s="3">
        <v>0.15360156277312076</v>
      </c>
      <c r="BC30" s="3">
        <v>0.12165316109108532</v>
      </c>
      <c r="BD30" s="3">
        <v>0.122466530739476</v>
      </c>
      <c r="BE30" s="3">
        <v>7.7254985151685565E-2</v>
      </c>
      <c r="BF30" s="3">
        <v>8.6646808641741901E-2</v>
      </c>
      <c r="BG30" s="3">
        <v>6.5355716744302031E-2</v>
      </c>
      <c r="BH30" s="3">
        <v>8.2890532639103537E-2</v>
      </c>
      <c r="BI30" s="3">
        <v>5.0792233963831493E-2</v>
      </c>
      <c r="BJ30" s="3">
        <v>5.4172357499753583E-2</v>
      </c>
      <c r="BK30" s="3">
        <v>5.1398545808911004E-2</v>
      </c>
      <c r="BL30" s="3">
        <v>6.6438181212143954E-2</v>
      </c>
      <c r="BM30" s="3">
        <v>4.6645276906461121E-2</v>
      </c>
      <c r="BN30" s="3">
        <v>2.0038730235287818E-2</v>
      </c>
      <c r="BO30" s="3">
        <v>1.1325782811459028E-2</v>
      </c>
      <c r="BP30" s="3">
        <v>2.7621230124349912E-2</v>
      </c>
      <c r="BQ30" s="3">
        <v>8.1849328474681848E-3</v>
      </c>
      <c r="BR30" s="3">
        <v>3.0080863186902274E-2</v>
      </c>
      <c r="BS30" s="3">
        <v>4.3832299845808838E-2</v>
      </c>
      <c r="BT30" s="3">
        <v>1.2280254473232038E-2</v>
      </c>
      <c r="BU30" s="3">
        <v>2.0928604188483673E-2</v>
      </c>
      <c r="BV30" s="3">
        <v>7.5371763477614035E-3</v>
      </c>
      <c r="BW30" s="3">
        <v>2.658486770249165E-2</v>
      </c>
      <c r="BX30" s="3">
        <v>2.9636232536532539E-2</v>
      </c>
      <c r="BY30" s="3">
        <v>3.0198445780217926E-2</v>
      </c>
      <c r="BZ30" s="3">
        <v>2.8372648718806365E-2</v>
      </c>
      <c r="CA30" s="3">
        <v>3.4951618203635321E-2</v>
      </c>
    </row>
    <row r="31" spans="1:79" x14ac:dyDescent="0.2">
      <c r="A31" s="3" t="s">
        <v>134</v>
      </c>
      <c r="B31" s="3">
        <v>-2.3666791678874892</v>
      </c>
      <c r="C31" s="3">
        <v>-2.2620071647507545</v>
      </c>
      <c r="D31" s="3">
        <v>-2.1002890609106073</v>
      </c>
      <c r="E31" s="3">
        <v>-2.0572190919053854</v>
      </c>
      <c r="F31" s="3">
        <v>-2.1683396184700485</v>
      </c>
      <c r="G31" s="3">
        <v>-1.7381154953673854</v>
      </c>
      <c r="H31" s="3">
        <v>-1.5506746108299101</v>
      </c>
      <c r="I31" s="3">
        <v>-1.631430933186762</v>
      </c>
      <c r="J31" s="3">
        <v>-1.6150481153099967</v>
      </c>
      <c r="K31" s="3">
        <v>-1.1790498693871514</v>
      </c>
      <c r="L31" s="3">
        <v>-0.86018501410253778</v>
      </c>
      <c r="M31" s="3">
        <v>-0.97050113776793567</v>
      </c>
      <c r="N31" s="3">
        <v>-1.3771704148104322</v>
      </c>
      <c r="O31" s="3">
        <v>-1.0205883016156043</v>
      </c>
      <c r="P31" s="3">
        <v>-0.93313587688498012</v>
      </c>
      <c r="Q31" s="3">
        <v>-0.93656100219770033</v>
      </c>
      <c r="R31" s="3">
        <v>-1.0386984470536273</v>
      </c>
      <c r="S31" s="3">
        <v>-1.0463531990758557</v>
      </c>
      <c r="T31" s="3">
        <v>-0.88837068199662972</v>
      </c>
      <c r="U31" s="3">
        <v>-0.68389166744177321</v>
      </c>
      <c r="V31" s="3">
        <v>-0.88443579662568206</v>
      </c>
      <c r="W31" s="3">
        <v>-1.1271030054277313</v>
      </c>
      <c r="X31" s="3">
        <v>-0.80569304980014567</v>
      </c>
      <c r="Y31" s="3">
        <v>-0.85307192154181355</v>
      </c>
      <c r="Z31" s="3">
        <v>-1.0421202680272585</v>
      </c>
      <c r="AA31" s="3">
        <v>-1.351083790625992</v>
      </c>
      <c r="AB31" s="3">
        <v>-1.8157877615229285</v>
      </c>
      <c r="AC31" s="3">
        <v>-3.3282341102746189</v>
      </c>
      <c r="AD31" s="3">
        <v>-3.5250334687615106</v>
      </c>
      <c r="AE31" s="3">
        <v>-2.1689938521681209</v>
      </c>
      <c r="AF31" s="3">
        <v>-2.065605285834677</v>
      </c>
      <c r="AG31" s="3">
        <v>-3.2450803816074036</v>
      </c>
      <c r="AH31" s="3">
        <v>-2.5408010152066423</v>
      </c>
      <c r="AI31" s="3">
        <v>-1.8512570501140941</v>
      </c>
      <c r="AJ31" s="3">
        <v>-1.517643220698742</v>
      </c>
      <c r="AK31" s="3">
        <v>-2.8727525266166341</v>
      </c>
      <c r="AL31" s="3">
        <v>-2.366588670980867</v>
      </c>
      <c r="AM31" s="3">
        <v>-1.7256428292818842</v>
      </c>
      <c r="AN31" s="3">
        <v>-1.6581462914877849</v>
      </c>
      <c r="AO31" s="3">
        <v>-2.6910344169865872</v>
      </c>
      <c r="AP31" s="3">
        <v>-3.1182798083712941</v>
      </c>
      <c r="AQ31" s="3">
        <v>-2.2335141532563805</v>
      </c>
      <c r="AR31" s="3">
        <v>-2.0676170500894702</v>
      </c>
      <c r="AS31" s="3">
        <v>-2.0883493866356679</v>
      </c>
      <c r="AT31" s="3">
        <v>-1.4161705732748477</v>
      </c>
      <c r="AU31" s="3">
        <v>-0.73550212279905758</v>
      </c>
      <c r="AV31" s="3">
        <v>0.15874703129392106</v>
      </c>
      <c r="AW31" s="3">
        <v>-7.192537037038263E-2</v>
      </c>
      <c r="AX31" s="3">
        <v>6.025856708475158E-2</v>
      </c>
      <c r="AY31" s="3">
        <v>-0.16669523490420127</v>
      </c>
      <c r="AZ31" s="3">
        <v>0.12598844137464449</v>
      </c>
      <c r="BA31" s="3">
        <v>-0.24106939920803397</v>
      </c>
      <c r="BB31" s="3">
        <v>-0.2775119617803174</v>
      </c>
      <c r="BC31" s="3">
        <v>-0.31961492707196448</v>
      </c>
      <c r="BD31" s="3">
        <v>-0.35094605132642021</v>
      </c>
      <c r="BE31" s="3">
        <v>-1.4011876965813712</v>
      </c>
      <c r="BF31" s="3">
        <v>-1.5453112644483491</v>
      </c>
      <c r="BG31" s="3">
        <v>-1.5027980365172346</v>
      </c>
      <c r="BH31" s="3">
        <v>-0.89451552081539087</v>
      </c>
      <c r="BI31" s="3">
        <v>-1.675814200321478</v>
      </c>
      <c r="BJ31" s="3">
        <v>-1.3610820939533066</v>
      </c>
      <c r="BK31" s="3">
        <v>-1.6729829564609651</v>
      </c>
      <c r="BL31" s="3">
        <v>-1.2182975830132059</v>
      </c>
      <c r="BM31" s="3">
        <v>-2.2114076538097494</v>
      </c>
      <c r="BN31" s="3">
        <v>-2.6109468370588265</v>
      </c>
      <c r="BO31" s="3">
        <v>-2.9519961477504206</v>
      </c>
      <c r="BP31" s="3">
        <v>-2.6262046241495698</v>
      </c>
      <c r="BQ31" s="3">
        <v>-5.1949494948377088</v>
      </c>
      <c r="BR31" s="3">
        <v>-9.6831358545036501</v>
      </c>
      <c r="BS31" s="3">
        <v>-5.0196688220162873</v>
      </c>
      <c r="BT31" s="3">
        <v>-1.8463089632800413</v>
      </c>
      <c r="BU31" s="3">
        <v>-2.8452791212258246</v>
      </c>
      <c r="BV31" s="3">
        <v>-2.7095191427275571</v>
      </c>
      <c r="BW31" s="3">
        <v>-1.3634558628728004</v>
      </c>
      <c r="BX31" s="3">
        <v>-1.5794841827672648</v>
      </c>
      <c r="BY31" s="3">
        <v>-3.2506521791020919</v>
      </c>
      <c r="BZ31" s="3">
        <v>-3.2043103427438622</v>
      </c>
      <c r="CA31" s="3">
        <v>9.3687679925334724</v>
      </c>
    </row>
    <row r="32" spans="1:79" x14ac:dyDescent="0.2">
      <c r="A32" s="2" t="s">
        <v>133</v>
      </c>
      <c r="B32" s="2">
        <v>2.4882613661686075</v>
      </c>
      <c r="C32" s="2">
        <v>2.6180255538508073</v>
      </c>
      <c r="D32" s="2">
        <v>2.6929990387760538</v>
      </c>
      <c r="E32" s="2">
        <v>2.3704955320678454</v>
      </c>
      <c r="F32" s="2">
        <v>2.3900962398138828</v>
      </c>
      <c r="G32" s="2">
        <v>2.3599420596353862</v>
      </c>
      <c r="H32" s="2">
        <v>2.5674899817738557</v>
      </c>
      <c r="I32" s="2">
        <v>2.4707973599937034</v>
      </c>
      <c r="J32" s="2">
        <v>2.3901919791604138</v>
      </c>
      <c r="K32" s="2">
        <v>2.3271330416010692</v>
      </c>
      <c r="L32" s="2">
        <v>2.1468071059420613</v>
      </c>
      <c r="M32" s="2">
        <v>2.4172349411273593</v>
      </c>
      <c r="N32" s="2">
        <v>2.2858212802573403</v>
      </c>
      <c r="O32" s="2">
        <v>2.0808559123811174</v>
      </c>
      <c r="P32" s="2">
        <v>2.4946176726490905</v>
      </c>
      <c r="Q32" s="2">
        <v>2.2548201505151582</v>
      </c>
      <c r="R32" s="2">
        <v>2.092970251899799</v>
      </c>
      <c r="S32" s="2">
        <v>2.1191626113861517</v>
      </c>
      <c r="T32" s="2">
        <v>2.0905953717652159</v>
      </c>
      <c r="U32" s="2">
        <v>1.8817199328702254</v>
      </c>
      <c r="V32" s="2">
        <v>1.7226467377520924</v>
      </c>
      <c r="W32" s="2">
        <v>1.7284191572569261</v>
      </c>
      <c r="X32" s="2">
        <v>1.7504265300134108</v>
      </c>
      <c r="Y32" s="2">
        <v>1.3988899740695662</v>
      </c>
      <c r="Z32" s="2">
        <v>1.3613460945811824</v>
      </c>
      <c r="AA32" s="2">
        <v>1.37477217037528</v>
      </c>
      <c r="AB32" s="2">
        <v>1.7167741311878055</v>
      </c>
      <c r="AC32" s="2">
        <v>1.6234133931207371</v>
      </c>
      <c r="AD32" s="2">
        <v>2.6206968979006011</v>
      </c>
      <c r="AE32" s="2">
        <v>2.6669864204142448</v>
      </c>
      <c r="AF32" s="2">
        <v>2.6714646188606381</v>
      </c>
      <c r="AG32" s="2">
        <v>2.0713791650784281</v>
      </c>
      <c r="AH32" s="2">
        <v>2.7148479933577385</v>
      </c>
      <c r="AI32" s="2">
        <v>2.2156237092591127</v>
      </c>
      <c r="AJ32" s="2">
        <v>2.3611695627272127</v>
      </c>
      <c r="AK32" s="2">
        <v>1.6008368940217617</v>
      </c>
      <c r="AL32" s="2">
        <v>2.5675119336518031</v>
      </c>
      <c r="AM32" s="2">
        <v>2.3478666957615295</v>
      </c>
      <c r="AN32" s="2">
        <v>2.7551054199227076</v>
      </c>
      <c r="AO32" s="2">
        <v>2.1380525996834008</v>
      </c>
      <c r="AP32" s="2">
        <v>3.4443172918113039</v>
      </c>
      <c r="AQ32" s="2">
        <v>3.1143907068420389</v>
      </c>
      <c r="AR32" s="2">
        <v>3.4392565954269183</v>
      </c>
      <c r="AS32" s="2">
        <v>2.3639841045700534</v>
      </c>
      <c r="AT32" s="2">
        <v>3.6813539743751429</v>
      </c>
      <c r="AU32" s="2">
        <v>2.7873970350361144</v>
      </c>
      <c r="AV32" s="2">
        <v>2.7647910993444706</v>
      </c>
      <c r="AW32" s="2">
        <v>1.8618582587098915</v>
      </c>
      <c r="AX32" s="2">
        <v>2.0406892453824534</v>
      </c>
      <c r="AY32" s="2">
        <v>1.7575117416925687</v>
      </c>
      <c r="AZ32" s="2">
        <v>2.2808287354279475</v>
      </c>
      <c r="BA32" s="2">
        <v>1.4467029129697766</v>
      </c>
      <c r="BB32" s="2">
        <v>1.8820435521907455</v>
      </c>
      <c r="BC32" s="2">
        <v>1.5833038167475422</v>
      </c>
      <c r="BD32" s="2">
        <v>2.0606487056637031</v>
      </c>
      <c r="BE32" s="2">
        <v>1.3258673273575874</v>
      </c>
      <c r="BF32" s="2">
        <v>2.1245774179546362</v>
      </c>
      <c r="BG32" s="2">
        <v>1.7968151065835063</v>
      </c>
      <c r="BH32" s="2">
        <v>1.8173521532506243</v>
      </c>
      <c r="BI32" s="2">
        <v>1.1803662432837332</v>
      </c>
      <c r="BJ32" s="2">
        <v>1.968712588868988</v>
      </c>
      <c r="BK32" s="2">
        <v>2.1228749479467268</v>
      </c>
      <c r="BL32" s="2">
        <v>2.2578391347924422</v>
      </c>
      <c r="BM32" s="2">
        <v>1.7238404542388552</v>
      </c>
      <c r="BN32" s="2">
        <v>3.3977170229773113</v>
      </c>
      <c r="BO32" s="2">
        <v>3.2831146938141087</v>
      </c>
      <c r="BP32" s="2">
        <v>4.4400402358011517</v>
      </c>
      <c r="BQ32" s="2">
        <v>2.3869397516007096</v>
      </c>
      <c r="BR32" s="2">
        <v>5.9186148621993881</v>
      </c>
      <c r="BS32" s="2">
        <v>4.4469746579634837</v>
      </c>
      <c r="BT32" s="2">
        <v>3.739448118195289</v>
      </c>
      <c r="BU32" s="2">
        <v>1.6103237775934416</v>
      </c>
      <c r="BV32" s="2">
        <v>4.5377450803347807</v>
      </c>
      <c r="BW32" s="2">
        <v>5.1291611685864833</v>
      </c>
      <c r="BX32" s="2">
        <v>4.9133504810694992</v>
      </c>
      <c r="BY32" s="2">
        <v>2.3006771920591613</v>
      </c>
      <c r="BZ32" s="2">
        <v>6.338709727080527</v>
      </c>
      <c r="CA32" s="2">
        <v>2.5357087389081565</v>
      </c>
    </row>
    <row r="33" spans="1:79" x14ac:dyDescent="0.2">
      <c r="A33" s="2" t="s">
        <v>132</v>
      </c>
      <c r="B33" s="2">
        <v>241.92947599105145</v>
      </c>
      <c r="C33" s="2">
        <v>185.24851460326607</v>
      </c>
      <c r="D33" s="2">
        <v>169.2322096365539</v>
      </c>
      <c r="E33" s="2">
        <v>125.55163169736893</v>
      </c>
      <c r="F33" s="2">
        <v>152.46984656781487</v>
      </c>
      <c r="G33" s="2">
        <v>168.72382968013997</v>
      </c>
      <c r="H33" s="2">
        <v>136.87216697840117</v>
      </c>
      <c r="I33" s="2">
        <v>108.62029384338966</v>
      </c>
      <c r="J33" s="2">
        <v>92.288648033636548</v>
      </c>
      <c r="K33" s="2">
        <v>89.152916241382542</v>
      </c>
      <c r="L33" s="2">
        <v>73.287505278088588</v>
      </c>
      <c r="M33" s="2">
        <v>67.203869018403381</v>
      </c>
      <c r="N33" s="2">
        <v>78.023838220378266</v>
      </c>
      <c r="O33" s="2">
        <v>97.463952311629583</v>
      </c>
      <c r="P33" s="2">
        <v>92.083844656022606</v>
      </c>
      <c r="Q33" s="2">
        <v>90.255819526752518</v>
      </c>
      <c r="R33" s="2">
        <v>104.53740296697538</v>
      </c>
      <c r="S33" s="2">
        <v>84.085545326440453</v>
      </c>
      <c r="T33" s="2">
        <v>128.18251311969524</v>
      </c>
      <c r="U33" s="2">
        <v>128.409144401573</v>
      </c>
      <c r="V33" s="2">
        <v>194.97366256743018</v>
      </c>
      <c r="W33" s="2">
        <v>204.41667544855957</v>
      </c>
      <c r="X33" s="2">
        <v>402.09492073190341</v>
      </c>
      <c r="Y33" s="2">
        <v>320.4109496633223</v>
      </c>
      <c r="Z33" s="2">
        <v>242.23587917762984</v>
      </c>
      <c r="AA33" s="2">
        <v>193.046269637677</v>
      </c>
      <c r="AB33" s="2">
        <v>127.91432643218083</v>
      </c>
      <c r="AC33" s="2">
        <v>88.238178388923515</v>
      </c>
      <c r="AD33" s="2">
        <v>71.480952990050781</v>
      </c>
      <c r="AE33" s="2">
        <v>122.31811112811179</v>
      </c>
      <c r="AF33" s="2">
        <v>128.87201313005028</v>
      </c>
      <c r="AG33" s="2">
        <v>134.37895283024875</v>
      </c>
      <c r="AH33" s="2">
        <v>119.84037199585131</v>
      </c>
      <c r="AI33" s="2">
        <v>131.11630516711176</v>
      </c>
      <c r="AJ33" s="2">
        <v>116.28890530754944</v>
      </c>
      <c r="AK33" s="2">
        <v>99.123839016660057</v>
      </c>
      <c r="AL33" s="2">
        <v>116.75840982337901</v>
      </c>
      <c r="AM33" s="2">
        <v>135.44931035162702</v>
      </c>
      <c r="AN33" s="2">
        <v>129.16784312486098</v>
      </c>
      <c r="AO33" s="2">
        <v>111.17387588641689</v>
      </c>
      <c r="AP33" s="2">
        <v>82.846192010157779</v>
      </c>
      <c r="AQ33" s="2">
        <v>95.075821691284077</v>
      </c>
      <c r="AR33" s="2">
        <v>98.858457312713057</v>
      </c>
      <c r="AS33" s="2">
        <v>98.377533344991903</v>
      </c>
      <c r="AT33" s="2">
        <v>109.1088807494754</v>
      </c>
      <c r="AU33" s="2">
        <v>107.27355950261246</v>
      </c>
      <c r="AV33" s="2">
        <v>103.45790597190872</v>
      </c>
      <c r="AW33" s="2">
        <v>88.226554370203999</v>
      </c>
      <c r="AX33" s="2">
        <v>65.928863390996511</v>
      </c>
      <c r="AY33" s="2">
        <v>61.637416957062214</v>
      </c>
      <c r="AZ33" s="2">
        <v>81.40917296395321</v>
      </c>
      <c r="BA33" s="2">
        <v>90.705892907734437</v>
      </c>
      <c r="BB33" s="2">
        <v>89.935605002449407</v>
      </c>
      <c r="BC33" s="2">
        <v>138.08109689475853</v>
      </c>
      <c r="BD33" s="2">
        <v>195.30791027329357</v>
      </c>
      <c r="BE33" s="2">
        <v>237.60854886295661</v>
      </c>
      <c r="BF33" s="2">
        <v>161.38990224869366</v>
      </c>
      <c r="BG33" s="2">
        <v>159.86542289281795</v>
      </c>
      <c r="BH33" s="2">
        <v>178.06446777456566</v>
      </c>
      <c r="BI33" s="2">
        <v>307.01000494571872</v>
      </c>
      <c r="BJ33" s="2">
        <v>326.57043745100981</v>
      </c>
      <c r="BK33" s="2">
        <v>337.05551901920188</v>
      </c>
      <c r="BL33" s="2">
        <v>367.17739240160972</v>
      </c>
      <c r="BM33" s="2">
        <v>415.0592609306571</v>
      </c>
      <c r="BN33" s="2">
        <v>390.27127598746654</v>
      </c>
      <c r="BO33" s="2">
        <v>359.52558964658607</v>
      </c>
      <c r="BP33" s="2">
        <v>0</v>
      </c>
      <c r="BQ33" s="2">
        <v>0</v>
      </c>
      <c r="BR33" s="2">
        <v>11.236617886178863</v>
      </c>
      <c r="BS33" s="2">
        <v>0</v>
      </c>
      <c r="BT33" s="2">
        <v>0</v>
      </c>
      <c r="BU33" s="2">
        <v>0</v>
      </c>
      <c r="BV33" s="2">
        <v>187.81405097250169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</row>
    <row r="34" spans="1:79" x14ac:dyDescent="0.2">
      <c r="A34" s="2" t="s">
        <v>131</v>
      </c>
      <c r="B34" s="2">
        <v>1.2647009502515372</v>
      </c>
      <c r="C34" s="2">
        <v>1.477585268436205</v>
      </c>
      <c r="D34" s="2">
        <v>0.812436556618223</v>
      </c>
      <c r="E34" s="2">
        <v>1.3024258586446984</v>
      </c>
      <c r="F34" s="2">
        <v>1.4517993336164832</v>
      </c>
      <c r="G34" s="2">
        <v>1.3819210940111639</v>
      </c>
      <c r="H34" s="2">
        <v>1.0203172361557027</v>
      </c>
      <c r="I34" s="2">
        <v>1.2329584442195638</v>
      </c>
      <c r="J34" s="2">
        <v>1.6369245265019026</v>
      </c>
      <c r="K34" s="2">
        <v>1.418814076419159</v>
      </c>
      <c r="L34" s="2">
        <v>1.2178419160463403</v>
      </c>
      <c r="M34" s="2">
        <v>0.77907557887913204</v>
      </c>
      <c r="N34" s="2">
        <v>1.5770948882183904</v>
      </c>
      <c r="O34" s="2">
        <v>1.4553278809606738</v>
      </c>
      <c r="P34" s="2">
        <v>1.3031577794126914</v>
      </c>
      <c r="Q34" s="2">
        <v>1.273878266153156</v>
      </c>
      <c r="R34" s="2">
        <v>1.6407305264780985</v>
      </c>
      <c r="S34" s="2">
        <v>2.0473207015359378</v>
      </c>
      <c r="T34" s="2">
        <v>1.8332079515223898</v>
      </c>
      <c r="U34" s="2">
        <v>1.2546900274999695</v>
      </c>
      <c r="V34" s="2">
        <v>1.4691684368614124</v>
      </c>
      <c r="W34" s="2">
        <v>1.6087424457702177</v>
      </c>
      <c r="X34" s="2">
        <v>1.2261650151092898</v>
      </c>
      <c r="Y34" s="2">
        <v>1.2485307706122779</v>
      </c>
      <c r="Z34" s="2">
        <v>1.5363887831187739</v>
      </c>
      <c r="AA34" s="2">
        <v>1.5757450088435463</v>
      </c>
      <c r="AB34" s="2">
        <v>1.2618661871528272</v>
      </c>
      <c r="AC34" s="2">
        <v>1.4620446297146059</v>
      </c>
      <c r="AD34" s="2">
        <v>2.23916953493588</v>
      </c>
      <c r="AE34" s="2">
        <v>1.7047946561999243</v>
      </c>
      <c r="AF34" s="2">
        <v>0.95131841386966243</v>
      </c>
      <c r="AG34" s="2">
        <v>1.4816406448729595</v>
      </c>
      <c r="AH34" s="2">
        <v>1.6081658478233443</v>
      </c>
      <c r="AI34" s="2">
        <v>1.8273899081472362</v>
      </c>
      <c r="AJ34" s="2">
        <v>1.1618142368776254</v>
      </c>
      <c r="AK34" s="2">
        <v>1.2006899831366382</v>
      </c>
      <c r="AL34" s="2">
        <v>1.6459203725719582</v>
      </c>
      <c r="AM34" s="2">
        <v>1.6536035710091246</v>
      </c>
      <c r="AN34" s="2">
        <v>1.167759894573297</v>
      </c>
      <c r="AO34" s="2">
        <v>1.1420673666751562</v>
      </c>
      <c r="AP34" s="2">
        <v>1.6819229250749479</v>
      </c>
      <c r="AQ34" s="2">
        <v>1.7928862571527564</v>
      </c>
      <c r="AR34" s="2">
        <v>1.416631437575127</v>
      </c>
      <c r="AS34" s="2">
        <v>1.1318174579763398</v>
      </c>
      <c r="AT34" s="2">
        <v>1.7675330147708483</v>
      </c>
      <c r="AU34" s="2">
        <v>1.7209629143353451</v>
      </c>
      <c r="AV34" s="2">
        <v>1.0687358477102942</v>
      </c>
      <c r="AW34" s="2">
        <v>1.1033192326049552</v>
      </c>
      <c r="AX34" s="2">
        <v>1.7798443167644906</v>
      </c>
      <c r="AY34" s="2">
        <v>2.0212208883890805</v>
      </c>
      <c r="AZ34" s="2">
        <v>1.6141919839304151</v>
      </c>
      <c r="BA34" s="2">
        <v>1.2536291120006824</v>
      </c>
      <c r="BB34" s="2">
        <v>1.6081535870684727</v>
      </c>
      <c r="BC34" s="2">
        <v>2.0643648261091232</v>
      </c>
      <c r="BD34" s="2">
        <v>1.402391741088804</v>
      </c>
      <c r="BE34" s="2">
        <v>1.4941619796152183</v>
      </c>
      <c r="BF34" s="2">
        <v>1.5726613706805141</v>
      </c>
      <c r="BG34" s="2">
        <v>2.306512886911098</v>
      </c>
      <c r="BH34" s="2">
        <v>1.8164113706797975</v>
      </c>
      <c r="BI34" s="2">
        <v>1.7541799472572355</v>
      </c>
      <c r="BJ34" s="2">
        <v>1.5568232096275589</v>
      </c>
      <c r="BK34" s="2">
        <v>1.7045523456338016</v>
      </c>
      <c r="BL34" s="2">
        <v>1.3624323270236618</v>
      </c>
      <c r="BM34" s="2">
        <v>1.2145814762137928</v>
      </c>
      <c r="BN34" s="2">
        <v>1.3674987078588117</v>
      </c>
      <c r="BO34" s="2">
        <v>1.8979774483038381</v>
      </c>
      <c r="BP34" s="2">
        <v>1.5271306758807883</v>
      </c>
      <c r="BQ34" s="2">
        <v>1.0033510018105982</v>
      </c>
      <c r="BR34" s="2">
        <v>17.184422977368907</v>
      </c>
      <c r="BS34" s="2">
        <v>4.9631428127430741</v>
      </c>
      <c r="BT34" s="2">
        <v>2.0196671259947223</v>
      </c>
      <c r="BU34" s="2">
        <v>1.3626867515454564</v>
      </c>
      <c r="BV34" s="2">
        <v>2.0358390828792361</v>
      </c>
      <c r="BW34" s="2">
        <v>1.7309751726444536</v>
      </c>
      <c r="BX34" s="2">
        <v>1.6842274733302796</v>
      </c>
      <c r="BY34" s="2">
        <v>1.3611758650247656</v>
      </c>
      <c r="BZ34" s="2">
        <v>2.0244328097731241</v>
      </c>
      <c r="CA34" s="2">
        <v>2.1061064772468132</v>
      </c>
    </row>
    <row r="35" spans="1:79" x14ac:dyDescent="0.2">
      <c r="A35" s="3" t="s">
        <v>130</v>
      </c>
      <c r="B35" s="3">
        <v>2.8410779170611228E-3</v>
      </c>
      <c r="C35" s="3">
        <v>3.2255362449413179E-3</v>
      </c>
      <c r="D35" s="3">
        <v>3.4479991286496064E-3</v>
      </c>
      <c r="E35" s="3">
        <v>4.2459007798509281E-3</v>
      </c>
      <c r="F35" s="3">
        <v>4.3962132528865567E-3</v>
      </c>
      <c r="G35" s="3">
        <v>3.7210579332484974E-3</v>
      </c>
      <c r="H35" s="3">
        <v>3.6581160859362645E-3</v>
      </c>
      <c r="I35" s="3">
        <v>3.615851794861825E-3</v>
      </c>
      <c r="J35" s="3">
        <v>3.8964150735496667E-3</v>
      </c>
      <c r="K35" s="3">
        <v>5.0590080712185096E-3</v>
      </c>
      <c r="L35" s="3">
        <v>5.1596962117342387E-3</v>
      </c>
      <c r="M35" s="3">
        <v>4.7745104398584986E-3</v>
      </c>
      <c r="N35" s="3">
        <v>5.1597318314067038E-3</v>
      </c>
      <c r="O35" s="3">
        <v>6.1318773205950063E-3</v>
      </c>
      <c r="P35" s="3">
        <v>6.5169363560088171E-3</v>
      </c>
      <c r="Q35" s="3">
        <v>5.777620127736526E-3</v>
      </c>
      <c r="R35" s="3">
        <v>4.6064698581649481E-3</v>
      </c>
      <c r="S35" s="3">
        <v>4.4715956262685328E-3</v>
      </c>
      <c r="T35" s="3">
        <v>4.3103448940772469E-3</v>
      </c>
      <c r="U35" s="3">
        <v>4.2016807370837033E-3</v>
      </c>
      <c r="V35" s="3">
        <v>4.25894384764021E-3</v>
      </c>
      <c r="W35" s="3">
        <v>4.7169809137841325E-3</v>
      </c>
      <c r="X35" s="3">
        <v>5.7736723226198836E-3</v>
      </c>
      <c r="Y35" s="3">
        <v>7.987220324074111E-3</v>
      </c>
      <c r="Z35" s="3">
        <v>9.124087731988334E-3</v>
      </c>
      <c r="AA35" s="3">
        <v>6.0423007329067236E-3</v>
      </c>
      <c r="AB35" s="3">
        <v>2.8571423062170982E-2</v>
      </c>
      <c r="AC35" s="3">
        <v>3.2193158953722337E-2</v>
      </c>
      <c r="AD35" s="3">
        <v>0</v>
      </c>
      <c r="AE35" s="3">
        <v>0</v>
      </c>
      <c r="AF35" s="3">
        <v>3.0418251537107276E-2</v>
      </c>
      <c r="AG35" s="3">
        <v>3.695150115473441E-2</v>
      </c>
      <c r="AH35" s="3">
        <v>0</v>
      </c>
      <c r="AI35" s="3">
        <v>6.1371944779149615E-9</v>
      </c>
      <c r="AJ35" s="3">
        <v>3.233256404477787E-2</v>
      </c>
      <c r="AK35" s="3">
        <v>3.3573141486810551E-2</v>
      </c>
      <c r="AL35" s="3">
        <v>0</v>
      </c>
      <c r="AM35" s="3">
        <v>3.6121303214889265E-9</v>
      </c>
      <c r="AN35" s="3">
        <v>3.2876712962709095E-2</v>
      </c>
      <c r="AO35" s="3">
        <v>3.6923076923076927E-2</v>
      </c>
      <c r="AP35" s="3">
        <v>0</v>
      </c>
      <c r="AQ35" s="3">
        <v>5.1240039124499083E-9</v>
      </c>
      <c r="AR35" s="3">
        <v>3.4614426725005129E-2</v>
      </c>
      <c r="AS35" s="3">
        <v>3.2027615658362991E-2</v>
      </c>
      <c r="AT35" s="3">
        <v>0</v>
      </c>
      <c r="AU35" s="3">
        <v>1.3402334305134405E-8</v>
      </c>
      <c r="AV35" s="3">
        <v>2.499926916865524E-2</v>
      </c>
      <c r="AW35" s="3">
        <v>0</v>
      </c>
      <c r="AX35" s="3">
        <v>0</v>
      </c>
      <c r="AY35" s="3">
        <v>2.5590060911588788E-9</v>
      </c>
      <c r="AZ35" s="3">
        <v>2.9846272012657857E-2</v>
      </c>
      <c r="BA35" s="3">
        <v>0</v>
      </c>
      <c r="BB35" s="3">
        <v>0</v>
      </c>
      <c r="BC35" s="3">
        <v>1.2393662073441341E-8</v>
      </c>
      <c r="BD35" s="3">
        <v>3.3739128871214871E-2</v>
      </c>
      <c r="BE35" s="3">
        <v>0</v>
      </c>
      <c r="BF35" s="3">
        <v>0</v>
      </c>
      <c r="BG35" s="3">
        <v>1.8325998775009406E-8</v>
      </c>
      <c r="BH35" s="3">
        <v>0</v>
      </c>
      <c r="BI35" s="3">
        <v>4.1544459833795018E-2</v>
      </c>
      <c r="BJ35" s="3">
        <v>0</v>
      </c>
      <c r="BK35" s="3">
        <v>1.0872218280913232E-8</v>
      </c>
      <c r="BL35" s="3">
        <v>4.8382741935483871E-2</v>
      </c>
      <c r="BM35" s="3">
        <v>0</v>
      </c>
      <c r="BN35" s="3">
        <v>0</v>
      </c>
      <c r="BO35" s="3">
        <v>7.1916949124117652E-9</v>
      </c>
      <c r="BP35" s="3">
        <v>4.6278604651162791E-2</v>
      </c>
      <c r="BQ35" s="3">
        <v>0</v>
      </c>
      <c r="BR35" s="3">
        <v>0</v>
      </c>
      <c r="BS35" s="3">
        <v>3.5842322020889004E-4</v>
      </c>
      <c r="BT35" s="3">
        <v>5.7330015313935681E-2</v>
      </c>
      <c r="BU35" s="3">
        <v>0</v>
      </c>
      <c r="BV35" s="3">
        <v>0</v>
      </c>
      <c r="BW35" s="3">
        <v>5.8675872242429437E-4</v>
      </c>
      <c r="BX35" s="3">
        <v>0</v>
      </c>
      <c r="BY35" s="3">
        <v>4.209773472004559E-2</v>
      </c>
      <c r="BZ35" s="3">
        <v>0</v>
      </c>
      <c r="CA35" s="3">
        <v>3.8960617909288542E-5</v>
      </c>
    </row>
    <row r="36" spans="1:79" x14ac:dyDescent="0.2">
      <c r="A36" s="3" t="s">
        <v>129</v>
      </c>
      <c r="B36" s="3">
        <v>0.22649350195640022</v>
      </c>
      <c r="C36" s="3">
        <v>0.25638045730646336</v>
      </c>
      <c r="D36" s="3">
        <v>0.25800681845315743</v>
      </c>
      <c r="E36" s="3">
        <v>0.29300876283353378</v>
      </c>
      <c r="F36" s="3">
        <v>0.28686894790624806</v>
      </c>
      <c r="G36" s="3">
        <v>0.27686156720401411</v>
      </c>
      <c r="H36" s="3">
        <v>0.27904730002426292</v>
      </c>
      <c r="I36" s="3">
        <v>0.36620490485509183</v>
      </c>
      <c r="J36" s="3">
        <v>0.34501743103596255</v>
      </c>
      <c r="K36" s="3">
        <v>0.3258989912530581</v>
      </c>
      <c r="L36" s="3">
        <v>0.33795519431279619</v>
      </c>
      <c r="M36" s="3">
        <v>0.39223834434179927</v>
      </c>
      <c r="N36" s="3">
        <v>0.34450809586618525</v>
      </c>
      <c r="O36" s="3">
        <v>0.24098531397209713</v>
      </c>
      <c r="P36" s="3">
        <v>0.25388833769639008</v>
      </c>
      <c r="Q36" s="3">
        <v>0.30084526923957883</v>
      </c>
      <c r="R36" s="3">
        <v>0.35173629746221602</v>
      </c>
      <c r="S36" s="3">
        <v>0.44003638769650716</v>
      </c>
      <c r="T36" s="3">
        <v>0.41486408333658492</v>
      </c>
      <c r="U36" s="3">
        <v>0.48248333929274317</v>
      </c>
      <c r="V36" s="3">
        <v>0.46406845310510858</v>
      </c>
      <c r="W36" s="3">
        <v>0.47797916707818727</v>
      </c>
      <c r="X36" s="3">
        <v>0.47211371433581989</v>
      </c>
      <c r="Y36" s="3">
        <v>0.53654007918892843</v>
      </c>
      <c r="Z36" s="3">
        <v>0.55413085348490843</v>
      </c>
      <c r="AA36" s="3">
        <v>0.44694100917826518</v>
      </c>
      <c r="AB36" s="3">
        <v>2.0524709011742628</v>
      </c>
      <c r="AC36" s="3">
        <v>3.1070696631535903</v>
      </c>
      <c r="AD36" s="3">
        <v>0</v>
      </c>
      <c r="AE36" s="3">
        <v>0</v>
      </c>
      <c r="AF36" s="3">
        <v>2.3289463621345283</v>
      </c>
      <c r="AG36" s="3">
        <v>2.8695738456176128</v>
      </c>
      <c r="AH36" s="3">
        <v>0</v>
      </c>
      <c r="AI36" s="3">
        <v>3.657104143236078E-7</v>
      </c>
      <c r="AJ36" s="3">
        <v>2.0184796321868306</v>
      </c>
      <c r="AK36" s="3">
        <v>2.7389447565307545</v>
      </c>
      <c r="AL36" s="3">
        <v>0</v>
      </c>
      <c r="AM36" s="3">
        <v>1.7406114235508616E-7</v>
      </c>
      <c r="AN36" s="3">
        <v>1.6079351063532492</v>
      </c>
      <c r="AO36" s="3">
        <v>2.145775400740578</v>
      </c>
      <c r="AP36" s="3">
        <v>0</v>
      </c>
      <c r="AQ36" s="3">
        <v>2.749071244366086E-7</v>
      </c>
      <c r="AR36" s="3">
        <v>1.5489802603037568</v>
      </c>
      <c r="AS36" s="3">
        <v>1.4692423620185342</v>
      </c>
      <c r="AT36" s="3">
        <v>0</v>
      </c>
      <c r="AU36" s="3">
        <v>6.9609061588307742E-7</v>
      </c>
      <c r="AV36" s="3">
        <v>1.0190563616437329</v>
      </c>
      <c r="AW36" s="3">
        <v>0</v>
      </c>
      <c r="AX36" s="3">
        <v>0</v>
      </c>
      <c r="AY36" s="3">
        <v>1.722396189705307E-7</v>
      </c>
      <c r="AZ36" s="3">
        <v>1.4970240285334468</v>
      </c>
      <c r="BA36" s="3">
        <v>0</v>
      </c>
      <c r="BB36" s="3">
        <v>0</v>
      </c>
      <c r="BC36" s="3">
        <v>7.69799495617748E-7</v>
      </c>
      <c r="BD36" s="3">
        <v>1.5745088263414189</v>
      </c>
      <c r="BE36" s="3">
        <v>0</v>
      </c>
      <c r="BF36" s="3">
        <v>0</v>
      </c>
      <c r="BG36" s="3">
        <v>1.1400100491885836E-6</v>
      </c>
      <c r="BH36" s="3">
        <v>0</v>
      </c>
      <c r="BI36" s="3">
        <v>2.1620710251929789</v>
      </c>
      <c r="BJ36" s="3">
        <v>0</v>
      </c>
      <c r="BK36" s="3">
        <v>4.9115382839674617E-7</v>
      </c>
      <c r="BL36" s="3">
        <v>1.6554694137609227</v>
      </c>
      <c r="BM36" s="3">
        <v>0</v>
      </c>
      <c r="BN36" s="3">
        <v>0</v>
      </c>
      <c r="BO36" s="3">
        <v>3.6735428960981556E-7</v>
      </c>
      <c r="BP36" s="3">
        <v>2.5359144738945676</v>
      </c>
      <c r="BQ36" s="3">
        <v>0</v>
      </c>
      <c r="BR36" s="3">
        <v>0</v>
      </c>
      <c r="BS36" s="3">
        <v>3.1672060227357308E-2</v>
      </c>
      <c r="BT36" s="3">
        <v>2.5668968653937139</v>
      </c>
      <c r="BU36" s="3">
        <v>0</v>
      </c>
      <c r="BV36" s="3">
        <v>0</v>
      </c>
      <c r="BW36" s="3">
        <v>2.709715286870994E-2</v>
      </c>
      <c r="BX36" s="3">
        <v>0</v>
      </c>
      <c r="BY36" s="3">
        <v>3.0851837079566007</v>
      </c>
      <c r="BZ36" s="3">
        <v>0</v>
      </c>
      <c r="CA36" s="3">
        <v>2.4446546460613343E-3</v>
      </c>
    </row>
    <row r="37" spans="1:79" x14ac:dyDescent="0.2">
      <c r="A37" s="3" t="s">
        <v>128</v>
      </c>
      <c r="B37" s="3">
        <v>2.3145164063581528E-2</v>
      </c>
      <c r="C37" s="3">
        <v>2.2304964200021031E-2</v>
      </c>
      <c r="D37" s="3">
        <v>2.4266656430128555E-2</v>
      </c>
      <c r="E37" s="3">
        <v>2.4874918611425243E-2</v>
      </c>
      <c r="F37" s="3">
        <v>3.4123832594184833E-2</v>
      </c>
      <c r="G37" s="3">
        <v>3.3516761259285106E-2</v>
      </c>
      <c r="H37" s="3">
        <v>3.4612807625154021E-2</v>
      </c>
      <c r="I37" s="3">
        <v>3.3017475844318238E-2</v>
      </c>
      <c r="J37" s="3">
        <v>3.2478753639234546E-2</v>
      </c>
      <c r="K37" s="3">
        <v>3.3908899507456888E-2</v>
      </c>
      <c r="L37" s="3">
        <v>3.2138226520074697E-2</v>
      </c>
      <c r="M37" s="3">
        <v>3.4375756785627216E-2</v>
      </c>
      <c r="N37" s="3">
        <v>3.1756313210940808E-2</v>
      </c>
      <c r="O37" s="3">
        <v>3.1890152629088404E-2</v>
      </c>
      <c r="P37" s="3">
        <v>2.8066800425296724E-2</v>
      </c>
      <c r="Q37" s="3">
        <v>2.5696198070678022E-2</v>
      </c>
      <c r="R37" s="3">
        <v>2.5581892108146799E-2</v>
      </c>
      <c r="S37" s="3">
        <v>3.5684804520400702E-2</v>
      </c>
      <c r="T37" s="3">
        <v>2.6004466550045041E-2</v>
      </c>
      <c r="U37" s="3">
        <v>2.6092098017611528E-2</v>
      </c>
      <c r="V37" s="3">
        <v>2.305529565211225E-2</v>
      </c>
      <c r="W37" s="3">
        <v>2.3178694803247853E-2</v>
      </c>
      <c r="X37" s="3">
        <v>3.1443256929523121E-2</v>
      </c>
      <c r="Y37" s="3">
        <v>2.7774794854934063E-2</v>
      </c>
      <c r="Z37" s="3">
        <v>2.367807914697441E-2</v>
      </c>
      <c r="AA37" s="3">
        <v>2.9337687596339646E-2</v>
      </c>
      <c r="AB37" s="3">
        <v>2.5277225501631063E-2</v>
      </c>
      <c r="AC37" s="3">
        <v>2.3941671808467357E-2</v>
      </c>
      <c r="AD37" s="3">
        <v>2.5607903320298244E-2</v>
      </c>
      <c r="AE37" s="3">
        <v>2.4719519896746051E-2</v>
      </c>
      <c r="AF37" s="3">
        <v>2.3977892618342322E-2</v>
      </c>
      <c r="AG37" s="3">
        <v>2.8078985851796249E-2</v>
      </c>
      <c r="AH37" s="3">
        <v>2.5406361848505556E-2</v>
      </c>
      <c r="AI37" s="3">
        <v>2.7465411506393516E-2</v>
      </c>
      <c r="AJ37" s="3">
        <v>2.5747713668067516E-2</v>
      </c>
      <c r="AK37" s="3">
        <v>2.9509095064935105E-2</v>
      </c>
      <c r="AL37" s="3">
        <v>2.8830955003662177E-2</v>
      </c>
      <c r="AM37" s="3">
        <v>2.7518209663562755E-2</v>
      </c>
      <c r="AN37" s="3">
        <v>2.7326370972419904E-2</v>
      </c>
      <c r="AO37" s="3">
        <v>2.752038739702865E-2</v>
      </c>
      <c r="AP37" s="3">
        <v>2.5852600473663761E-2</v>
      </c>
      <c r="AQ37" s="3">
        <v>2.7258744726161306E-2</v>
      </c>
      <c r="AR37" s="3">
        <v>2.6697192761783624E-2</v>
      </c>
      <c r="AS37" s="3">
        <v>2.8928041899844385E-2</v>
      </c>
      <c r="AT37" s="3">
        <v>2.5930948134910245E-2</v>
      </c>
      <c r="AU37" s="3">
        <v>2.5320270635737739E-2</v>
      </c>
      <c r="AV37" s="3">
        <v>2.8392970965774662E-2</v>
      </c>
      <c r="AW37" s="3">
        <v>3.6297738043450434E-2</v>
      </c>
      <c r="AX37" s="3">
        <v>3.9185822565905283E-2</v>
      </c>
      <c r="AY37" s="3">
        <v>3.3657927858644056E-2</v>
      </c>
      <c r="AZ37" s="3">
        <v>3.6321023655875605E-2</v>
      </c>
      <c r="BA37" s="3">
        <v>4.3943010579543973E-2</v>
      </c>
      <c r="BB37" s="3">
        <v>4.312580699142389E-2</v>
      </c>
      <c r="BC37" s="3">
        <v>3.9525182753768241E-2</v>
      </c>
      <c r="BD37" s="3">
        <v>4.0375335858758563E-2</v>
      </c>
      <c r="BE37" s="3">
        <v>4.2741099264941226E-2</v>
      </c>
      <c r="BF37" s="3">
        <v>5.4475362871735017E-2</v>
      </c>
      <c r="BG37" s="3">
        <v>4.859013925951438E-2</v>
      </c>
      <c r="BH37" s="3">
        <v>4.2760240223247113E-2</v>
      </c>
      <c r="BI37" s="3">
        <v>4.0690158782275734E-2</v>
      </c>
      <c r="BJ37" s="3">
        <v>4.31221486143697E-2</v>
      </c>
      <c r="BK37" s="3">
        <v>4.7500522914932203E-2</v>
      </c>
      <c r="BL37" s="3">
        <v>4.4762421031196653E-2</v>
      </c>
      <c r="BM37" s="3">
        <v>4.0656162344434525E-2</v>
      </c>
      <c r="BN37" s="3">
        <v>3.9571755513589026E-2</v>
      </c>
      <c r="BO37" s="3">
        <v>4.8707994857755156E-2</v>
      </c>
      <c r="BP37" s="3">
        <v>5.1954466047894103E-2</v>
      </c>
      <c r="BQ37" s="3">
        <v>5.4883307281841209E-2</v>
      </c>
      <c r="BR37" s="3">
        <v>6.4353414973916792E-2</v>
      </c>
      <c r="BS37" s="3">
        <v>5.172667816462697E-2</v>
      </c>
      <c r="BT37" s="3">
        <v>4.5123484952304296E-2</v>
      </c>
      <c r="BU37" s="3">
        <v>4.0402734744555018E-2</v>
      </c>
      <c r="BV37" s="3">
        <v>4.3965197700236873E-2</v>
      </c>
      <c r="BW37" s="3">
        <v>3.3070613834433049E-2</v>
      </c>
      <c r="BX37" s="3">
        <v>4.148148148148148E-2</v>
      </c>
      <c r="BY37" s="3">
        <v>3.0382306973209695E-2</v>
      </c>
      <c r="BZ37" s="3">
        <v>4.2574759249873292E-2</v>
      </c>
      <c r="CA37" s="3">
        <v>0.50934830480350157</v>
      </c>
    </row>
    <row r="38" spans="1:79" x14ac:dyDescent="0.2">
      <c r="A38" s="3" t="s">
        <v>127</v>
      </c>
      <c r="B38" s="3">
        <v>5.9745014341730865E-2</v>
      </c>
      <c r="C38" s="3">
        <v>6.1999445554397806E-2</v>
      </c>
      <c r="D38" s="3">
        <v>6.4392202182402991E-2</v>
      </c>
      <c r="E38" s="3">
        <v>6.5624892909770055E-2</v>
      </c>
      <c r="F38" s="3">
        <v>6.7378282379351187E-2</v>
      </c>
      <c r="G38" s="3">
        <v>6.5900483729263604E-2</v>
      </c>
      <c r="H38" s="3">
        <v>6.9480547464343068E-2</v>
      </c>
      <c r="I38" s="3">
        <v>7.1354087348853831E-2</v>
      </c>
      <c r="J38" s="3">
        <v>7.7802053782350264E-2</v>
      </c>
      <c r="K38" s="3">
        <v>8.0587790494125774E-2</v>
      </c>
      <c r="L38" s="3">
        <v>9.3533337113362466E-2</v>
      </c>
      <c r="M38" s="3">
        <v>8.6650797229640364E-2</v>
      </c>
      <c r="N38" s="3">
        <v>7.6984855639707028E-2</v>
      </c>
      <c r="O38" s="3">
        <v>7.1278578615552438E-2</v>
      </c>
      <c r="P38" s="3">
        <v>7.0093803589223916E-2</v>
      </c>
      <c r="Q38" s="3">
        <v>7.4229733819551197E-2</v>
      </c>
      <c r="R38" s="3">
        <v>7.3407271629490137E-2</v>
      </c>
      <c r="S38" s="3">
        <v>7.3559243845748953E-2</v>
      </c>
      <c r="T38" s="3">
        <v>7.4436553858601026E-2</v>
      </c>
      <c r="U38" s="3">
        <v>8.2960582242967026E-2</v>
      </c>
      <c r="V38" s="3">
        <v>8.4866141885674692E-2</v>
      </c>
      <c r="W38" s="3">
        <v>8.2804002107115096E-2</v>
      </c>
      <c r="X38" s="3">
        <v>8.3278621311476467E-2</v>
      </c>
      <c r="Y38" s="3">
        <v>8.0137451153075745E-2</v>
      </c>
      <c r="Z38" s="3">
        <v>8.0391906990033249E-2</v>
      </c>
      <c r="AA38" s="3">
        <v>8.0810245967525854E-2</v>
      </c>
      <c r="AB38" s="3">
        <v>8.1808779974912232E-2</v>
      </c>
      <c r="AC38" s="3">
        <v>8.8750289067481836E-2</v>
      </c>
      <c r="AD38" s="3">
        <v>9.335339144065545E-2</v>
      </c>
      <c r="AE38" s="3">
        <v>8.1750761808462538E-2</v>
      </c>
      <c r="AF38" s="3">
        <v>8.406979490348615E-2</v>
      </c>
      <c r="AG38" s="3">
        <v>8.5291071175261773E-2</v>
      </c>
      <c r="AH38" s="3">
        <v>8.2386147372965735E-2</v>
      </c>
      <c r="AI38" s="3">
        <v>7.6430109430274284E-2</v>
      </c>
      <c r="AJ38" s="3">
        <v>8.3476939497541258E-2</v>
      </c>
      <c r="AK38" s="3">
        <v>8.9132409478082861E-2</v>
      </c>
      <c r="AL38" s="3">
        <v>8.2987894452239905E-2</v>
      </c>
      <c r="AM38" s="3">
        <v>7.6120808009451715E-2</v>
      </c>
      <c r="AN38" s="3">
        <v>7.1901130554147416E-2</v>
      </c>
      <c r="AO38" s="3">
        <v>7.6209755603802304E-2</v>
      </c>
      <c r="AP38" s="3">
        <v>7.6765817531205455E-2</v>
      </c>
      <c r="AQ38" s="3">
        <v>7.6963254501875272E-2</v>
      </c>
      <c r="AR38" s="3">
        <v>7.7574067101447E-2</v>
      </c>
      <c r="AS38" s="3">
        <v>8.0861328382040715E-2</v>
      </c>
      <c r="AT38" s="3">
        <v>7.558720564666295E-2</v>
      </c>
      <c r="AU38" s="3">
        <v>7.1660683938801359E-2</v>
      </c>
      <c r="AV38" s="3">
        <v>7.2745919989639821E-2</v>
      </c>
      <c r="AW38" s="3">
        <v>7.43668774741503E-2</v>
      </c>
      <c r="AX38" s="3">
        <v>8.1409891075923432E-2</v>
      </c>
      <c r="AY38" s="3">
        <v>8.2303034120734045E-2</v>
      </c>
      <c r="AZ38" s="3">
        <v>8.2183590415824057E-2</v>
      </c>
      <c r="BA38" s="3">
        <v>7.6604615573526061E-2</v>
      </c>
      <c r="BB38" s="3">
        <v>8.022824988067058E-2</v>
      </c>
      <c r="BC38" s="3">
        <v>8.0018383047742225E-2</v>
      </c>
      <c r="BD38" s="3">
        <v>7.5308335544136878E-2</v>
      </c>
      <c r="BE38" s="3">
        <v>7.8676290953846026E-2</v>
      </c>
      <c r="BF38" s="3">
        <v>8.6649170026055725E-2</v>
      </c>
      <c r="BG38" s="3">
        <v>8.360047942185167E-2</v>
      </c>
      <c r="BH38" s="3">
        <v>8.0945062947524252E-2</v>
      </c>
      <c r="BI38" s="3">
        <v>7.6854352575855184E-2</v>
      </c>
      <c r="BJ38" s="3">
        <v>7.5572379092898351E-2</v>
      </c>
      <c r="BK38" s="3">
        <v>7.3286806932979495E-2</v>
      </c>
      <c r="BL38" s="3">
        <v>7.158196251276841E-2</v>
      </c>
      <c r="BM38" s="3">
        <v>6.8501260314213525E-2</v>
      </c>
      <c r="BN38" s="3">
        <v>6.9531081744277037E-2</v>
      </c>
      <c r="BO38" s="3">
        <v>7.1307987871446141E-2</v>
      </c>
      <c r="BP38" s="3">
        <v>6.8952893292504647E-2</v>
      </c>
      <c r="BQ38" s="3">
        <v>6.8668139923462518E-2</v>
      </c>
      <c r="BR38" s="3">
        <v>9.440306595477696E-2</v>
      </c>
      <c r="BS38" s="3">
        <v>7.4478057338236633E-2</v>
      </c>
      <c r="BT38" s="3">
        <v>6.4323890179316418E-2</v>
      </c>
      <c r="BU38" s="3">
        <v>5.7980566364680332E-2</v>
      </c>
      <c r="BV38" s="3">
        <v>6.024243310748429E-2</v>
      </c>
      <c r="BW38" s="3">
        <v>5.3506386074359022E-2</v>
      </c>
      <c r="BX38" s="3">
        <v>5.2592592592592594E-2</v>
      </c>
      <c r="BY38" s="3">
        <v>5.2165992185587561E-2</v>
      </c>
      <c r="BZ38" s="3">
        <v>6.0821084642676125E-2</v>
      </c>
      <c r="CA38" s="3">
        <v>0.43085505874100388</v>
      </c>
    </row>
    <row r="39" spans="1:79" x14ac:dyDescent="0.2">
      <c r="A39" s="3" t="s">
        <v>126</v>
      </c>
      <c r="B39" s="3">
        <v>0</v>
      </c>
      <c r="C39" s="3">
        <v>3.1454102496097326E-3</v>
      </c>
      <c r="D39" s="3">
        <v>3.4753434694210863E-3</v>
      </c>
      <c r="E39" s="3">
        <v>3.5264146938724194E-3</v>
      </c>
      <c r="F39" s="3">
        <v>3.5678280575998436E-3</v>
      </c>
      <c r="G39" s="3">
        <v>3.9275887868561784E-3</v>
      </c>
      <c r="H39" s="3">
        <v>3.5816177883423424E-3</v>
      </c>
      <c r="I39" s="3">
        <v>3.7494540531983079E-3</v>
      </c>
      <c r="J39" s="3">
        <v>3.8423191944924025E-3</v>
      </c>
      <c r="K39" s="3">
        <v>4.1153092787772584E-3</v>
      </c>
      <c r="L39" s="3">
        <v>4.2684526101510415E-3</v>
      </c>
      <c r="M39" s="3">
        <v>4.6315360511394637E-3</v>
      </c>
      <c r="N39" s="3">
        <v>4.8152176968420434E-3</v>
      </c>
      <c r="O39" s="3">
        <v>5.2370660078557198E-3</v>
      </c>
      <c r="P39" s="3">
        <v>5.7516296260465795E-3</v>
      </c>
      <c r="Q39" s="3">
        <v>6.2607823950297297E-3</v>
      </c>
      <c r="R39" s="3">
        <v>6.4167607689731314E-3</v>
      </c>
      <c r="S39" s="3">
        <v>7.1998722680806943E-3</v>
      </c>
      <c r="T39" s="3">
        <v>7.6955323789254298E-3</v>
      </c>
      <c r="U39" s="3">
        <v>8.57994506269108E-3</v>
      </c>
      <c r="V39" s="3">
        <v>8.5685377086208592E-3</v>
      </c>
      <c r="W39" s="3">
        <v>9.334237242947685E-3</v>
      </c>
      <c r="X39" s="3">
        <v>9.9938498592776551E-3</v>
      </c>
      <c r="Y39" s="3">
        <v>1.1187976039128482E-2</v>
      </c>
      <c r="Z39" s="3">
        <v>1.1621269584749837E-2</v>
      </c>
      <c r="AA39" s="3">
        <v>9.1194295113093196E-3</v>
      </c>
      <c r="AB39" s="3">
        <v>8.4777813421576063E-3</v>
      </c>
      <c r="AC39" s="3">
        <v>7.8151604091143551E-3</v>
      </c>
      <c r="AD39" s="3">
        <v>8.216930940932312E-3</v>
      </c>
      <c r="AE39" s="3">
        <v>8.1348546375767019E-3</v>
      </c>
      <c r="AF39" s="3">
        <v>7.1015095294811132E-3</v>
      </c>
      <c r="AG39" s="3">
        <v>6.7167254268719299E-3</v>
      </c>
      <c r="AH39" s="3">
        <v>6.6731358152275124E-3</v>
      </c>
      <c r="AI39" s="3">
        <v>7.1170217679888664E-3</v>
      </c>
      <c r="AJ39" s="3">
        <v>8.0597385073616339E-3</v>
      </c>
      <c r="AK39" s="3">
        <v>7.1076580369686298E-3</v>
      </c>
      <c r="AL39" s="3">
        <v>7.3803191478707805E-3</v>
      </c>
      <c r="AM39" s="3">
        <v>7.7478797476558166E-3</v>
      </c>
      <c r="AN39" s="3">
        <v>8.5126698564094317E-3</v>
      </c>
      <c r="AO39" s="3">
        <v>7.7953049555964677E-3</v>
      </c>
      <c r="AP39" s="3">
        <v>8.1026963679559291E-3</v>
      </c>
      <c r="AQ39" s="3">
        <v>8.4867395109947674E-3</v>
      </c>
      <c r="AR39" s="3">
        <v>8.3721193506122414E-3</v>
      </c>
      <c r="AS39" s="3">
        <v>8.0420687714933946E-3</v>
      </c>
      <c r="AT39" s="3">
        <v>8.4392091540171285E-3</v>
      </c>
      <c r="AU39" s="3">
        <v>9.0520606374004664E-3</v>
      </c>
      <c r="AV39" s="3">
        <v>8.8461441822992454E-3</v>
      </c>
      <c r="AW39" s="3">
        <v>8.5003170753200664E-3</v>
      </c>
      <c r="AX39" s="3">
        <v>9.3272215426276929E-3</v>
      </c>
      <c r="AY39" s="3">
        <v>9.0991397138123226E-3</v>
      </c>
      <c r="AZ39" s="3">
        <v>9.6754912102938236E-3</v>
      </c>
      <c r="BA39" s="3">
        <v>9.5242854434191473E-3</v>
      </c>
      <c r="BB39" s="3">
        <v>1.0812090806131026E-2</v>
      </c>
      <c r="BC39" s="3">
        <v>1.140029315217856E-2</v>
      </c>
      <c r="BD39" s="3">
        <v>1.2392684305410321E-2</v>
      </c>
      <c r="BE39" s="3">
        <v>1.2286996975684247E-2</v>
      </c>
      <c r="BF39" s="3">
        <v>6.7203529465002772E-3</v>
      </c>
      <c r="BG39" s="3">
        <v>1.3933316708178243E-2</v>
      </c>
      <c r="BH39" s="3">
        <v>1.4788481330884234E-2</v>
      </c>
      <c r="BI39" s="3">
        <v>1.4260907558625016E-2</v>
      </c>
      <c r="BJ39" s="3">
        <v>1.4944588653260938E-2</v>
      </c>
      <c r="BK39" s="3">
        <v>1.6318720808135546E-2</v>
      </c>
      <c r="BL39" s="3">
        <v>1.8057430904537604E-2</v>
      </c>
      <c r="BM39" s="3">
        <v>1.7813821680022865E-2</v>
      </c>
      <c r="BN39" s="3">
        <v>1.9452492331331284E-2</v>
      </c>
      <c r="BO39" s="3">
        <v>2.0833998939290346E-2</v>
      </c>
      <c r="BP39" s="3">
        <v>2.2171974348828331E-2</v>
      </c>
      <c r="BQ39" s="3">
        <v>0</v>
      </c>
      <c r="BR39" s="3">
        <v>2.3219132290103348E-2</v>
      </c>
      <c r="BS39" s="3">
        <v>2.3563801826605259E-2</v>
      </c>
      <c r="BT39" s="3">
        <v>2.3845081594227113E-2</v>
      </c>
      <c r="BU39" s="3">
        <v>2.6248663389102111E-3</v>
      </c>
      <c r="BV39" s="3">
        <v>0</v>
      </c>
      <c r="BW39" s="3">
        <v>2.4369461184850442E-2</v>
      </c>
      <c r="BX39" s="3">
        <v>0</v>
      </c>
      <c r="BY39" s="3">
        <v>1.848919970681737E-2</v>
      </c>
      <c r="BZ39" s="3">
        <v>0</v>
      </c>
      <c r="CA39" s="3">
        <v>2.099533030508511E-2</v>
      </c>
    </row>
    <row r="40" spans="1:79" x14ac:dyDescent="0.2">
      <c r="A40" s="2" t="s">
        <v>125</v>
      </c>
      <c r="B40" s="2">
        <v>0.48446857528010429</v>
      </c>
      <c r="C40" s="2">
        <v>0.57382042549401746</v>
      </c>
      <c r="D40" s="2">
        <v>0.67345939474590522</v>
      </c>
      <c r="E40" s="2">
        <v>0.64075966155019415</v>
      </c>
      <c r="F40" s="2">
        <v>0.53250891447362569</v>
      </c>
      <c r="G40" s="2">
        <v>0.58852821021051716</v>
      </c>
      <c r="H40" s="2">
        <v>0.5303770748227159</v>
      </c>
      <c r="I40" s="2">
        <v>0.55262703471917851</v>
      </c>
      <c r="J40" s="2">
        <v>0.42025011886701724</v>
      </c>
      <c r="K40" s="2">
        <v>0.4309713825478878</v>
      </c>
      <c r="L40" s="2">
        <v>0.77315711655937092</v>
      </c>
      <c r="M40" s="2">
        <v>1.5096283465404385</v>
      </c>
      <c r="N40" s="2">
        <v>0.78600676824287374</v>
      </c>
      <c r="O40" s="2">
        <v>0.69488626683764532</v>
      </c>
      <c r="P40" s="2">
        <v>0.64850258469890421</v>
      </c>
      <c r="Q40" s="2">
        <v>0.6520456406022157</v>
      </c>
      <c r="R40" s="2">
        <v>0.70590843497173794</v>
      </c>
      <c r="S40" s="2">
        <v>0.63172824264519056</v>
      </c>
      <c r="T40" s="2">
        <v>0.59676851226182737</v>
      </c>
      <c r="U40" s="2">
        <v>0.90970144114560447</v>
      </c>
      <c r="V40" s="2">
        <v>1.0965416888333415</v>
      </c>
      <c r="W40" s="2">
        <v>0.35506636399505959</v>
      </c>
      <c r="X40" s="2">
        <v>0.53488769605042463</v>
      </c>
      <c r="Y40" s="2">
        <v>0.78868126412430262</v>
      </c>
      <c r="Z40" s="2">
        <v>0.95259932793392599</v>
      </c>
      <c r="AA40" s="2">
        <v>0.87042773264618256</v>
      </c>
      <c r="AB40" s="2">
        <v>0.69217582696662505</v>
      </c>
      <c r="AC40" s="2">
        <v>0.9929755623396902</v>
      </c>
      <c r="AD40" s="2">
        <v>0.51118754103532849</v>
      </c>
      <c r="AE40" s="2">
        <v>0.60254419871997977</v>
      </c>
      <c r="AF40" s="2">
        <v>0.75995007232058354</v>
      </c>
      <c r="AG40" s="2">
        <v>0.46889282977646568</v>
      </c>
      <c r="AH40" s="2">
        <v>0.44840143952389805</v>
      </c>
      <c r="AI40" s="2">
        <v>0.30766773354513943</v>
      </c>
      <c r="AJ40" s="2">
        <v>0.54306182673134962</v>
      </c>
      <c r="AK40" s="2">
        <v>1.0274774135259463</v>
      </c>
      <c r="AL40" s="2">
        <v>0.64234822329746455</v>
      </c>
      <c r="AM40" s="2">
        <v>0.61438592873525288</v>
      </c>
      <c r="AN40" s="2">
        <v>0.83048495565117819</v>
      </c>
      <c r="AO40" s="2">
        <v>0.70466339642105069</v>
      </c>
      <c r="AP40" s="2">
        <v>0.32210522056025659</v>
      </c>
      <c r="AQ40" s="2">
        <v>0.59548336145530933</v>
      </c>
      <c r="AR40" s="2">
        <v>0.60412811000397593</v>
      </c>
      <c r="AS40" s="2">
        <v>0.48846514944400482</v>
      </c>
      <c r="AT40" s="2">
        <v>0.32068488479032792</v>
      </c>
      <c r="AU40" s="2">
        <v>0.35150656721400131</v>
      </c>
      <c r="AV40" s="2">
        <v>0.53642811206916585</v>
      </c>
      <c r="AW40" s="2">
        <v>0.89730868795080365</v>
      </c>
      <c r="AX40" s="2">
        <v>1.2237229546352486</v>
      </c>
      <c r="AY40" s="2">
        <v>0.72676478997682903</v>
      </c>
      <c r="AZ40" s="2">
        <v>0.57782643548747836</v>
      </c>
      <c r="BA40" s="2">
        <v>1.0490071087925865</v>
      </c>
      <c r="BB40" s="2">
        <v>1.1060329316134507</v>
      </c>
      <c r="BC40" s="2">
        <v>0.69973960025206483</v>
      </c>
      <c r="BD40" s="2">
        <v>1.0429494652776903</v>
      </c>
      <c r="BE40" s="2">
        <v>0.87189113668541607</v>
      </c>
      <c r="BF40" s="2">
        <v>0.87295325480181196</v>
      </c>
      <c r="BG40" s="2">
        <v>0.40874310633387961</v>
      </c>
      <c r="BH40" s="2">
        <v>0.68916684337409806</v>
      </c>
      <c r="BI40" s="2">
        <v>1.0258299451400896</v>
      </c>
      <c r="BJ40" s="2">
        <v>1.438830701022958</v>
      </c>
      <c r="BK40" s="2">
        <v>0.63094567021937398</v>
      </c>
      <c r="BL40" s="2">
        <v>0.6686843644700694</v>
      </c>
      <c r="BM40" s="2">
        <v>1.0939606773695829</v>
      </c>
      <c r="BN40" s="2">
        <v>1.0105257237819938</v>
      </c>
      <c r="BO40" s="2">
        <v>0.68895118846073178</v>
      </c>
      <c r="BP40" s="2">
        <v>0.6867075294152547</v>
      </c>
      <c r="BQ40" s="2">
        <v>0.31346367063496111</v>
      </c>
      <c r="BR40" s="2">
        <v>0.20968008722304593</v>
      </c>
      <c r="BS40" s="2">
        <v>0.17966008779350531</v>
      </c>
      <c r="BT40" s="2">
        <v>0.19207973467047179</v>
      </c>
      <c r="BU40" s="2">
        <v>0.51488611688148556</v>
      </c>
      <c r="BV40" s="2">
        <v>0.27759563303139345</v>
      </c>
      <c r="BW40" s="2">
        <v>0.33590967721103049</v>
      </c>
      <c r="BX40" s="2">
        <v>0.48594777103789888</v>
      </c>
      <c r="BY40" s="2">
        <v>0.73188742248683702</v>
      </c>
      <c r="BZ40" s="2">
        <v>0.36551724137931035</v>
      </c>
      <c r="CA40" s="2">
        <v>0.31963930708706001</v>
      </c>
    </row>
    <row r="41" spans="1:79" x14ac:dyDescent="0.2">
      <c r="A41" s="2" t="s">
        <v>124</v>
      </c>
      <c r="B41" s="2">
        <v>0.30928672263454027</v>
      </c>
      <c r="C41" s="2">
        <v>0.40991163379823914</v>
      </c>
      <c r="D41" s="2">
        <v>0.29037960719978828</v>
      </c>
      <c r="E41" s="2">
        <v>0.35594171614235293</v>
      </c>
      <c r="F41" s="2">
        <v>0.39692817311564793</v>
      </c>
      <c r="G41" s="2">
        <v>0.42029328202417843</v>
      </c>
      <c r="H41" s="2">
        <v>0.27366851153546812</v>
      </c>
      <c r="I41" s="2">
        <v>0.30988345852419097</v>
      </c>
      <c r="J41" s="2">
        <v>0.30939270930282842</v>
      </c>
      <c r="K41" s="2">
        <v>0.27202575739893753</v>
      </c>
      <c r="L41" s="2">
        <v>0.41666973092899096</v>
      </c>
      <c r="M41" s="2">
        <v>0.52508450117302119</v>
      </c>
      <c r="N41" s="2">
        <v>0.59533100108317205</v>
      </c>
      <c r="O41" s="2">
        <v>0.54086381522785898</v>
      </c>
      <c r="P41" s="2">
        <v>0.43649840278709784</v>
      </c>
      <c r="Q41" s="2">
        <v>0.41364615788726633</v>
      </c>
      <c r="R41" s="2">
        <v>0.53498397385122609</v>
      </c>
      <c r="S41" s="2">
        <v>0.54514791311219513</v>
      </c>
      <c r="T41" s="2">
        <v>0.45866268398206472</v>
      </c>
      <c r="U41" s="2">
        <v>0.45819215655337814</v>
      </c>
      <c r="V41" s="2">
        <v>0.68930013095932752</v>
      </c>
      <c r="W41" s="2">
        <v>0.25446205667429189</v>
      </c>
      <c r="X41" s="2">
        <v>0.28537910116072307</v>
      </c>
      <c r="Y41" s="2">
        <v>0.43247683244389545</v>
      </c>
      <c r="Z41" s="2">
        <v>0.6227052227230726</v>
      </c>
      <c r="AA41" s="2">
        <v>0.5568616933081576</v>
      </c>
      <c r="AB41" s="2">
        <v>0.33484433611750769</v>
      </c>
      <c r="AC41" s="2">
        <v>0.48509126567448907</v>
      </c>
      <c r="AD41" s="2">
        <v>0.35683406943703022</v>
      </c>
      <c r="AE41" s="2">
        <v>0.39377646486363371</v>
      </c>
      <c r="AF41" s="2">
        <v>0.27463979794946164</v>
      </c>
      <c r="AG41" s="2">
        <v>0.26091197867850247</v>
      </c>
      <c r="AH41" s="2">
        <v>0.290648864237465</v>
      </c>
      <c r="AI41" s="2">
        <v>0.22623363356265919</v>
      </c>
      <c r="AJ41" s="2">
        <v>0.25155852895353015</v>
      </c>
      <c r="AK41" s="2">
        <v>0.49689558689513758</v>
      </c>
      <c r="AL41" s="2">
        <v>0.44213385635339369</v>
      </c>
      <c r="AM41" s="2">
        <v>0.43396273285170123</v>
      </c>
      <c r="AN41" s="2">
        <v>0.40312650217860463</v>
      </c>
      <c r="AO41" s="2">
        <v>0.33890886616567489</v>
      </c>
      <c r="AP41" s="2">
        <v>0.19239458567081599</v>
      </c>
      <c r="AQ41" s="2">
        <v>0.42327226509160976</v>
      </c>
      <c r="AR41" s="2">
        <v>0.33582699154515028</v>
      </c>
      <c r="AS41" s="2">
        <v>0.26407822969388017</v>
      </c>
      <c r="AT41" s="2">
        <v>0.22533227398557043</v>
      </c>
      <c r="AU41" s="2">
        <v>0.24272727658364279</v>
      </c>
      <c r="AV41" s="2">
        <v>0.23414130083040652</v>
      </c>
      <c r="AW41" s="2">
        <v>0.40080604377379553</v>
      </c>
      <c r="AX41" s="2">
        <v>0.78309832290683079</v>
      </c>
      <c r="AY41" s="2">
        <v>0.5121921451689353</v>
      </c>
      <c r="AZ41" s="2">
        <v>0.34060123139331538</v>
      </c>
      <c r="BA41" s="2">
        <v>0.50629311598034576</v>
      </c>
      <c r="BB41" s="2">
        <v>0.61292088969706626</v>
      </c>
      <c r="BC41" s="2">
        <v>0.45525503626053349</v>
      </c>
      <c r="BD41" s="2">
        <v>0.55568001115740284</v>
      </c>
      <c r="BE41" s="2">
        <v>0.46783726378647789</v>
      </c>
      <c r="BF41" s="2">
        <v>0.46338000050336431</v>
      </c>
      <c r="BG41" s="2">
        <v>0.28431995027233115</v>
      </c>
      <c r="BH41" s="2">
        <v>0.35731491312240937</v>
      </c>
      <c r="BI41" s="2">
        <v>0.5854061530019713</v>
      </c>
      <c r="BJ41" s="2">
        <v>0.77115511238903522</v>
      </c>
      <c r="BK41" s="2">
        <v>0.40422298454585043</v>
      </c>
      <c r="BL41" s="2">
        <v>0.38097917694666461</v>
      </c>
      <c r="BM41" s="2">
        <v>0.50992355666081568</v>
      </c>
      <c r="BN41" s="2">
        <v>0.50461530854900238</v>
      </c>
      <c r="BO41" s="2">
        <v>0.46381241232570375</v>
      </c>
      <c r="BP41" s="2">
        <v>0.35623603955404137</v>
      </c>
      <c r="BQ41" s="2">
        <v>0.10358489193122405</v>
      </c>
      <c r="BR41" s="2">
        <v>0.14220157171144213</v>
      </c>
      <c r="BS41" s="2">
        <v>0.17447706692953488</v>
      </c>
      <c r="BT41" s="2">
        <v>0.12725303721154099</v>
      </c>
      <c r="BU41" s="2">
        <v>0.23553481785004943</v>
      </c>
      <c r="BV41" s="2">
        <v>0.18181250779178401</v>
      </c>
      <c r="BW41" s="2">
        <v>0.21292105512827664</v>
      </c>
      <c r="BX41" s="2">
        <v>0.27341349249878183</v>
      </c>
      <c r="BY41" s="2">
        <v>0.34717759816799371</v>
      </c>
      <c r="BZ41" s="2">
        <v>0.21490116573745566</v>
      </c>
      <c r="CA41" s="2">
        <v>1.6627467709672026</v>
      </c>
    </row>
    <row r="42" spans="1:79" x14ac:dyDescent="0.2">
      <c r="A42" s="2" t="s">
        <v>123</v>
      </c>
      <c r="B42" s="2">
        <v>2.1200543970988215</v>
      </c>
      <c r="C42" s="2">
        <v>2.6451123976016579</v>
      </c>
      <c r="D42" s="2">
        <v>1.7658137410510433</v>
      </c>
      <c r="E42" s="2">
        <v>2.0123725645714008</v>
      </c>
      <c r="F42" s="2">
        <v>1.9020515518412655</v>
      </c>
      <c r="G42" s="2">
        <v>2.1423406140947994</v>
      </c>
      <c r="H42" s="2">
        <v>1.2358414154381649</v>
      </c>
      <c r="I42" s="2">
        <v>1.2636312098316926</v>
      </c>
      <c r="J42" s="2">
        <v>1.1530382913653798</v>
      </c>
      <c r="K42" s="2">
        <v>1.1295204715628484</v>
      </c>
      <c r="L42" s="2">
        <v>1.5467601943566576</v>
      </c>
      <c r="M42" s="2">
        <v>2.0371383378018511</v>
      </c>
      <c r="N42" s="2">
        <v>2.7447219741594111</v>
      </c>
      <c r="O42" s="2">
        <v>3.1448364597011671</v>
      </c>
      <c r="P42" s="2">
        <v>2.5405490150871515</v>
      </c>
      <c r="Q42" s="2">
        <v>1.9513886671689071</v>
      </c>
      <c r="R42" s="2">
        <v>2.3646520587110968</v>
      </c>
      <c r="S42" s="2">
        <v>2.1589863630696535</v>
      </c>
      <c r="T42" s="2">
        <v>1.7770679376708796</v>
      </c>
      <c r="U42" s="2">
        <v>1.6426349064465564</v>
      </c>
      <c r="V42" s="2">
        <v>2.4758040802210357</v>
      </c>
      <c r="W42" s="2">
        <v>0.94307971680922842</v>
      </c>
      <c r="X42" s="2">
        <v>1.0737561066957533</v>
      </c>
      <c r="Y42" s="2">
        <v>1.8954436305618396</v>
      </c>
      <c r="Z42" s="2">
        <v>2.8211973668765644</v>
      </c>
      <c r="AA42" s="2">
        <v>2.6159007976746329</v>
      </c>
      <c r="AB42" s="2">
        <v>1.4698004673737193</v>
      </c>
      <c r="AC42" s="2">
        <v>1.5581131763722986</v>
      </c>
      <c r="AD42" s="2">
        <v>1.0063875438690695</v>
      </c>
      <c r="AE42" s="2">
        <v>1.5007891621728264</v>
      </c>
      <c r="AF42" s="2">
        <v>0.97131051147702219</v>
      </c>
      <c r="AG42" s="2">
        <v>0.85213442667561268</v>
      </c>
      <c r="AH42" s="2">
        <v>1.0079982234996991</v>
      </c>
      <c r="AI42" s="2">
        <v>0.88688063454826382</v>
      </c>
      <c r="AJ42" s="2">
        <v>0.89118142653442234</v>
      </c>
      <c r="AK42" s="2">
        <v>1.8319913181712291</v>
      </c>
      <c r="AL42" s="2">
        <v>1.7187880247326901</v>
      </c>
      <c r="AM42" s="2">
        <v>2.0163246435348006</v>
      </c>
      <c r="AN42" s="2">
        <v>1.8657097395760784</v>
      </c>
      <c r="AO42" s="2">
        <v>1.3599450804041784</v>
      </c>
      <c r="AP42" s="2">
        <v>0.70093353703966621</v>
      </c>
      <c r="AQ42" s="2">
        <v>1.5313936122737801</v>
      </c>
      <c r="AR42" s="2">
        <v>1.2711145534027342</v>
      </c>
      <c r="AS42" s="2">
        <v>0.99321397078346352</v>
      </c>
      <c r="AT42" s="2">
        <v>0.90174587416603869</v>
      </c>
      <c r="AU42" s="2">
        <v>0.95742727931549965</v>
      </c>
      <c r="AV42" s="2">
        <v>0.87042844762893357</v>
      </c>
      <c r="AW42" s="2">
        <v>1.5953757830131308</v>
      </c>
      <c r="AX42" s="2">
        <v>2.7889688039681153</v>
      </c>
      <c r="AY42" s="2">
        <v>1.8150438706578567</v>
      </c>
      <c r="AZ42" s="2">
        <v>1.3688864373762717</v>
      </c>
      <c r="BA42" s="2">
        <v>2.0718369547044686</v>
      </c>
      <c r="BB42" s="2">
        <v>2.2295609486908083</v>
      </c>
      <c r="BC42" s="2">
        <v>1.6507583246285065</v>
      </c>
      <c r="BD42" s="2">
        <v>2.267545845206477</v>
      </c>
      <c r="BE42" s="2">
        <v>1.8443839284336252</v>
      </c>
      <c r="BF42" s="2">
        <v>1.7487374491647274</v>
      </c>
      <c r="BG42" s="2">
        <v>1.0731654574472207</v>
      </c>
      <c r="BH42" s="2">
        <v>1.3605512351373243</v>
      </c>
      <c r="BI42" s="2">
        <v>2.3820605965450623</v>
      </c>
      <c r="BJ42" s="2">
        <v>3.2745455946288398</v>
      </c>
      <c r="BK42" s="2">
        <v>1.9104646948573658</v>
      </c>
      <c r="BL42" s="2">
        <v>1.9114798108261595</v>
      </c>
      <c r="BM42" s="2">
        <v>2.5328863341118528</v>
      </c>
      <c r="BN42" s="2">
        <v>2.2148999627190258</v>
      </c>
      <c r="BO42" s="2">
        <v>2.1065132686644974</v>
      </c>
      <c r="BP42" s="2">
        <v>1.6018112587362276</v>
      </c>
      <c r="BQ42" s="2">
        <v>0.38334556340224807</v>
      </c>
      <c r="BR42" s="2">
        <v>0.27422023317053373</v>
      </c>
      <c r="BS42" s="2">
        <v>0.54094960255217261</v>
      </c>
      <c r="BT42" s="2">
        <v>0.48635703324150459</v>
      </c>
      <c r="BU42" s="2">
        <v>1.2353186558801179</v>
      </c>
      <c r="BV42" s="2">
        <v>0.80203041128979835</v>
      </c>
      <c r="BW42" s="2">
        <v>0.98466593757384357</v>
      </c>
      <c r="BX42" s="2">
        <v>1.2578947564118719</v>
      </c>
      <c r="BY42" s="2">
        <v>1.3005487404715017</v>
      </c>
      <c r="BZ42" s="2">
        <v>0.68831168831168832</v>
      </c>
      <c r="CA42" s="2">
        <v>0.75510838805324421</v>
      </c>
    </row>
    <row r="43" spans="1:79" x14ac:dyDescent="0.2">
      <c r="A43" s="3" t="s">
        <v>122</v>
      </c>
      <c r="B43" s="3">
        <v>0</v>
      </c>
      <c r="C43" s="3">
        <v>0</v>
      </c>
      <c r="D43" s="3">
        <v>2.7620065500374779E-4</v>
      </c>
      <c r="E43" s="3">
        <v>0</v>
      </c>
      <c r="F43" s="3">
        <v>5.4243530564048543E-4</v>
      </c>
      <c r="G43" s="3">
        <v>5.8373605723227638E-4</v>
      </c>
      <c r="H43" s="3">
        <v>4.2512089005506537E-4</v>
      </c>
      <c r="I43" s="3">
        <v>3.4291389779548946E-4</v>
      </c>
      <c r="J43" s="3">
        <v>3.068130923970688E-4</v>
      </c>
      <c r="K43" s="3">
        <v>2.0350615239261488E-4</v>
      </c>
      <c r="L43" s="3">
        <v>2.3292722407463972E-4</v>
      </c>
      <c r="M43" s="3">
        <v>2.6532665186003364E-4</v>
      </c>
      <c r="N43" s="3">
        <v>1.9812321526390701E-4</v>
      </c>
      <c r="O43" s="3">
        <v>1.2838514403700827E-4</v>
      </c>
      <c r="P43" s="3">
        <v>1.3094830023944358E-4</v>
      </c>
      <c r="Q43" s="3">
        <v>2.1407838211829716E-4</v>
      </c>
      <c r="R43" s="3">
        <v>5.5903784953409838E-5</v>
      </c>
      <c r="S43" s="3">
        <v>4.091133347162414E-6</v>
      </c>
      <c r="T43" s="3">
        <v>6.1566972932976246E-6</v>
      </c>
      <c r="U43" s="3">
        <v>4.7024665823780431E-6</v>
      </c>
      <c r="V43" s="3">
        <v>4.701854028789419E-6</v>
      </c>
      <c r="W43" s="3">
        <v>4.7762514665919865E-6</v>
      </c>
      <c r="X43" s="3">
        <v>5.2547556309980982E-6</v>
      </c>
      <c r="Y43" s="3">
        <v>5.1186408722063606E-6</v>
      </c>
      <c r="Z43" s="3">
        <v>4.5397540953652941E-6</v>
      </c>
      <c r="AA43" s="3">
        <v>8.826208796577953E-6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-8.2288846152176643E-8</v>
      </c>
      <c r="AZ43" s="3">
        <v>0</v>
      </c>
      <c r="BA43" s="3">
        <v>1.6749021259941309E-5</v>
      </c>
      <c r="BB43" s="3">
        <v>2.034520778385203E-5</v>
      </c>
      <c r="BC43" s="3">
        <v>2.1541800927769107E-5</v>
      </c>
      <c r="BD43" s="3">
        <v>2.3828766315655937E-5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</row>
    <row r="44" spans="1:79" x14ac:dyDescent="0.2">
      <c r="A44" s="2" t="s">
        <v>121</v>
      </c>
      <c r="B44" s="2">
        <v>335.9264513006616</v>
      </c>
      <c r="C44" s="2">
        <v>302.80152143582609</v>
      </c>
      <c r="D44" s="2">
        <v>275.00142427786454</v>
      </c>
      <c r="E44" s="2">
        <v>247.10388668027434</v>
      </c>
      <c r="F44" s="2">
        <v>235.02591213110139</v>
      </c>
      <c r="G44" s="2">
        <v>230.66120104461336</v>
      </c>
      <c r="H44" s="2">
        <v>208.42827692716207</v>
      </c>
      <c r="I44" s="2">
        <v>177.32195259450847</v>
      </c>
      <c r="J44" s="2">
        <v>165.63166943708677</v>
      </c>
      <c r="K44" s="2">
        <v>165.50381332695869</v>
      </c>
      <c r="L44" s="2">
        <v>153.76505528915291</v>
      </c>
      <c r="M44" s="2">
        <v>139.28586301200244</v>
      </c>
      <c r="N44" s="2">
        <v>146.02455932894875</v>
      </c>
      <c r="O44" s="2">
        <v>169.55321561718634</v>
      </c>
      <c r="P44" s="2">
        <v>160.42413535608586</v>
      </c>
      <c r="Q44" s="2">
        <v>140.72064732691427</v>
      </c>
      <c r="R44" s="2">
        <v>125.30732920785822</v>
      </c>
      <c r="S44" s="2">
        <v>107.95885412428481</v>
      </c>
      <c r="T44" s="2">
        <v>104.18847476445961</v>
      </c>
      <c r="U44" s="2">
        <v>94.348304871391846</v>
      </c>
      <c r="V44" s="2">
        <v>95.202331488693588</v>
      </c>
      <c r="W44" s="2">
        <v>91.253185044251538</v>
      </c>
      <c r="X44" s="2">
        <v>90.623257047498655</v>
      </c>
      <c r="Y44" s="2">
        <v>83.400311478267938</v>
      </c>
      <c r="Z44" s="2">
        <v>81.006921545125053</v>
      </c>
      <c r="AA44" s="2">
        <v>79.156946744368611</v>
      </c>
      <c r="AB44" s="2">
        <v>73.259176740199209</v>
      </c>
      <c r="AC44" s="2">
        <v>58.919073996347748</v>
      </c>
      <c r="AD44" s="2">
        <v>59.837615104392853</v>
      </c>
      <c r="AE44" s="2">
        <v>74.534571709424668</v>
      </c>
      <c r="AF44" s="2">
        <v>68.519794639604996</v>
      </c>
      <c r="AG44" s="2">
        <v>60.036652383487798</v>
      </c>
      <c r="AH44" s="2">
        <v>69.461217030818176</v>
      </c>
      <c r="AI44" s="2">
        <v>71.113666361470052</v>
      </c>
      <c r="AJ44" s="2">
        <v>65.61460245239833</v>
      </c>
      <c r="AK44" s="2">
        <v>54.5468360465225</v>
      </c>
      <c r="AL44" s="2">
        <v>65.330224621469824</v>
      </c>
      <c r="AM44" s="2">
        <v>66.645948482832864</v>
      </c>
      <c r="AN44" s="2">
        <v>64.455598806186359</v>
      </c>
      <c r="AO44" s="2">
        <v>53.878852838995485</v>
      </c>
      <c r="AP44" s="2">
        <v>52.675452704450592</v>
      </c>
      <c r="AQ44" s="2">
        <v>52.549733142660031</v>
      </c>
      <c r="AR44" s="2">
        <v>53.863439540398815</v>
      </c>
      <c r="AS44" s="2">
        <v>53.239920846757798</v>
      </c>
      <c r="AT44" s="2">
        <v>54.503863608643663</v>
      </c>
      <c r="AU44" s="2">
        <v>49.072133883497102</v>
      </c>
      <c r="AV44" s="2">
        <v>49.428183145127399</v>
      </c>
      <c r="AW44" s="2">
        <v>41.853127953321611</v>
      </c>
      <c r="AX44" s="2">
        <v>37.923518906725207</v>
      </c>
      <c r="AY44" s="2">
        <v>33.677705377927985</v>
      </c>
      <c r="AZ44" s="2">
        <v>37.386305135367159</v>
      </c>
      <c r="BA44" s="2">
        <v>35.963190986212879</v>
      </c>
      <c r="BB44" s="2">
        <v>31.85876566685997</v>
      </c>
      <c r="BC44" s="2">
        <v>31.458416205113206</v>
      </c>
      <c r="BD44" s="2">
        <v>33.397406146689157</v>
      </c>
      <c r="BE44" s="2">
        <v>29.651898366231528</v>
      </c>
      <c r="BF44" s="2">
        <v>27.229669540144748</v>
      </c>
      <c r="BG44" s="2">
        <v>25.709917556597564</v>
      </c>
      <c r="BH44" s="2">
        <v>24.691356231627378</v>
      </c>
      <c r="BI44" s="2">
        <v>26.063952039780375</v>
      </c>
      <c r="BJ44" s="2">
        <v>27.179248133376834</v>
      </c>
      <c r="BK44" s="2">
        <v>27.993342769947866</v>
      </c>
      <c r="BL44" s="2">
        <v>29.058777376149393</v>
      </c>
      <c r="BM44" s="2">
        <v>25.796038335943784</v>
      </c>
      <c r="BN44" s="2">
        <v>24.416541728072097</v>
      </c>
      <c r="BO44" s="2">
        <v>23.317818830217565</v>
      </c>
      <c r="BP44" s="2">
        <v>21.733122085539801</v>
      </c>
      <c r="BQ44" s="2">
        <v>18.731902225973041</v>
      </c>
      <c r="BR44" s="2">
        <v>5.0462961740746106</v>
      </c>
      <c r="BS44" s="2">
        <v>14.385285311103393</v>
      </c>
      <c r="BT44" s="2">
        <v>21.515525431534332</v>
      </c>
      <c r="BU44" s="2">
        <v>20.646976737774175</v>
      </c>
      <c r="BV44" s="2">
        <v>21.630858425900861</v>
      </c>
      <c r="BW44" s="2">
        <v>23.390645762319089</v>
      </c>
      <c r="BX44" s="2">
        <v>21.801038079085</v>
      </c>
      <c r="BY44" s="2">
        <v>19.52850988848396</v>
      </c>
      <c r="BZ44" s="2">
        <v>18.214028227406519</v>
      </c>
      <c r="CA44" s="2">
        <v>20.107553446946358</v>
      </c>
    </row>
    <row r="45" spans="1:79" x14ac:dyDescent="0.2">
      <c r="A45" s="3" t="s">
        <v>120</v>
      </c>
      <c r="B45" s="3">
        <v>7.7065488638937335E-2</v>
      </c>
      <c r="C45" s="3">
        <v>7.2753771250194915E-2</v>
      </c>
      <c r="D45" s="3">
        <v>6.995448226089368E-2</v>
      </c>
      <c r="E45" s="3">
        <v>6.5238404076175108E-2</v>
      </c>
      <c r="F45" s="3">
        <v>5.8968183368231973E-2</v>
      </c>
      <c r="G45" s="3">
        <v>6.5259868323786469E-2</v>
      </c>
      <c r="H45" s="3">
        <v>5.9309301854796603E-2</v>
      </c>
      <c r="I45" s="3">
        <v>4.6744230995512767E-2</v>
      </c>
      <c r="J45" s="3">
        <v>4.4072879599693408E-2</v>
      </c>
      <c r="K45" s="3">
        <v>4.8454625152764899E-2</v>
      </c>
      <c r="L45" s="3">
        <v>4.3942610806946704E-2</v>
      </c>
      <c r="M45" s="3">
        <v>3.9328702405012086E-2</v>
      </c>
      <c r="N45" s="3">
        <v>4.6858156045407988E-2</v>
      </c>
      <c r="O45" s="3">
        <v>7.1888197395455322E-2</v>
      </c>
      <c r="P45" s="3">
        <v>7.1339390728136082E-2</v>
      </c>
      <c r="Q45" s="3">
        <v>6.4631375557382742E-2</v>
      </c>
      <c r="R45" s="3">
        <v>6.0389656195491713E-2</v>
      </c>
      <c r="S45" s="3">
        <v>5.1989683675236514E-2</v>
      </c>
      <c r="T45" s="3">
        <v>5.5057687338653773E-2</v>
      </c>
      <c r="U45" s="3">
        <v>5.0973337361849842E-2</v>
      </c>
      <c r="V45" s="3">
        <v>5.6652267099840524E-2</v>
      </c>
      <c r="W45" s="3">
        <v>5.9617267551254093E-2</v>
      </c>
      <c r="X45" s="3">
        <v>6.0326765049790738E-2</v>
      </c>
      <c r="Y45" s="3">
        <v>5.7443452637265593E-2</v>
      </c>
      <c r="Z45" s="3">
        <v>5.9641341708743564E-2</v>
      </c>
      <c r="AA45" s="3">
        <v>6.1644013152324213E-2</v>
      </c>
      <c r="AB45" s="3">
        <v>5.6288034013810183E-2</v>
      </c>
      <c r="AC45" s="3">
        <v>3.7313596924404835E-2</v>
      </c>
      <c r="AD45" s="3">
        <v>3.0683556526819287E-2</v>
      </c>
      <c r="AE45" s="3">
        <v>5.193836369570598E-2</v>
      </c>
      <c r="AF45" s="3">
        <v>4.9823759567656889E-2</v>
      </c>
      <c r="AG45" s="3">
        <v>4.2982612204641973E-2</v>
      </c>
      <c r="AH45" s="3">
        <v>4.9322435932505827E-2</v>
      </c>
      <c r="AI45" s="3">
        <v>5.7123929593537126E-2</v>
      </c>
      <c r="AJ45" s="3">
        <v>5.4933050423696464E-2</v>
      </c>
      <c r="AK45" s="3">
        <v>4.2214780876762073E-2</v>
      </c>
      <c r="AL45" s="3">
        <v>5.121177498247724E-2</v>
      </c>
      <c r="AM45" s="3">
        <v>5.8659529635825283E-2</v>
      </c>
      <c r="AN45" s="3">
        <v>6.3392899164598657E-2</v>
      </c>
      <c r="AO45" s="3">
        <v>4.9089235719152913E-2</v>
      </c>
      <c r="AP45" s="3">
        <v>4.1426489577725399E-2</v>
      </c>
      <c r="AQ45" s="3">
        <v>4.510408057409044E-2</v>
      </c>
      <c r="AR45" s="3">
        <v>5.0278221273203409E-2</v>
      </c>
      <c r="AS45" s="3">
        <v>4.7789163724399668E-2</v>
      </c>
      <c r="AT45" s="3">
        <v>5.5851507550159156E-2</v>
      </c>
      <c r="AU45" s="3">
        <v>5.3217471819174807E-2</v>
      </c>
      <c r="AV45" s="3">
        <v>6.2170633772525276E-2</v>
      </c>
      <c r="AW45" s="3">
        <v>5.0242879290484412E-2</v>
      </c>
      <c r="AX45" s="3">
        <v>4.102202750512722E-2</v>
      </c>
      <c r="AY45" s="3">
        <v>3.5978768726851552E-2</v>
      </c>
      <c r="AZ45" s="3">
        <v>4.9812816375386378E-2</v>
      </c>
      <c r="BA45" s="3">
        <v>5.1896478283104862E-2</v>
      </c>
      <c r="BB45" s="3">
        <v>4.0871811362025112E-2</v>
      </c>
      <c r="BC45" s="3">
        <v>4.9506870801219308E-2</v>
      </c>
      <c r="BD45" s="3">
        <v>6.147863583552355E-2</v>
      </c>
      <c r="BE45" s="3">
        <v>6.0646673524688124E-2</v>
      </c>
      <c r="BF45" s="3">
        <v>4.4381026154839777E-2</v>
      </c>
      <c r="BG45" s="3">
        <v>4.5123345264219739E-2</v>
      </c>
      <c r="BH45" s="3">
        <v>4.4841887074903997E-2</v>
      </c>
      <c r="BI45" s="3">
        <v>5.6710617837069599E-2</v>
      </c>
      <c r="BJ45" s="3">
        <v>5.3474134100348812E-2</v>
      </c>
      <c r="BK45" s="3">
        <v>6.3078433708163961E-2</v>
      </c>
      <c r="BL45" s="3">
        <v>6.8419875235366925E-2</v>
      </c>
      <c r="BM45" s="3">
        <v>7.2356562293785981E-2</v>
      </c>
      <c r="BN45" s="3">
        <v>5.9461088039088526E-2</v>
      </c>
      <c r="BO45" s="3">
        <v>6.0514978552605153E-2</v>
      </c>
      <c r="BP45" s="3">
        <v>6.1136495544280509E-2</v>
      </c>
      <c r="BQ45" s="3">
        <v>5.0798346662856327E-2</v>
      </c>
      <c r="BR45" s="3">
        <v>2.3834056233150809E-3</v>
      </c>
      <c r="BS45" s="3">
        <v>2.3614029645100967E-2</v>
      </c>
      <c r="BT45" s="3">
        <v>6.0245139566753959E-2</v>
      </c>
      <c r="BU45" s="3">
        <v>5.9578868777389923E-2</v>
      </c>
      <c r="BV45" s="3">
        <v>4.8709909750676336E-2</v>
      </c>
      <c r="BW45" s="3">
        <v>6.3581422186293146E-2</v>
      </c>
      <c r="BX45" s="3">
        <v>5.3081473506875615E-2</v>
      </c>
      <c r="BY45" s="3">
        <v>4.4741711543935761E-2</v>
      </c>
      <c r="BZ45" s="3">
        <v>2.9906192052298775E-2</v>
      </c>
      <c r="CA45" s="3">
        <v>5.5040737510721915E-2</v>
      </c>
    </row>
    <row r="46" spans="1:79" x14ac:dyDescent="0.2">
      <c r="A46" s="3" t="s">
        <v>119</v>
      </c>
      <c r="B46" s="3">
        <v>6.6098984522483098E-2</v>
      </c>
      <c r="C46" s="3">
        <v>6.395288754718291E-2</v>
      </c>
      <c r="D46" s="3">
        <v>6.1717810479523481E-2</v>
      </c>
      <c r="E46" s="3">
        <v>5.7045747326106726E-2</v>
      </c>
      <c r="F46" s="3">
        <v>5.086837586218354E-2</v>
      </c>
      <c r="G46" s="3">
        <v>5.621198718376294E-2</v>
      </c>
      <c r="H46" s="3">
        <v>5.2942718746545096E-2</v>
      </c>
      <c r="I46" s="3">
        <v>4.1585284724191839E-2</v>
      </c>
      <c r="J46" s="3">
        <v>3.9108303945502833E-2</v>
      </c>
      <c r="K46" s="3">
        <v>4.3327894960602006E-2</v>
      </c>
      <c r="L46" s="3">
        <v>3.8636580538897354E-2</v>
      </c>
      <c r="M46" s="3">
        <v>3.5468722685473464E-2</v>
      </c>
      <c r="N46" s="3">
        <v>4.1219675932374016E-2</v>
      </c>
      <c r="O46" s="3">
        <v>5.9918311172274578E-2</v>
      </c>
      <c r="P46" s="3">
        <v>6.0838294669687279E-2</v>
      </c>
      <c r="Q46" s="3">
        <v>5.4883539480993379E-2</v>
      </c>
      <c r="R46" s="3">
        <v>5.1104129490447382E-2</v>
      </c>
      <c r="S46" s="3">
        <v>4.381569079517926E-2</v>
      </c>
      <c r="T46" s="3">
        <v>4.7255511716829554E-2</v>
      </c>
      <c r="U46" s="3">
        <v>4.3820028330608475E-2</v>
      </c>
      <c r="V46" s="3">
        <v>4.8267021486198006E-2</v>
      </c>
      <c r="W46" s="3">
        <v>4.95917215987349E-2</v>
      </c>
      <c r="X46" s="3">
        <v>5.2624681557676065E-2</v>
      </c>
      <c r="Y46" s="3">
        <v>4.9900360881929333E-2</v>
      </c>
      <c r="Z46" s="3">
        <v>5.0511013055610683E-2</v>
      </c>
      <c r="AA46" s="3">
        <v>5.170734272340638E-2</v>
      </c>
      <c r="AB46" s="3">
        <v>4.7761416594950069E-2</v>
      </c>
      <c r="AC46" s="3">
        <v>3.0049312565217569E-2</v>
      </c>
      <c r="AD46" s="3">
        <v>2.8299103310539045E-2</v>
      </c>
      <c r="AE46" s="3">
        <v>4.8230871433497968E-2</v>
      </c>
      <c r="AF46" s="3">
        <v>4.5539979566354062E-2</v>
      </c>
      <c r="AG46" s="3">
        <v>3.5443127967835143E-2</v>
      </c>
      <c r="AH46" s="3">
        <v>4.4109770349075893E-2</v>
      </c>
      <c r="AI46" s="3">
        <v>5.1160576525538987E-2</v>
      </c>
      <c r="AJ46" s="3">
        <v>4.9231509237157939E-2</v>
      </c>
      <c r="AK46" s="3">
        <v>3.3600628126882491E-2</v>
      </c>
      <c r="AL46" s="3">
        <v>4.5630893372922435E-2</v>
      </c>
      <c r="AM46" s="3">
        <v>5.2181318844831487E-2</v>
      </c>
      <c r="AN46" s="3">
        <v>5.6781612507310862E-2</v>
      </c>
      <c r="AO46" s="3">
        <v>4.0496709485732953E-2</v>
      </c>
      <c r="AP46" s="3">
        <v>3.7827811121739476E-2</v>
      </c>
      <c r="AQ46" s="3">
        <v>4.2057400469716545E-2</v>
      </c>
      <c r="AR46" s="3">
        <v>4.8194586535061042E-2</v>
      </c>
      <c r="AS46" s="3">
        <v>4.9763011153781948E-2</v>
      </c>
      <c r="AT46" s="3">
        <v>5.1167351765825451E-2</v>
      </c>
      <c r="AU46" s="3">
        <v>4.7520497069677314E-2</v>
      </c>
      <c r="AV46" s="3">
        <v>5.7046528300470967E-2</v>
      </c>
      <c r="AW46" s="3">
        <v>4.4764389622146766E-2</v>
      </c>
      <c r="AX46" s="3">
        <v>3.72033566450298E-2</v>
      </c>
      <c r="AY46" s="3">
        <v>3.2478799223501956E-2</v>
      </c>
      <c r="AZ46" s="3">
        <v>4.4550083219144249E-2</v>
      </c>
      <c r="BA46" s="3">
        <v>4.4710275827300673E-2</v>
      </c>
      <c r="BB46" s="3">
        <v>3.7686832758817859E-2</v>
      </c>
      <c r="BC46" s="3">
        <v>4.3739437560034934E-2</v>
      </c>
      <c r="BD46" s="3">
        <v>5.6904520911792454E-2</v>
      </c>
      <c r="BE46" s="3">
        <v>4.7928016242159165E-2</v>
      </c>
      <c r="BF46" s="3">
        <v>4.053206171220753E-2</v>
      </c>
      <c r="BG46" s="3">
        <v>4.1081684185877085E-2</v>
      </c>
      <c r="BH46" s="3">
        <v>4.1994329520296726E-2</v>
      </c>
      <c r="BI46" s="3">
        <v>4.6529355762428108E-2</v>
      </c>
      <c r="BJ46" s="3">
        <v>4.9095960266598335E-2</v>
      </c>
      <c r="BK46" s="3">
        <v>5.7580060093589208E-2</v>
      </c>
      <c r="BL46" s="3">
        <v>7.1608980017680429E-2</v>
      </c>
      <c r="BM46" s="3">
        <v>6.024379537228728E-2</v>
      </c>
      <c r="BN46" s="3">
        <v>5.4769214213083464E-2</v>
      </c>
      <c r="BO46" s="3">
        <v>5.6097646547873518E-2</v>
      </c>
      <c r="BP46" s="3">
        <v>5.7655810355988393E-2</v>
      </c>
      <c r="BQ46" s="3">
        <v>4.1600359463052065E-2</v>
      </c>
      <c r="BR46" s="3">
        <v>2.8871203493450572E-3</v>
      </c>
      <c r="BS46" s="3">
        <v>2.3724475707031692E-2</v>
      </c>
      <c r="BT46" s="3">
        <v>5.6946185645895889E-2</v>
      </c>
      <c r="BU46" s="3">
        <v>4.8296913186301561E-2</v>
      </c>
      <c r="BV46" s="3">
        <v>4.7164101919304029E-2</v>
      </c>
      <c r="BW46" s="3">
        <v>6.3532630244620553E-2</v>
      </c>
      <c r="BX46" s="3">
        <v>5.1362041154930003E-2</v>
      </c>
      <c r="BY46" s="3">
        <v>4.0732057716792835E-2</v>
      </c>
      <c r="BZ46" s="3">
        <v>3.1144689615627639E-2</v>
      </c>
      <c r="CA46" s="3">
        <v>4.8034655234611194E-2</v>
      </c>
    </row>
    <row r="47" spans="1:79" x14ac:dyDescent="0.2">
      <c r="A47" s="2" t="s">
        <v>118</v>
      </c>
      <c r="B47" s="2">
        <v>41.765388370756476</v>
      </c>
      <c r="C47" s="2">
        <v>36.698380489372788</v>
      </c>
      <c r="D47" s="2">
        <v>33.228506288165974</v>
      </c>
      <c r="E47" s="2">
        <v>24.092755997146053</v>
      </c>
      <c r="F47" s="2">
        <v>21.620941066014769</v>
      </c>
      <c r="G47" s="2">
        <v>16.2209754367193</v>
      </c>
      <c r="H47" s="2">
        <v>13.762767888227186</v>
      </c>
      <c r="I47" s="2">
        <v>8.3972180787474446</v>
      </c>
      <c r="J47" s="2">
        <v>4.5622207288854613</v>
      </c>
      <c r="K47" s="2">
        <v>-3.3364361835967515</v>
      </c>
      <c r="L47" s="2">
        <v>-9.0800197803509057</v>
      </c>
      <c r="M47" s="2">
        <v>-6.4413347399548648</v>
      </c>
      <c r="N47" s="2">
        <v>-4.6082762822201842</v>
      </c>
      <c r="O47" s="2">
        <v>-6.7875882216822863</v>
      </c>
      <c r="P47" s="2">
        <v>-2.5712976493148036</v>
      </c>
      <c r="Q47" s="2">
        <v>-4.1682627339210585</v>
      </c>
      <c r="R47" s="2">
        <v>-4.3879863705804647</v>
      </c>
      <c r="S47" s="2">
        <v>-4.7582826134530096</v>
      </c>
      <c r="T47" s="2">
        <v>-1.259298957439112</v>
      </c>
      <c r="U47" s="2">
        <v>-0.27654241858391587</v>
      </c>
      <c r="V47" s="2">
        <v>1.4109649472934835</v>
      </c>
      <c r="W47" s="2">
        <v>2.0555020790285372</v>
      </c>
      <c r="X47" s="2">
        <v>3.1422865187475075</v>
      </c>
      <c r="Y47" s="2">
        <v>1.7366059039628421</v>
      </c>
      <c r="Z47" s="2">
        <v>2.1203853742212804</v>
      </c>
      <c r="AA47" s="2">
        <v>3.4832202613305321</v>
      </c>
      <c r="AB47" s="2">
        <v>8.2264342635935144</v>
      </c>
      <c r="AC47" s="2">
        <v>9.1397396798658566</v>
      </c>
      <c r="AD47" s="2">
        <v>17.789300542452519</v>
      </c>
      <c r="AE47" s="2">
        <v>16.713696444093763</v>
      </c>
      <c r="AF47" s="2">
        <v>14.457436383500744</v>
      </c>
      <c r="AG47" s="2">
        <v>12.246554591564026</v>
      </c>
      <c r="AH47" s="2">
        <v>14.53918403818224</v>
      </c>
      <c r="AI47" s="2">
        <v>11.110456152204479</v>
      </c>
      <c r="AJ47" s="2">
        <v>8.5996113535551739</v>
      </c>
      <c r="AK47" s="2">
        <v>5.0793204534603813</v>
      </c>
      <c r="AL47" s="2">
        <v>11.253122331797682</v>
      </c>
      <c r="AM47" s="2">
        <v>8.9155345968705433</v>
      </c>
      <c r="AN47" s="2">
        <v>8.177580563801996</v>
      </c>
      <c r="AO47" s="2">
        <v>7.0739441535372798</v>
      </c>
      <c r="AP47" s="2">
        <v>12.006007306873251</v>
      </c>
      <c r="AQ47" s="2">
        <v>8.7092148523809989</v>
      </c>
      <c r="AR47" s="2">
        <v>8.0465888467504136</v>
      </c>
      <c r="AS47" s="2">
        <v>4.9035036708879067</v>
      </c>
      <c r="AT47" s="2">
        <v>7.5860043985326504</v>
      </c>
      <c r="AU47" s="2">
        <v>3.3744170089197527</v>
      </c>
      <c r="AV47" s="2">
        <v>0.71683833490008919</v>
      </c>
      <c r="AW47" s="2">
        <v>-2.3037300850990046</v>
      </c>
      <c r="AX47" s="2">
        <v>-3.3783483361852404</v>
      </c>
      <c r="AY47" s="2">
        <v>-4.2414425496946135</v>
      </c>
      <c r="AZ47" s="2">
        <v>-2.9435076728065934</v>
      </c>
      <c r="BA47" s="2">
        <v>-4.393923681611354</v>
      </c>
      <c r="BB47" s="2">
        <v>-1.3116718215406502</v>
      </c>
      <c r="BC47" s="2">
        <v>-1.3001757257995517</v>
      </c>
      <c r="BD47" s="2">
        <v>0.27910559229342102</v>
      </c>
      <c r="BE47" s="2">
        <v>-0.38673321282991435</v>
      </c>
      <c r="BF47" s="2">
        <v>2.219692839774106</v>
      </c>
      <c r="BG47" s="2">
        <v>1.7742156048761026</v>
      </c>
      <c r="BH47" s="2">
        <v>1.3409524961534218</v>
      </c>
      <c r="BI47" s="2">
        <v>-0.35976112605689492</v>
      </c>
      <c r="BJ47" s="2">
        <v>1.9111428666914732</v>
      </c>
      <c r="BK47" s="2">
        <v>3.431388517323732</v>
      </c>
      <c r="BL47" s="2">
        <v>3.4973962202189308</v>
      </c>
      <c r="BM47" s="2">
        <v>2.8153852097240386</v>
      </c>
      <c r="BN47" s="2">
        <v>5.4578573464978524</v>
      </c>
      <c r="BO47" s="2">
        <v>5.3763421116885945</v>
      </c>
      <c r="BP47" s="2">
        <v>5.4536151479106278</v>
      </c>
      <c r="BQ47" s="2">
        <v>5.0282046443698869</v>
      </c>
      <c r="BR47" s="2">
        <v>7.0901917129434384</v>
      </c>
      <c r="BS47" s="2">
        <v>6.0318364372309237</v>
      </c>
      <c r="BT47" s="2">
        <v>4.5406897967276425</v>
      </c>
      <c r="BU47" s="2">
        <v>1.8169996047414507</v>
      </c>
      <c r="BV47" s="2">
        <v>6.3078286812386741</v>
      </c>
      <c r="BW47" s="2">
        <v>5.1438734852835566</v>
      </c>
      <c r="BX47" s="2">
        <v>5.1860650948687077</v>
      </c>
      <c r="BY47" s="2">
        <v>4.0668208566219528</v>
      </c>
      <c r="BZ47" s="2">
        <v>6.7612480053756983</v>
      </c>
      <c r="CA47" s="2">
        <v>3.8891663399282335</v>
      </c>
    </row>
    <row r="48" spans="1:79" x14ac:dyDescent="0.2">
      <c r="A48" s="1" t="s">
        <v>117</v>
      </c>
      <c r="B48" s="1">
        <v>2551258000000</v>
      </c>
      <c r="C48" s="1">
        <v>2359112000000</v>
      </c>
      <c r="D48" s="1">
        <v>2160108688000</v>
      </c>
      <c r="E48" s="1">
        <v>1887603141000</v>
      </c>
      <c r="F48" s="1">
        <v>1945860884000</v>
      </c>
      <c r="G48" s="1">
        <v>1779696200000</v>
      </c>
      <c r="H48" s="1">
        <v>1693514764000</v>
      </c>
      <c r="I48" s="1">
        <v>1542742413000</v>
      </c>
      <c r="J48" s="1">
        <v>1426587315000</v>
      </c>
      <c r="K48" s="1">
        <v>1251227800000</v>
      </c>
      <c r="L48" s="1">
        <v>1112442820000</v>
      </c>
      <c r="M48" s="1">
        <v>1149135200000</v>
      </c>
      <c r="N48" s="1">
        <v>1122637600000</v>
      </c>
      <c r="O48" s="1">
        <v>1066333100000</v>
      </c>
      <c r="P48" s="1">
        <v>1206801071000</v>
      </c>
      <c r="Q48" s="1">
        <v>1060625415000</v>
      </c>
      <c r="R48" s="1">
        <v>899369925000</v>
      </c>
      <c r="S48" s="1">
        <v>848720100000</v>
      </c>
      <c r="T48" s="1">
        <v>715017719000</v>
      </c>
      <c r="U48" s="1">
        <v>581545700000</v>
      </c>
      <c r="V48" s="1">
        <v>478138211000</v>
      </c>
      <c r="W48" s="1">
        <v>460286900000</v>
      </c>
      <c r="X48" s="1">
        <v>441432195000</v>
      </c>
      <c r="Y48" s="1">
        <v>245235852000</v>
      </c>
      <c r="Z48" s="1">
        <v>213001981000</v>
      </c>
      <c r="AA48" s="1">
        <v>224250100000</v>
      </c>
      <c r="AB48" s="1">
        <v>354646311000</v>
      </c>
      <c r="AC48" s="1">
        <v>387922960000</v>
      </c>
      <c r="AD48" s="1">
        <v>613057181000</v>
      </c>
      <c r="AE48" s="1">
        <v>594842600000</v>
      </c>
      <c r="AF48" s="1">
        <v>537593503000</v>
      </c>
      <c r="AG48" s="1">
        <v>496045515000</v>
      </c>
      <c r="AH48" s="1">
        <v>586881418000</v>
      </c>
      <c r="AI48" s="1">
        <v>470312900000</v>
      </c>
      <c r="AJ48" s="1">
        <v>406339474000</v>
      </c>
      <c r="AK48" s="1">
        <v>314542407000</v>
      </c>
      <c r="AL48" s="1">
        <v>504081309000</v>
      </c>
      <c r="AM48" s="1">
        <v>469443100000</v>
      </c>
      <c r="AN48" s="1">
        <v>452036373000</v>
      </c>
      <c r="AO48" s="1">
        <v>453786017000</v>
      </c>
      <c r="AP48" s="1">
        <v>576597884000</v>
      </c>
      <c r="AQ48" s="1">
        <v>506971900000</v>
      </c>
      <c r="AR48" s="1">
        <v>491972126000</v>
      </c>
      <c r="AS48" s="1">
        <v>421989049000</v>
      </c>
      <c r="AT48" s="1">
        <v>502928547000</v>
      </c>
      <c r="AU48" s="1">
        <v>401780400000</v>
      </c>
      <c r="AV48" s="1">
        <v>303982032000</v>
      </c>
      <c r="AW48" s="1">
        <v>212564478000</v>
      </c>
      <c r="AX48" s="1">
        <v>181493253000</v>
      </c>
      <c r="AY48" s="1">
        <v>154512700000</v>
      </c>
      <c r="AZ48" s="1">
        <v>189926649000</v>
      </c>
      <c r="BA48" s="1">
        <v>108830886000</v>
      </c>
      <c r="BB48" s="1">
        <v>139544868000</v>
      </c>
      <c r="BC48" s="1">
        <v>92222200000</v>
      </c>
      <c r="BD48" s="1">
        <v>126272862000</v>
      </c>
      <c r="BE48" s="1">
        <v>69033988000</v>
      </c>
      <c r="BF48" s="1">
        <v>141922391000</v>
      </c>
      <c r="BG48" s="1">
        <v>99508900000</v>
      </c>
      <c r="BH48" s="1">
        <v>88572004000</v>
      </c>
      <c r="BI48" s="1">
        <v>37063207000</v>
      </c>
      <c r="BJ48" s="1">
        <v>123275858000</v>
      </c>
      <c r="BK48" s="1">
        <v>138328200000</v>
      </c>
      <c r="BL48" s="1">
        <v>137401239000</v>
      </c>
      <c r="BM48" s="1">
        <v>120349551000</v>
      </c>
      <c r="BN48" s="1">
        <v>187441183000</v>
      </c>
      <c r="BO48" s="1">
        <v>180670400000</v>
      </c>
      <c r="BP48" s="1">
        <v>189232217000</v>
      </c>
      <c r="BQ48" s="1">
        <v>179789000000</v>
      </c>
      <c r="BR48" s="1">
        <v>223182051000</v>
      </c>
      <c r="BS48" s="1">
        <v>195811600000</v>
      </c>
      <c r="BT48" s="1">
        <v>169770969000</v>
      </c>
      <c r="BU48" s="1">
        <v>86831672000</v>
      </c>
      <c r="BV48" s="1">
        <v>219315031000</v>
      </c>
      <c r="BW48" s="1">
        <v>201141590000</v>
      </c>
      <c r="BX48" s="1">
        <v>198725557000</v>
      </c>
      <c r="BY48" s="1">
        <v>172503279000</v>
      </c>
      <c r="BZ48" s="1">
        <v>241014102000</v>
      </c>
      <c r="CA48" s="1">
        <v>169450414000</v>
      </c>
    </row>
    <row r="49" spans="1:79" x14ac:dyDescent="0.2">
      <c r="A49" s="1" t="s">
        <v>116</v>
      </c>
      <c r="B49" s="1">
        <v>5932389000000</v>
      </c>
      <c r="C49" s="1">
        <v>5435842385000</v>
      </c>
      <c r="D49" s="1">
        <v>5010019754000</v>
      </c>
      <c r="E49" s="1">
        <v>4591924556000</v>
      </c>
      <c r="F49" s="1">
        <v>4576174114000</v>
      </c>
      <c r="G49" s="1">
        <v>4252989100000</v>
      </c>
      <c r="H49" s="1">
        <v>3999839260000</v>
      </c>
      <c r="I49" s="1">
        <v>3797717606000</v>
      </c>
      <c r="J49" s="1">
        <v>3643477329000</v>
      </c>
      <c r="K49" s="1">
        <v>3431099800000</v>
      </c>
      <c r="L49" s="1">
        <v>3349407538000</v>
      </c>
      <c r="M49" s="1">
        <v>3181618266000</v>
      </c>
      <c r="N49" s="1">
        <v>3068600759000</v>
      </c>
      <c r="O49" s="1">
        <v>2891833200000</v>
      </c>
      <c r="P49" s="1">
        <v>2725609607000</v>
      </c>
      <c r="Q49" s="1">
        <v>2483253132000</v>
      </c>
      <c r="R49" s="1">
        <v>2295848703000</v>
      </c>
      <c r="S49" s="1">
        <v>2124860800000</v>
      </c>
      <c r="T49" s="1">
        <v>2052676396000</v>
      </c>
      <c r="U49" s="1">
        <v>1955499800000</v>
      </c>
      <c r="V49" s="1">
        <v>1915984274000</v>
      </c>
      <c r="W49" s="1">
        <v>1809995700000</v>
      </c>
      <c r="X49" s="1">
        <v>1761926862000</v>
      </c>
      <c r="Y49" s="1">
        <v>1693817782000</v>
      </c>
      <c r="Z49" s="1">
        <v>1649796460000</v>
      </c>
      <c r="AA49" s="1">
        <v>1593734300000</v>
      </c>
      <c r="AB49" s="1">
        <v>1569403428000</v>
      </c>
      <c r="AC49" s="1">
        <v>1536920697000</v>
      </c>
      <c r="AD49" s="1">
        <v>1725543585000</v>
      </c>
      <c r="AE49" s="1">
        <v>1644103000000</v>
      </c>
      <c r="AF49" s="1">
        <v>1561840817000</v>
      </c>
      <c r="AG49" s="1">
        <v>1476843074000</v>
      </c>
      <c r="AH49" s="1">
        <v>1592930734000</v>
      </c>
      <c r="AI49" s="1">
        <v>1480271300000</v>
      </c>
      <c r="AJ49" s="1">
        <v>1416571290000</v>
      </c>
      <c r="AK49" s="1">
        <v>1328246753000</v>
      </c>
      <c r="AL49" s="1">
        <v>1442031589000</v>
      </c>
      <c r="AM49" s="1">
        <v>1345231000000</v>
      </c>
      <c r="AN49" s="1">
        <v>1269262036000</v>
      </c>
      <c r="AO49" s="1">
        <v>1183264416000</v>
      </c>
      <c r="AP49" s="1">
        <v>1266956563000</v>
      </c>
      <c r="AQ49" s="1">
        <v>1180904200000</v>
      </c>
      <c r="AR49" s="1">
        <v>1137798652000</v>
      </c>
      <c r="AS49" s="1">
        <v>1053689048000</v>
      </c>
      <c r="AT49" s="1">
        <v>1110776790000</v>
      </c>
      <c r="AU49" s="1">
        <v>1008829200000</v>
      </c>
      <c r="AV49" s="1">
        <v>944616002000</v>
      </c>
      <c r="AW49" s="1">
        <v>865526987000</v>
      </c>
      <c r="AX49" s="1">
        <v>885884472000</v>
      </c>
      <c r="AY49" s="1">
        <v>822622600000</v>
      </c>
      <c r="AZ49" s="1">
        <v>792781481000</v>
      </c>
      <c r="BA49" s="1">
        <v>735093948000</v>
      </c>
      <c r="BB49" s="1">
        <v>757170648000</v>
      </c>
      <c r="BC49" s="1">
        <v>702634700000</v>
      </c>
      <c r="BD49" s="1">
        <v>666257203000</v>
      </c>
      <c r="BE49" s="1">
        <v>619197097000</v>
      </c>
      <c r="BF49" s="1">
        <v>657991812000</v>
      </c>
      <c r="BG49" s="1">
        <v>616397000000</v>
      </c>
      <c r="BH49" s="1">
        <v>590258984000</v>
      </c>
      <c r="BI49" s="1">
        <v>557184543000</v>
      </c>
      <c r="BJ49" s="1">
        <v>601181635000</v>
      </c>
      <c r="BK49" s="1">
        <v>566972400000</v>
      </c>
      <c r="BL49" s="1">
        <v>528849802000</v>
      </c>
      <c r="BM49" s="1">
        <v>484745522000</v>
      </c>
      <c r="BN49" s="1">
        <v>520111313000</v>
      </c>
      <c r="BO49" s="1">
        <v>486658600000</v>
      </c>
      <c r="BP49" s="1">
        <v>454611742000</v>
      </c>
      <c r="BQ49" s="1">
        <v>437353000000</v>
      </c>
      <c r="BR49" s="1">
        <v>472478794000</v>
      </c>
      <c r="BS49" s="1">
        <v>467202300000</v>
      </c>
      <c r="BT49" s="1">
        <v>451528725000</v>
      </c>
      <c r="BU49" s="1">
        <v>441096283000</v>
      </c>
      <c r="BV49" s="1">
        <v>512687251000</v>
      </c>
      <c r="BW49" s="1">
        <v>476811295000</v>
      </c>
      <c r="BX49" s="1">
        <v>503479363000</v>
      </c>
      <c r="BY49" s="1">
        <v>462830063000</v>
      </c>
      <c r="BZ49" s="1">
        <v>531872647000</v>
      </c>
      <c r="CA49" s="1">
        <v>435189381000</v>
      </c>
    </row>
    <row r="50" spans="1:79" x14ac:dyDescent="0.2">
      <c r="A50" s="1" t="s">
        <v>115</v>
      </c>
      <c r="B50" s="1">
        <v>1536951000000</v>
      </c>
      <c r="C50" s="1">
        <v>1344902000000</v>
      </c>
      <c r="D50" s="1">
        <v>1117486038000</v>
      </c>
      <c r="E50" s="1">
        <v>875199776000</v>
      </c>
      <c r="F50" s="1">
        <v>814000919000</v>
      </c>
      <c r="G50" s="1">
        <v>675859000000</v>
      </c>
      <c r="H50" s="1">
        <v>630177978000</v>
      </c>
      <c r="I50" s="1">
        <v>429442284000</v>
      </c>
      <c r="J50" s="1">
        <v>330592566000</v>
      </c>
      <c r="K50" s="1">
        <v>115702800000</v>
      </c>
      <c r="L50" s="1">
        <v>-29260638000</v>
      </c>
      <c r="M50" s="1">
        <v>15967361000</v>
      </c>
      <c r="N50" s="1">
        <v>42780771000</v>
      </c>
      <c r="O50" s="1">
        <v>6270000000</v>
      </c>
      <c r="P50" s="1">
        <v>123246751000</v>
      </c>
      <c r="Q50" s="1">
        <v>70387186000</v>
      </c>
      <c r="R50" s="1">
        <v>51029719000</v>
      </c>
      <c r="S50" s="1">
        <v>33453200000</v>
      </c>
      <c r="T50" s="1">
        <v>116647595000</v>
      </c>
      <c r="U50" s="1">
        <v>130450100000</v>
      </c>
      <c r="V50" s="1">
        <v>161652324000</v>
      </c>
      <c r="W50" s="1">
        <v>167348600000</v>
      </c>
      <c r="X50" s="1">
        <v>182368079000</v>
      </c>
      <c r="Y50" s="1">
        <v>132580440000</v>
      </c>
      <c r="Z50" s="1">
        <v>136202875000</v>
      </c>
      <c r="AA50" s="1">
        <v>172276200000</v>
      </c>
      <c r="AB50" s="1">
        <v>302689987000</v>
      </c>
      <c r="AC50" s="1">
        <v>325257194000</v>
      </c>
      <c r="AD50" s="1">
        <v>547405632000</v>
      </c>
      <c r="AE50" s="1">
        <v>522753600000</v>
      </c>
      <c r="AF50" s="1">
        <v>465164918000</v>
      </c>
      <c r="AG50" s="1">
        <v>396265010000</v>
      </c>
      <c r="AH50" s="1">
        <v>486565883000</v>
      </c>
      <c r="AI50" s="1">
        <v>359917600000</v>
      </c>
      <c r="AJ50" s="1">
        <v>294850085000</v>
      </c>
      <c r="AK50" s="1">
        <v>193981420000</v>
      </c>
      <c r="AL50" s="1">
        <v>347308097000</v>
      </c>
      <c r="AM50" s="1">
        <v>291278200000</v>
      </c>
      <c r="AN50" s="1">
        <v>274797371000</v>
      </c>
      <c r="AO50" s="1">
        <v>245364489000</v>
      </c>
      <c r="AP50" s="1">
        <v>366911547000</v>
      </c>
      <c r="AQ50" s="1">
        <v>284316700000</v>
      </c>
      <c r="AR50" s="1">
        <v>268437630000</v>
      </c>
      <c r="AS50" s="1">
        <v>189143279000</v>
      </c>
      <c r="AT50" s="1">
        <v>257514390000</v>
      </c>
      <c r="AU50" s="1">
        <v>154073300000</v>
      </c>
      <c r="AV50" s="1">
        <v>82793610000</v>
      </c>
      <c r="AW50" s="1">
        <v>-8884918000</v>
      </c>
      <c r="AX50" s="1">
        <v>-44850763000</v>
      </c>
      <c r="AY50" s="1">
        <v>-70201000000</v>
      </c>
      <c r="AZ50" s="1">
        <v>-35154617000</v>
      </c>
      <c r="BA50" s="1">
        <v>-71186830000</v>
      </c>
      <c r="BB50" s="1">
        <v>4770551000</v>
      </c>
      <c r="BC50" s="1">
        <v>2576000000</v>
      </c>
      <c r="BD50" s="1">
        <v>43819632000</v>
      </c>
      <c r="BE50" s="1">
        <v>27032498000</v>
      </c>
      <c r="BF50" s="1">
        <v>99815056000</v>
      </c>
      <c r="BG50" s="1">
        <v>72109200000</v>
      </c>
      <c r="BH50" s="1">
        <v>63418684000</v>
      </c>
      <c r="BI50" s="1">
        <v>27098660000</v>
      </c>
      <c r="BJ50" s="1">
        <v>112799264000</v>
      </c>
      <c r="BK50" s="1">
        <v>121294800000</v>
      </c>
      <c r="BL50" s="1">
        <v>119989206000</v>
      </c>
      <c r="BM50" s="1">
        <v>102711997000</v>
      </c>
      <c r="BN50" s="1">
        <v>171091603000</v>
      </c>
      <c r="BO50" s="1">
        <v>164156000000</v>
      </c>
      <c r="BP50" s="1">
        <v>168970492000</v>
      </c>
      <c r="BQ50" s="1">
        <v>159229000000</v>
      </c>
      <c r="BR50" s="1">
        <v>201095396000</v>
      </c>
      <c r="BS50" s="1">
        <v>174074300000</v>
      </c>
      <c r="BT50" s="1">
        <v>147787150000</v>
      </c>
      <c r="BU50" s="1">
        <v>75276108000</v>
      </c>
      <c r="BV50" s="1">
        <v>197283245000</v>
      </c>
      <c r="BW50" s="1">
        <v>169650380000</v>
      </c>
      <c r="BX50" s="1">
        <v>167891642000</v>
      </c>
      <c r="BY50" s="1">
        <v>141304307000</v>
      </c>
      <c r="BZ50" s="1">
        <v>209108362000</v>
      </c>
      <c r="CA50" s="1">
        <v>133494366000</v>
      </c>
    </row>
    <row r="51" spans="1:79" x14ac:dyDescent="0.2">
      <c r="A51" s="1" t="s">
        <v>114</v>
      </c>
      <c r="B51" s="1">
        <v>322398000000</v>
      </c>
      <c r="C51" s="1">
        <v>294831217000</v>
      </c>
      <c r="D51" s="1">
        <v>273062188500</v>
      </c>
      <c r="E51" s="1">
        <v>241101258500</v>
      </c>
      <c r="F51" s="1">
        <v>258018737000</v>
      </c>
      <c r="G51" s="1">
        <v>261030926000</v>
      </c>
      <c r="H51" s="1">
        <v>231293699000</v>
      </c>
      <c r="I51" s="1">
        <v>207336225000</v>
      </c>
      <c r="J51" s="1">
        <v>202034602000</v>
      </c>
      <c r="K51" s="1">
        <v>212458236500</v>
      </c>
      <c r="L51" s="1">
        <v>208227205000</v>
      </c>
      <c r="M51" s="1">
        <v>170836212000</v>
      </c>
      <c r="N51" s="1">
        <v>189766593500</v>
      </c>
      <c r="O51" s="1">
        <v>246511675500</v>
      </c>
      <c r="P51" s="1">
        <v>243100873000</v>
      </c>
      <c r="Q51" s="1">
        <v>219036680500</v>
      </c>
      <c r="R51" s="1">
        <v>205924483000</v>
      </c>
      <c r="S51" s="1">
        <v>192802107000</v>
      </c>
      <c r="T51" s="1">
        <v>183606457000</v>
      </c>
      <c r="U51" s="1">
        <v>173751549500</v>
      </c>
      <c r="V51" s="1">
        <v>156810249500</v>
      </c>
      <c r="W51" s="1">
        <v>154353935000</v>
      </c>
      <c r="X51" s="1">
        <v>157399843000</v>
      </c>
      <c r="Y51" s="1">
        <v>149330809000</v>
      </c>
      <c r="Z51" s="1">
        <v>143151551000</v>
      </c>
      <c r="AA51" s="1">
        <v>142650259000</v>
      </c>
      <c r="AB51" s="1">
        <v>131575340000</v>
      </c>
      <c r="AC51" s="1">
        <v>112231053000</v>
      </c>
      <c r="AD51" s="1">
        <v>118026222000</v>
      </c>
      <c r="AE51" s="1">
        <v>129433581500</v>
      </c>
      <c r="AF51" s="1">
        <v>110493102000</v>
      </c>
      <c r="AG51" s="1">
        <v>99646297500</v>
      </c>
      <c r="AH51" s="1">
        <v>115199577000</v>
      </c>
      <c r="AI51" s="1">
        <v>120690012500</v>
      </c>
      <c r="AJ51" s="1">
        <v>115376614500</v>
      </c>
      <c r="AK51" s="1">
        <v>110512161500</v>
      </c>
      <c r="AL51" s="1">
        <v>119307159500</v>
      </c>
      <c r="AM51" s="1">
        <v>129445023000</v>
      </c>
      <c r="AN51" s="1">
        <v>121354911000</v>
      </c>
      <c r="AO51" s="1">
        <v>105184736500</v>
      </c>
      <c r="AP51" s="1">
        <v>91394248500</v>
      </c>
      <c r="AQ51" s="1">
        <v>91470765000</v>
      </c>
      <c r="AR51" s="1">
        <v>100276766000</v>
      </c>
      <c r="AS51" s="1">
        <v>101293538000</v>
      </c>
      <c r="AT51" s="1">
        <v>107255487000</v>
      </c>
      <c r="AU51" s="1">
        <v>114960231000</v>
      </c>
      <c r="AV51" s="1">
        <v>102228582000</v>
      </c>
      <c r="AW51" s="1">
        <v>82129235000</v>
      </c>
      <c r="AX51" s="1">
        <v>73329334000</v>
      </c>
      <c r="AY51" s="1">
        <v>76014738500</v>
      </c>
      <c r="AZ51" s="1">
        <v>81319966500</v>
      </c>
      <c r="BA51" s="1">
        <v>74428394500</v>
      </c>
      <c r="BB51" s="1">
        <v>62200066500</v>
      </c>
      <c r="BC51" s="1">
        <v>58443071000</v>
      </c>
      <c r="BD51" s="1">
        <v>57244948500</v>
      </c>
      <c r="BE51" s="1">
        <v>52618515000</v>
      </c>
      <c r="BF51" s="1">
        <v>47727287500</v>
      </c>
      <c r="BG51" s="1">
        <v>45865734500</v>
      </c>
      <c r="BH51" s="1">
        <v>46390480000</v>
      </c>
      <c r="BI51" s="1">
        <v>47106412500</v>
      </c>
      <c r="BJ51" s="1">
        <v>45065967000</v>
      </c>
      <c r="BK51" s="1">
        <v>45346507500</v>
      </c>
      <c r="BL51" s="1">
        <v>48071983000</v>
      </c>
      <c r="BM51" s="1">
        <v>44243847000</v>
      </c>
      <c r="BN51" s="1">
        <v>37716721500</v>
      </c>
      <c r="BO51" s="1">
        <v>35692182500</v>
      </c>
      <c r="BP51" s="1">
        <v>34632382500</v>
      </c>
      <c r="BQ51" s="1">
        <v>23629566500</v>
      </c>
      <c r="BR51" s="1">
        <v>16236016500</v>
      </c>
      <c r="BS51" s="1">
        <v>31981071500</v>
      </c>
      <c r="BT51" s="1">
        <v>43562731000</v>
      </c>
      <c r="BU51" s="1">
        <v>39842639500</v>
      </c>
      <c r="BV51" s="1">
        <v>40302608500</v>
      </c>
      <c r="BW51" s="1">
        <v>42477281000</v>
      </c>
      <c r="BX51" s="1">
        <v>40231121500</v>
      </c>
      <c r="BY51" s="1">
        <v>35642539000</v>
      </c>
      <c r="BZ51" s="1">
        <v>35939463000</v>
      </c>
      <c r="CA51" s="1">
        <v>37595579000</v>
      </c>
    </row>
    <row r="52" spans="1:79" x14ac:dyDescent="0.2">
      <c r="A52" s="1" t="s">
        <v>113</v>
      </c>
      <c r="B52" s="1">
        <v>92093000000</v>
      </c>
      <c r="C52" s="1">
        <v>172092825500</v>
      </c>
      <c r="D52" s="1">
        <v>172313680500</v>
      </c>
      <c r="E52" s="1">
        <v>179748019500</v>
      </c>
      <c r="F52" s="1">
        <v>270080064500</v>
      </c>
      <c r="G52" s="1">
        <v>168127923500</v>
      </c>
      <c r="H52" s="1">
        <v>135163728500</v>
      </c>
      <c r="I52" s="1">
        <v>191555818000</v>
      </c>
      <c r="J52" s="1">
        <v>205407813000</v>
      </c>
      <c r="K52" s="1">
        <v>255105574500</v>
      </c>
      <c r="L52" s="1">
        <v>235773676000</v>
      </c>
      <c r="M52" s="1">
        <v>196112297500</v>
      </c>
      <c r="N52" s="1">
        <v>236028146000</v>
      </c>
      <c r="O52" s="1">
        <v>244153537000</v>
      </c>
      <c r="P52" s="1">
        <v>219220903500</v>
      </c>
      <c r="Q52" s="1">
        <v>195041364000</v>
      </c>
      <c r="R52" s="1">
        <v>182298247500</v>
      </c>
      <c r="S52" s="1">
        <v>181564378500</v>
      </c>
      <c r="T52" s="1">
        <v>158486428500</v>
      </c>
      <c r="U52" s="1">
        <v>146281379500</v>
      </c>
      <c r="V52" s="1">
        <v>171241579500</v>
      </c>
      <c r="W52" s="1">
        <v>168169251000</v>
      </c>
      <c r="X52" s="1">
        <v>137693071000</v>
      </c>
      <c r="Y52" s="1">
        <v>137794516000</v>
      </c>
      <c r="Z52" s="1">
        <v>159665446000</v>
      </c>
      <c r="AA52" s="1">
        <v>154171891000</v>
      </c>
      <c r="AB52" s="1">
        <v>115796795000</v>
      </c>
      <c r="AC52" s="1">
        <v>103451741500</v>
      </c>
      <c r="AD52" s="1">
        <v>90093237500</v>
      </c>
      <c r="AE52" s="1">
        <v>81719215000</v>
      </c>
      <c r="AF52" s="1">
        <v>78319204000</v>
      </c>
      <c r="AG52" s="1">
        <v>72480268500</v>
      </c>
      <c r="AH52" s="1">
        <v>79891279500</v>
      </c>
      <c r="AI52" s="1">
        <v>79828769000</v>
      </c>
      <c r="AJ52" s="1">
        <v>75203841500</v>
      </c>
      <c r="AK52" s="1">
        <v>77820132500</v>
      </c>
      <c r="AL52" s="1">
        <v>84985160000</v>
      </c>
      <c r="AM52" s="1">
        <v>86471584500</v>
      </c>
      <c r="AN52" s="1">
        <v>76972890500</v>
      </c>
      <c r="AO52" s="1">
        <v>61343212500</v>
      </c>
      <c r="AP52" s="1">
        <v>48527256500</v>
      </c>
      <c r="AQ52" s="1">
        <v>48491664500</v>
      </c>
      <c r="AR52" s="1">
        <v>57890170500</v>
      </c>
      <c r="AS52" s="1">
        <v>54676318000</v>
      </c>
      <c r="AT52" s="1">
        <v>47413712000</v>
      </c>
      <c r="AU52" s="1">
        <v>48980984500</v>
      </c>
      <c r="AV52" s="1">
        <v>51887965000</v>
      </c>
      <c r="AW52" s="1">
        <v>61757683500</v>
      </c>
      <c r="AX52" s="1">
        <v>86661303000</v>
      </c>
      <c r="AY52" s="1">
        <v>88170099000</v>
      </c>
      <c r="AZ52" s="1">
        <v>73567502000</v>
      </c>
      <c r="BA52" s="1">
        <v>68169816500</v>
      </c>
      <c r="BB52" s="1">
        <v>60193263500</v>
      </c>
      <c r="BC52" s="1">
        <v>36547654000</v>
      </c>
      <c r="BD52" s="1">
        <v>13950051000</v>
      </c>
      <c r="BE52" s="1">
        <v>13694558000</v>
      </c>
      <c r="BF52" s="1">
        <v>29666561000</v>
      </c>
      <c r="BG52" s="1">
        <v>27617196500</v>
      </c>
      <c r="BH52" s="1">
        <v>10436985500</v>
      </c>
      <c r="BI52" s="1">
        <v>11816854500</v>
      </c>
      <c r="BJ52" s="1">
        <v>12013665500</v>
      </c>
      <c r="BK52" s="1">
        <v>11789584000</v>
      </c>
      <c r="BL52" s="1">
        <v>11513530500</v>
      </c>
      <c r="BM52" s="1">
        <v>11031669500</v>
      </c>
      <c r="BN52" s="1">
        <v>25170723000</v>
      </c>
      <c r="BO52" s="1">
        <v>24712023500</v>
      </c>
      <c r="BP52" s="1">
        <v>9849423500</v>
      </c>
      <c r="BQ52" s="1">
        <v>7709668000</v>
      </c>
      <c r="BR52" s="1">
        <v>5433768000</v>
      </c>
      <c r="BS52" s="1">
        <v>6969338500</v>
      </c>
      <c r="BT52" s="1">
        <v>8554089500</v>
      </c>
      <c r="BU52" s="1">
        <v>9527425000</v>
      </c>
      <c r="BV52" s="1">
        <v>10955138000</v>
      </c>
      <c r="BW52" s="1">
        <v>12014516000</v>
      </c>
      <c r="BX52" s="1">
        <v>11051122000</v>
      </c>
      <c r="BY52" s="1">
        <v>9889547500</v>
      </c>
      <c r="BZ52" s="1">
        <v>9403511000</v>
      </c>
      <c r="CA52" s="1">
        <v>7659142000</v>
      </c>
    </row>
    <row r="53" spans="1:79" x14ac:dyDescent="0.2">
      <c r="A53" s="1" t="s">
        <v>112</v>
      </c>
      <c r="B53" s="1">
        <v>299782000000</v>
      </c>
      <c r="C53" s="1">
        <v>288399531500</v>
      </c>
      <c r="D53" s="1">
        <v>296441389500</v>
      </c>
      <c r="E53" s="1">
        <v>298790665500</v>
      </c>
      <c r="F53" s="1">
        <v>290628207500</v>
      </c>
      <c r="G53" s="1">
        <v>290376365000</v>
      </c>
      <c r="H53" s="1">
        <v>282687258500</v>
      </c>
      <c r="I53" s="1">
        <v>269806963000</v>
      </c>
      <c r="J53" s="1">
        <v>259060219500</v>
      </c>
      <c r="K53" s="1">
        <v>256543586000</v>
      </c>
      <c r="L53" s="1">
        <v>248211510500</v>
      </c>
      <c r="M53" s="1">
        <v>225200465000</v>
      </c>
      <c r="N53" s="1">
        <v>218608540500</v>
      </c>
      <c r="O53" s="1">
        <v>219742487000</v>
      </c>
      <c r="P53" s="1">
        <v>217886982500</v>
      </c>
      <c r="Q53" s="1">
        <v>208778386500</v>
      </c>
      <c r="R53" s="1">
        <v>196610491000</v>
      </c>
      <c r="S53" s="1">
        <v>187668026000</v>
      </c>
      <c r="T53" s="1">
        <v>176336226000</v>
      </c>
      <c r="U53" s="1">
        <v>162503134000</v>
      </c>
      <c r="V53" s="1">
        <v>145960484000</v>
      </c>
      <c r="W53" s="1">
        <v>123431443000</v>
      </c>
      <c r="X53" s="1">
        <v>97648790000</v>
      </c>
      <c r="Y53" s="1">
        <v>82032964000</v>
      </c>
      <c r="Z53" s="1">
        <v>80629517000</v>
      </c>
      <c r="AA53" s="1">
        <v>89833465000</v>
      </c>
      <c r="AB53" s="1">
        <v>102458804500</v>
      </c>
      <c r="AC53" s="1">
        <v>108457130500</v>
      </c>
      <c r="AD53" s="1">
        <v>105956691000</v>
      </c>
      <c r="AE53" s="1">
        <v>104283788000</v>
      </c>
      <c r="AF53" s="1">
        <v>102184326500</v>
      </c>
      <c r="AG53" s="1">
        <v>92123988000</v>
      </c>
      <c r="AH53" s="1">
        <v>79548299500</v>
      </c>
      <c r="AI53" s="1">
        <v>73887289500</v>
      </c>
      <c r="AJ53" s="1">
        <v>67452202000</v>
      </c>
      <c r="AK53" s="1">
        <v>55699773500</v>
      </c>
      <c r="AL53" s="1">
        <v>49535611000</v>
      </c>
      <c r="AM53" s="1">
        <v>51282172000</v>
      </c>
      <c r="AN53" s="1">
        <v>57293979000</v>
      </c>
      <c r="AO53" s="1">
        <v>58974067000</v>
      </c>
      <c r="AP53" s="1">
        <v>62147310000</v>
      </c>
      <c r="AQ53" s="1">
        <v>66059257000</v>
      </c>
      <c r="AR53" s="1">
        <v>65672405500</v>
      </c>
      <c r="AS53" s="1">
        <v>65439131500</v>
      </c>
      <c r="AT53" s="1">
        <v>65468833000</v>
      </c>
      <c r="AU53" s="1">
        <v>65837494500</v>
      </c>
      <c r="AV53" s="1">
        <v>58145627000</v>
      </c>
      <c r="AW53" s="1">
        <v>47217767000</v>
      </c>
      <c r="AX53" s="1">
        <v>40488084500</v>
      </c>
      <c r="AY53" s="1">
        <v>37205713500</v>
      </c>
      <c r="AZ53" s="1">
        <v>37765727500</v>
      </c>
      <c r="BA53" s="1">
        <v>38224196500</v>
      </c>
      <c r="BB53" s="1">
        <v>37831982500</v>
      </c>
      <c r="BC53" s="1">
        <v>35539772500</v>
      </c>
      <c r="BD53" s="1">
        <v>32014755500</v>
      </c>
      <c r="BE53" s="1">
        <v>29269808000</v>
      </c>
      <c r="BF53" s="1">
        <v>26299875000</v>
      </c>
      <c r="BG53" s="1">
        <v>25266419500</v>
      </c>
      <c r="BH53" s="1">
        <v>28607722500</v>
      </c>
      <c r="BI53" s="1">
        <v>31655222500</v>
      </c>
      <c r="BJ53" s="1">
        <v>30096569500</v>
      </c>
      <c r="BK53" s="1">
        <v>27534657500</v>
      </c>
      <c r="BL53" s="1">
        <v>25731655500</v>
      </c>
      <c r="BM53" s="1">
        <v>23747064500</v>
      </c>
      <c r="BN53" s="1">
        <v>21804016500</v>
      </c>
      <c r="BO53" s="1">
        <v>20044926000</v>
      </c>
      <c r="BP53" s="1">
        <v>19075026000</v>
      </c>
      <c r="BQ53" s="1">
        <v>16874583500</v>
      </c>
      <c r="BR53" s="1">
        <v>14825883500</v>
      </c>
      <c r="BS53" s="1">
        <v>18318485000</v>
      </c>
      <c r="BT53" s="1">
        <v>21275078500</v>
      </c>
      <c r="BU53" s="1">
        <v>21334814500</v>
      </c>
      <c r="BV53" s="1">
        <v>22874797500</v>
      </c>
      <c r="BW53" s="1">
        <v>24173919500</v>
      </c>
      <c r="BX53" s="1">
        <v>24281060000</v>
      </c>
      <c r="BY53" s="1">
        <v>23179238500</v>
      </c>
      <c r="BZ53" s="1">
        <v>21166403000</v>
      </c>
      <c r="CA53" s="1">
        <v>19210103000</v>
      </c>
    </row>
    <row r="54" spans="1:79" x14ac:dyDescent="0.2">
      <c r="A54" s="2" t="s">
        <v>111</v>
      </c>
      <c r="B54" s="2">
        <v>28.807304098481353</v>
      </c>
      <c r="C54" s="2">
        <v>24.243793555047848</v>
      </c>
      <c r="D54" s="2">
        <v>27.990630597685868</v>
      </c>
      <c r="E54" s="2">
        <v>22.963106205664648</v>
      </c>
      <c r="F54" s="2">
        <v>26.160687539171693</v>
      </c>
      <c r="G54" s="2">
        <v>28.196903487894105</v>
      </c>
      <c r="H54" s="2">
        <v>29.614174488046537</v>
      </c>
      <c r="I54" s="2">
        <v>28.411167037198311</v>
      </c>
      <c r="J54" s="2">
        <v>30.685038897394019</v>
      </c>
      <c r="K54" s="2">
        <v>29.06486829547471</v>
      </c>
      <c r="L54" s="2">
        <v>36.693531522699381</v>
      </c>
      <c r="M54" s="2">
        <v>36.226784172724081</v>
      </c>
      <c r="N54" s="2">
        <v>26.209834080103967</v>
      </c>
      <c r="O54" s="2">
        <v>33.294547886477332</v>
      </c>
      <c r="P54" s="2">
        <v>38.401009974931725</v>
      </c>
      <c r="Q54" s="2">
        <v>37.841812958803175</v>
      </c>
      <c r="R54" s="2">
        <v>39.125819443383648</v>
      </c>
      <c r="S54" s="2">
        <v>40.734867123639646</v>
      </c>
      <c r="T54" s="2">
        <v>40.638828123288739</v>
      </c>
      <c r="U54" s="2">
        <v>43.524536645679852</v>
      </c>
      <c r="V54" s="2">
        <v>41.604330291669747</v>
      </c>
      <c r="W54" s="2">
        <v>36.362595278092705</v>
      </c>
      <c r="X54" s="2">
        <v>41.060874562474261</v>
      </c>
      <c r="Y54" s="2">
        <v>44.092015740187676</v>
      </c>
      <c r="Z54" s="2">
        <v>42.445967283312307</v>
      </c>
      <c r="AA54" s="2">
        <v>39.667526171285196</v>
      </c>
      <c r="AB54" s="2">
        <v>44.682220992265684</v>
      </c>
      <c r="AC54" s="2">
        <v>43.933990915487215</v>
      </c>
      <c r="AD54" s="2">
        <v>43.944366103480611</v>
      </c>
      <c r="AE54" s="2">
        <v>40.147744253220651</v>
      </c>
      <c r="AF54" s="2">
        <v>44.805546154479686</v>
      </c>
      <c r="AG54" s="2">
        <v>35.264464239527747</v>
      </c>
      <c r="AH54" s="2">
        <v>39.16723859681516</v>
      </c>
      <c r="AI54" s="2">
        <v>39.711257229956928</v>
      </c>
      <c r="AJ54" s="2">
        <v>42.442631337842023</v>
      </c>
      <c r="AK54" s="2">
        <v>47.086268300148959</v>
      </c>
      <c r="AL54" s="2">
        <v>42.00031280142727</v>
      </c>
      <c r="AM54" s="2">
        <v>44.429732977687827</v>
      </c>
      <c r="AN54" s="2">
        <v>44.733766268226368</v>
      </c>
      <c r="AO54" s="2">
        <v>45.961647641143564</v>
      </c>
      <c r="AP54" s="2">
        <v>42.950567955352469</v>
      </c>
      <c r="AQ54" s="2">
        <v>37.891337108250177</v>
      </c>
      <c r="AR54" s="2">
        <v>41.184027624527246</v>
      </c>
      <c r="AS54" s="2">
        <v>45.254972987030811</v>
      </c>
      <c r="AT54" s="2">
        <v>40.247897123629222</v>
      </c>
      <c r="AU54" s="2">
        <v>46.600815917707365</v>
      </c>
      <c r="AV54" s="2">
        <v>49.378837710234535</v>
      </c>
      <c r="AW54" s="2">
        <v>44.141851552252653</v>
      </c>
      <c r="AX54" s="2">
        <v>45.229118241834996</v>
      </c>
      <c r="AY54" s="2">
        <v>44.536698469865648</v>
      </c>
      <c r="AZ54" s="2">
        <v>44.226207139693933</v>
      </c>
      <c r="BA54" s="2">
        <v>47.787818908324837</v>
      </c>
      <c r="BB54" s="2">
        <v>44.799243417387487</v>
      </c>
      <c r="BC54" s="2">
        <v>39.979769598099011</v>
      </c>
      <c r="BD54" s="2">
        <v>37.249921655510747</v>
      </c>
      <c r="BE54" s="2">
        <v>39.327775658917325</v>
      </c>
      <c r="BF54" s="2">
        <v>41.995577868850127</v>
      </c>
      <c r="BG54" s="2">
        <v>39.656217225902708</v>
      </c>
      <c r="BH54" s="2">
        <v>38.535366886864551</v>
      </c>
      <c r="BI54" s="2">
        <v>38.430584989098612</v>
      </c>
      <c r="BJ54" s="2">
        <v>40.162779158870684</v>
      </c>
      <c r="BK54" s="2">
        <v>35.223747759237561</v>
      </c>
      <c r="BL54" s="2">
        <v>38.154799991044726</v>
      </c>
      <c r="BM54" s="2">
        <v>41.635957693273859</v>
      </c>
      <c r="BN54" s="2">
        <v>38.982699410628555</v>
      </c>
      <c r="BO54" s="2">
        <v>34.696177918900588</v>
      </c>
      <c r="BP54" s="2">
        <v>35.906381809662406</v>
      </c>
      <c r="BQ54" s="2">
        <v>40.486174742629224</v>
      </c>
      <c r="BR54" s="2">
        <v>31.614126243546664</v>
      </c>
      <c r="BS54" s="2">
        <v>25.294467103380637</v>
      </c>
      <c r="BT54" s="2">
        <v>44.026710518692482</v>
      </c>
      <c r="BU54" s="2">
        <v>43.967174753678151</v>
      </c>
      <c r="BV54" s="2">
        <v>39.017566604907003</v>
      </c>
      <c r="BW54" s="2">
        <v>39.747523239357186</v>
      </c>
      <c r="BX54" s="2">
        <v>43.233333302652831</v>
      </c>
      <c r="BY54" s="2">
        <v>47.100798093670996</v>
      </c>
      <c r="BZ54" s="2">
        <v>45.615813482007098</v>
      </c>
      <c r="CA54" s="2">
        <v>308.64634461769685</v>
      </c>
    </row>
    <row r="55" spans="1:79" x14ac:dyDescent="0.2">
      <c r="A55" s="2" t="s">
        <v>110</v>
      </c>
      <c r="B55" s="2">
        <v>23.476625357881758</v>
      </c>
      <c r="C55" s="2">
        <v>19.258163475030639</v>
      </c>
      <c r="D55" s="2">
        <v>58.267227879165368</v>
      </c>
      <c r="E55" s="2">
        <v>19.743788283823687</v>
      </c>
      <c r="F55" s="2">
        <v>71.489218467641436</v>
      </c>
      <c r="G55" s="2">
        <v>67.08910307176437</v>
      </c>
      <c r="H55" s="2">
        <v>19.896595366647343</v>
      </c>
      <c r="I55" s="2">
        <v>56.932406754435618</v>
      </c>
      <c r="J55" s="2">
        <v>59.410526319271263</v>
      </c>
      <c r="K55" s="2">
        <v>69.611098818427223</v>
      </c>
      <c r="L55" s="2">
        <v>101.84312634699849</v>
      </c>
      <c r="M55" s="2">
        <v>76.908883517045382</v>
      </c>
      <c r="N55" s="2">
        <v>82.522470127873774</v>
      </c>
      <c r="O55" s="2">
        <v>102.19779308938246</v>
      </c>
      <c r="P55" s="2">
        <v>81.574230308888787</v>
      </c>
      <c r="Q55" s="2">
        <v>89.934649901198966</v>
      </c>
      <c r="R55" s="2">
        <v>70.872495975367855</v>
      </c>
      <c r="S55" s="2">
        <v>83.718863736532953</v>
      </c>
      <c r="T55" s="2">
        <v>75.816010874655802</v>
      </c>
      <c r="U55" s="2">
        <v>71.086805932900575</v>
      </c>
      <c r="V55" s="2">
        <v>75.981436662517652</v>
      </c>
      <c r="W55" s="2">
        <v>106.47376951044954</v>
      </c>
      <c r="X55" s="2">
        <v>75.682411435067607</v>
      </c>
      <c r="Y55" s="2">
        <v>83.733770872889195</v>
      </c>
      <c r="Z55" s="2">
        <v>83.954116879655075</v>
      </c>
      <c r="AA55" s="2">
        <v>102.27077546113203</v>
      </c>
      <c r="AB55" s="2">
        <v>75.439952397864985</v>
      </c>
      <c r="AC55" s="2">
        <v>67.393615208915151</v>
      </c>
      <c r="AD55" s="2">
        <v>72.974660673123353</v>
      </c>
      <c r="AE55" s="2">
        <v>45.171273705589108</v>
      </c>
      <c r="AF55" s="2">
        <v>57.379824791276974</v>
      </c>
      <c r="AG55" s="2">
        <v>51.264510682983918</v>
      </c>
      <c r="AH55" s="2">
        <v>55.303950984459256</v>
      </c>
      <c r="AI55" s="2">
        <v>54.533888640375956</v>
      </c>
      <c r="AJ55" s="2">
        <v>53.844954978609636</v>
      </c>
      <c r="AK55" s="2">
        <v>64.126363322460691</v>
      </c>
      <c r="AL55" s="2">
        <v>64.643766245735719</v>
      </c>
      <c r="AM55" s="2">
        <v>64.176133927730504</v>
      </c>
      <c r="AN55" s="2">
        <v>58.701879667293753</v>
      </c>
      <c r="AO55" s="2">
        <v>58.805521065636647</v>
      </c>
      <c r="AP55" s="2">
        <v>42.114030181379704</v>
      </c>
      <c r="AQ55" s="2">
        <v>38.361058609302248</v>
      </c>
      <c r="AR55" s="2">
        <v>42.796007409997983</v>
      </c>
      <c r="AS55" s="2">
        <v>53.95150651283155</v>
      </c>
      <c r="AT55" s="2">
        <v>36.746626312327912</v>
      </c>
      <c r="AU55" s="2">
        <v>39.267002592736219</v>
      </c>
      <c r="AV55" s="2">
        <v>42.709834410437615</v>
      </c>
      <c r="AW55" s="2">
        <v>53.585893664171365</v>
      </c>
      <c r="AX55" s="2">
        <v>79.597307448684106</v>
      </c>
      <c r="AY55" s="2">
        <v>116.73829317245892</v>
      </c>
      <c r="AZ55" s="2">
        <v>77.327190924762192</v>
      </c>
      <c r="BA55" s="2">
        <v>85.252157611059218</v>
      </c>
      <c r="BB55" s="2">
        <v>76.3423626916248</v>
      </c>
      <c r="BC55" s="2">
        <v>77.00700723642575</v>
      </c>
      <c r="BD55" s="2">
        <v>17.134401410827344</v>
      </c>
      <c r="BE55" s="2">
        <v>19.387749839655253</v>
      </c>
      <c r="BF55" s="2">
        <v>21.618972617578368</v>
      </c>
      <c r="BG55" s="2">
        <v>71.564434164712679</v>
      </c>
      <c r="BH55" s="2">
        <v>13.363569826847051</v>
      </c>
      <c r="BI55" s="2">
        <v>17.668222546858459</v>
      </c>
      <c r="BJ55" s="2">
        <v>19.980377338929422</v>
      </c>
      <c r="BK55" s="2">
        <v>19.690529266051335</v>
      </c>
      <c r="BL55" s="2">
        <v>18.401848090596467</v>
      </c>
      <c r="BM55" s="2">
        <v>19.603369268029116</v>
      </c>
      <c r="BN55" s="2">
        <v>19.708095600536613</v>
      </c>
      <c r="BO55" s="2">
        <v>75.627408769503276</v>
      </c>
      <c r="BP55" s="2">
        <v>18.34080527840251</v>
      </c>
      <c r="BQ55" s="2">
        <v>22.784096602866018</v>
      </c>
      <c r="BR55" s="2">
        <v>14.937288342456206</v>
      </c>
      <c r="BS55" s="2">
        <v>11.039909875179244</v>
      </c>
      <c r="BT55" s="2">
        <v>15.168182789712326</v>
      </c>
      <c r="BU55" s="2">
        <v>16.998259914101403</v>
      </c>
      <c r="BV55" s="2">
        <v>18.88465327698102</v>
      </c>
      <c r="BW55" s="2">
        <v>20.58035557288806</v>
      </c>
      <c r="BX55" s="2">
        <v>23.483606217879682</v>
      </c>
      <c r="BY55" s="2">
        <v>20.665933116163089</v>
      </c>
      <c r="BZ55" s="2">
        <v>22.481631676347437</v>
      </c>
      <c r="CA55" s="2">
        <v>20.307393302231162</v>
      </c>
    </row>
    <row r="56" spans="1:79" x14ac:dyDescent="0.2">
      <c r="A56" s="2" t="s">
        <v>109</v>
      </c>
      <c r="B56" s="2">
        <v>73.224331779900098</v>
      </c>
      <c r="C56" s="2">
        <v>65.7947287891744</v>
      </c>
      <c r="D56" s="2">
        <v>64.732521133603242</v>
      </c>
      <c r="E56" s="2">
        <v>70.848356438410761</v>
      </c>
      <c r="F56" s="2">
        <v>76.345809564013081</v>
      </c>
      <c r="G56" s="2">
        <v>72.759061115136404</v>
      </c>
      <c r="H56" s="2">
        <v>82.28451252797764</v>
      </c>
      <c r="I56" s="2">
        <v>77.759241803795291</v>
      </c>
      <c r="J56" s="2">
        <v>86.435582164383945</v>
      </c>
      <c r="K56" s="2">
        <v>76.898359550791284</v>
      </c>
      <c r="L56" s="2">
        <v>94.318360391867103</v>
      </c>
      <c r="M56" s="2">
        <v>95.584802946801375</v>
      </c>
      <c r="N56" s="2">
        <v>87.542845819632376</v>
      </c>
      <c r="O56" s="2">
        <v>84.212716717359172</v>
      </c>
      <c r="P56" s="2">
        <v>80.983772746995214</v>
      </c>
      <c r="Q56" s="2">
        <v>89.491820368671881</v>
      </c>
      <c r="R56" s="2">
        <v>82.666074277949832</v>
      </c>
      <c r="S56" s="2">
        <v>83.751175431264855</v>
      </c>
      <c r="T56" s="2">
        <v>81.2237412830154</v>
      </c>
      <c r="U56" s="2">
        <v>82.493266515622537</v>
      </c>
      <c r="V56" s="2">
        <v>80.61086301969975</v>
      </c>
      <c r="W56" s="2">
        <v>74.314565422918378</v>
      </c>
      <c r="X56" s="2">
        <v>59.392099940453953</v>
      </c>
      <c r="Y56" s="2">
        <v>52.881064336585254</v>
      </c>
      <c r="Z56" s="2">
        <v>47.025324677760608</v>
      </c>
      <c r="AA56" s="2">
        <v>47.257303761824915</v>
      </c>
      <c r="AB56" s="2">
        <v>56.646898063069784</v>
      </c>
      <c r="AC56" s="2">
        <v>70.932836202112725</v>
      </c>
      <c r="AD56" s="2">
        <v>76.207524344082103</v>
      </c>
      <c r="AE56" s="2">
        <v>61.263880463165663</v>
      </c>
      <c r="AF56" s="2">
        <v>69.21586324137445</v>
      </c>
      <c r="AG56" s="2">
        <v>73.243336622847011</v>
      </c>
      <c r="AH56" s="2">
        <v>62.300431691171113</v>
      </c>
      <c r="AI56" s="2">
        <v>47.886435468904423</v>
      </c>
      <c r="AJ56" s="2">
        <v>52.684893664189239</v>
      </c>
      <c r="AK56" s="2">
        <v>52.243999824589395</v>
      </c>
      <c r="AL56" s="2">
        <v>40.336769957758307</v>
      </c>
      <c r="AM56" s="2">
        <v>35.018464987497445</v>
      </c>
      <c r="AN56" s="2">
        <v>37.777622164694542</v>
      </c>
      <c r="AO56" s="2">
        <v>50.838321232077817</v>
      </c>
      <c r="AP56" s="2">
        <v>45.94705614615787</v>
      </c>
      <c r="AQ56" s="2">
        <v>57.688751560157385</v>
      </c>
      <c r="AR56" s="2">
        <v>53.14495885702113</v>
      </c>
      <c r="AS56" s="2">
        <v>56.414888193930366</v>
      </c>
      <c r="AT56" s="2">
        <v>51.640562629947546</v>
      </c>
      <c r="AU56" s="2">
        <v>53.31419848415625</v>
      </c>
      <c r="AV56" s="2">
        <v>56.830556014512858</v>
      </c>
      <c r="AW56" s="2">
        <v>49.94086279261829</v>
      </c>
      <c r="AX56" s="2">
        <v>50.274347168460203</v>
      </c>
      <c r="AY56" s="2">
        <v>41.893852237231158</v>
      </c>
      <c r="AZ56" s="2">
        <v>39.725345514367994</v>
      </c>
      <c r="BA56" s="2">
        <v>43.732880049610209</v>
      </c>
      <c r="BB56" s="2">
        <v>47.299237522275362</v>
      </c>
      <c r="BC56" s="2">
        <v>49.108320110474736</v>
      </c>
      <c r="BD56" s="2">
        <v>41.363393328264166</v>
      </c>
      <c r="BE56" s="2">
        <v>42.242813634380667</v>
      </c>
      <c r="BF56" s="2">
        <v>45.251001592147212</v>
      </c>
      <c r="BG56" s="2">
        <v>38.586170982005207</v>
      </c>
      <c r="BH56" s="2">
        <v>37.468657066715686</v>
      </c>
      <c r="BI56" s="2">
        <v>47.560335535826148</v>
      </c>
      <c r="BJ56" s="2">
        <v>53.26797380509646</v>
      </c>
      <c r="BK56" s="2">
        <v>46.209349257160959</v>
      </c>
      <c r="BL56" s="2">
        <v>42.758821846521151</v>
      </c>
      <c r="BM56" s="2">
        <v>42.084280233609462</v>
      </c>
      <c r="BN56" s="2">
        <v>42.550627541668497</v>
      </c>
      <c r="BO56" s="2">
        <v>39.709981409172876</v>
      </c>
      <c r="BP56" s="2">
        <v>36.659354244498687</v>
      </c>
      <c r="BQ56" s="2">
        <v>42.781340815713001</v>
      </c>
      <c r="BR56" s="2">
        <v>41.529351886471545</v>
      </c>
      <c r="BS56" s="2">
        <v>29.575078017916077</v>
      </c>
      <c r="BT56" s="2">
        <v>39.36153777915942</v>
      </c>
      <c r="BU56" s="2">
        <v>40.513845707993511</v>
      </c>
      <c r="BV56" s="2">
        <v>39.991028963689537</v>
      </c>
      <c r="BW56" s="2">
        <v>42.42896642505692</v>
      </c>
      <c r="BX56" s="2">
        <v>46.168031862697966</v>
      </c>
      <c r="BY56" s="2">
        <v>51.569941149249509</v>
      </c>
      <c r="BZ56" s="2">
        <v>49.444899024689626</v>
      </c>
      <c r="CA56" s="2">
        <v>46.931735875843131</v>
      </c>
    </row>
    <row r="57" spans="1:79" x14ac:dyDescent="0.2">
      <c r="A57" s="2" t="s">
        <v>108</v>
      </c>
      <c r="B57" s="2">
        <v>3.1242076555419347</v>
      </c>
      <c r="C57" s="2">
        <v>3.7122903144529102</v>
      </c>
      <c r="D57" s="2">
        <v>3.2153616434579635</v>
      </c>
      <c r="E57" s="2">
        <v>3.9193303899713006</v>
      </c>
      <c r="F57" s="2">
        <v>3.4402765548588334</v>
      </c>
      <c r="G57" s="2">
        <v>3.1918398429331107</v>
      </c>
      <c r="H57" s="2">
        <v>3.0390852203672805</v>
      </c>
      <c r="I57" s="2">
        <v>3.1677685003986058</v>
      </c>
      <c r="J57" s="2">
        <v>2.9330254493385506</v>
      </c>
      <c r="K57" s="2">
        <v>3.096521858797229</v>
      </c>
      <c r="L57" s="2">
        <v>2.452748380033253</v>
      </c>
      <c r="M57" s="2">
        <v>2.4843496891938566</v>
      </c>
      <c r="N57" s="2">
        <v>3.4338256291488514</v>
      </c>
      <c r="O57" s="2">
        <v>2.7031452809291259</v>
      </c>
      <c r="P57" s="2">
        <v>2.3436883576435155</v>
      </c>
      <c r="Q57" s="2">
        <v>2.3783215697931621</v>
      </c>
      <c r="R57" s="2">
        <v>2.3002713113838538</v>
      </c>
      <c r="S57" s="2">
        <v>2.2094094409791345</v>
      </c>
      <c r="T57" s="2">
        <v>2.2146307892284924</v>
      </c>
      <c r="U57" s="2">
        <v>2.0677991527552124</v>
      </c>
      <c r="V57" s="2">
        <v>2.1632363595099213</v>
      </c>
      <c r="W57" s="2">
        <v>2.4750708609135526</v>
      </c>
      <c r="X57" s="2">
        <v>2.191867585846587</v>
      </c>
      <c r="Y57" s="2">
        <v>2.0411858811428636</v>
      </c>
      <c r="Z57" s="2">
        <v>2.1203427736557585</v>
      </c>
      <c r="AA57" s="2">
        <v>2.2688584009846786</v>
      </c>
      <c r="AB57" s="2">
        <v>2.0142239575686856</v>
      </c>
      <c r="AC57" s="2">
        <v>2.0485277600463565</v>
      </c>
      <c r="AD57" s="2">
        <v>2.0480441062243826</v>
      </c>
      <c r="AE57" s="2">
        <v>2.2417199689315099</v>
      </c>
      <c r="AF57" s="2">
        <v>2.0086799006913063</v>
      </c>
      <c r="AG57" s="2">
        <v>2.5521442602584465</v>
      </c>
      <c r="AH57" s="2">
        <v>2.2978387862992782</v>
      </c>
      <c r="AI57" s="2">
        <v>2.2663598757106795</v>
      </c>
      <c r="AJ57" s="2">
        <v>2.1205094303320355</v>
      </c>
      <c r="AK57" s="2">
        <v>1.9113852774719733</v>
      </c>
      <c r="AL57" s="2">
        <v>2.1428411837195078</v>
      </c>
      <c r="AM57" s="2">
        <v>2.0256705131493162</v>
      </c>
      <c r="AN57" s="2">
        <v>2.0119030322721891</v>
      </c>
      <c r="AO57" s="2">
        <v>1.9581543443067204</v>
      </c>
      <c r="AP57" s="2">
        <v>2.0954321277789822</v>
      </c>
      <c r="AQ57" s="2">
        <v>2.3752130927151698</v>
      </c>
      <c r="AR57" s="2">
        <v>2.185313219496781</v>
      </c>
      <c r="AS57" s="2">
        <v>1.9887317140989615</v>
      </c>
      <c r="AT57" s="2">
        <v>2.2361416727822463</v>
      </c>
      <c r="AU57" s="2">
        <v>1.931296657099985</v>
      </c>
      <c r="AV57" s="2">
        <v>1.8226431437722175</v>
      </c>
      <c r="AW57" s="2">
        <v>2.0388813979282912</v>
      </c>
      <c r="AX57" s="2">
        <v>1.9898685514667818</v>
      </c>
      <c r="AY57" s="2">
        <v>2.0208053827989891</v>
      </c>
      <c r="AZ57" s="2">
        <v>2.0349925037822909</v>
      </c>
      <c r="BA57" s="2">
        <v>1.8833251246024461</v>
      </c>
      <c r="BB57" s="2">
        <v>2.0089624987967807</v>
      </c>
      <c r="BC57" s="2">
        <v>2.2511385359329186</v>
      </c>
      <c r="BD57" s="2">
        <v>2.4161124641368317</v>
      </c>
      <c r="BE57" s="2">
        <v>2.288458945162668</v>
      </c>
      <c r="BF57" s="2">
        <v>2.1430827855510173</v>
      </c>
      <c r="BG57" s="2">
        <v>2.2695054217428905</v>
      </c>
      <c r="BH57" s="2">
        <v>2.3355168841191976</v>
      </c>
      <c r="BI57" s="2">
        <v>2.3418847260724709</v>
      </c>
      <c r="BJ57" s="2">
        <v>2.2408807827762547</v>
      </c>
      <c r="BK57" s="2">
        <v>2.555094381641918</v>
      </c>
      <c r="BL57" s="2">
        <v>2.3588119979956339</v>
      </c>
      <c r="BM57" s="2">
        <v>2.1615931273400051</v>
      </c>
      <c r="BN57" s="2">
        <v>2.3087164655267989</v>
      </c>
      <c r="BO57" s="2">
        <v>2.5939456562151442</v>
      </c>
      <c r="BP57" s="2">
        <v>2.5065182138675137</v>
      </c>
      <c r="BQ57" s="2">
        <v>2.2229810687754612</v>
      </c>
      <c r="BR57" s="2">
        <v>2.8468286394083573</v>
      </c>
      <c r="BS57" s="2">
        <v>3.5580903773209513</v>
      </c>
      <c r="BT57" s="2">
        <v>2.0442135907879959</v>
      </c>
      <c r="BU57" s="2">
        <v>2.0469816517485215</v>
      </c>
      <c r="BV57" s="2">
        <v>2.3066533315965749</v>
      </c>
      <c r="BW57" s="2">
        <v>2.2642920279088945</v>
      </c>
      <c r="BX57" s="2">
        <v>2.0817270639291081</v>
      </c>
      <c r="BY57" s="2">
        <v>1.9107956476876224</v>
      </c>
      <c r="BZ57" s="2">
        <v>1.9730000000000001</v>
      </c>
      <c r="CA57" s="2">
        <v>0.29159587200515213</v>
      </c>
    </row>
    <row r="58" spans="1:79" x14ac:dyDescent="0.2">
      <c r="A58" s="2" t="s">
        <v>107</v>
      </c>
      <c r="B58" s="2">
        <v>3.8336003845537574</v>
      </c>
      <c r="C58" s="2">
        <v>4.6733428198743034</v>
      </c>
      <c r="D58" s="2">
        <v>1.544607548288415</v>
      </c>
      <c r="E58" s="2">
        <v>4.5583957195153904</v>
      </c>
      <c r="F58" s="2">
        <v>1.2589310937947544</v>
      </c>
      <c r="G58" s="2">
        <v>1.3414995264391616</v>
      </c>
      <c r="H58" s="2">
        <v>4.5233869584977828</v>
      </c>
      <c r="I58" s="2">
        <v>1.5808219804968648</v>
      </c>
      <c r="J58" s="2">
        <v>1.5148830615696176</v>
      </c>
      <c r="K58" s="2">
        <v>1.2928972754007941</v>
      </c>
      <c r="L58" s="2">
        <v>0.88371207000611152</v>
      </c>
      <c r="M58" s="2">
        <v>1.1702159215463481</v>
      </c>
      <c r="N58" s="2">
        <v>1.0906120461559055</v>
      </c>
      <c r="O58" s="2">
        <v>0.88064523977817966</v>
      </c>
      <c r="P58" s="2">
        <v>1.1032896008850614</v>
      </c>
      <c r="Q58" s="2">
        <v>1.0007266398309531</v>
      </c>
      <c r="R58" s="2">
        <v>1.2698861351134016</v>
      </c>
      <c r="S58" s="2">
        <v>1.0750265350379582</v>
      </c>
      <c r="T58" s="2">
        <v>1.1870843501486004</v>
      </c>
      <c r="U58" s="2">
        <v>1.2660577278567242</v>
      </c>
      <c r="V58" s="2">
        <v>1.1844998456629321</v>
      </c>
      <c r="W58" s="2">
        <v>0.84527861100256463</v>
      </c>
      <c r="X58" s="2">
        <v>1.1891798674678369</v>
      </c>
      <c r="Y58" s="2">
        <v>1.0748351478953833</v>
      </c>
      <c r="Z58" s="2">
        <v>1.0720141351616082</v>
      </c>
      <c r="AA58" s="2">
        <v>0.88001679457495141</v>
      </c>
      <c r="AB58" s="2">
        <v>1.1930018132215454</v>
      </c>
      <c r="AC58" s="2">
        <v>1.3354380785332074</v>
      </c>
      <c r="AD58" s="2">
        <v>1.233304809776897</v>
      </c>
      <c r="AE58" s="2">
        <v>1.9924166979791</v>
      </c>
      <c r="AF58" s="2">
        <v>1.5684955527030824</v>
      </c>
      <c r="AG58" s="2">
        <v>1.7556004885436942</v>
      </c>
      <c r="AH58" s="2">
        <v>1.6273701679160417</v>
      </c>
      <c r="AI58" s="2">
        <v>1.6503499428310628</v>
      </c>
      <c r="AJ58" s="2">
        <v>1.6714657860843836</v>
      </c>
      <c r="AK58" s="2">
        <v>1.4034789334213953</v>
      </c>
      <c r="AL58" s="2">
        <v>1.3922456135658234</v>
      </c>
      <c r="AM58" s="2">
        <v>1.4023904914769416</v>
      </c>
      <c r="AN58" s="2">
        <v>1.5331706669376766</v>
      </c>
      <c r="AO58" s="2">
        <v>1.5304685405226692</v>
      </c>
      <c r="AP58" s="2">
        <v>2.1370550292237906</v>
      </c>
      <c r="AQ58" s="2">
        <v>2.3461292066162041</v>
      </c>
      <c r="AR58" s="2">
        <v>2.1029999162719615</v>
      </c>
      <c r="AS58" s="2">
        <v>1.6681647245308129</v>
      </c>
      <c r="AT58" s="2">
        <v>2.4492044313141865</v>
      </c>
      <c r="AU58" s="2">
        <v>2.2920007654632792</v>
      </c>
      <c r="AV58" s="2">
        <v>2.1072430095398684</v>
      </c>
      <c r="AW58" s="2">
        <v>1.6795464971441889</v>
      </c>
      <c r="AX58" s="2">
        <v>1.1306915131271551</v>
      </c>
      <c r="AY58" s="2">
        <v>0.77095525002273146</v>
      </c>
      <c r="AZ58" s="2">
        <v>1.1638855481969879</v>
      </c>
      <c r="BA58" s="2">
        <v>1.055691756337729</v>
      </c>
      <c r="BB58" s="2">
        <v>1.1788998509719104</v>
      </c>
      <c r="BC58" s="2">
        <v>1.1687248112848141</v>
      </c>
      <c r="BD58" s="2">
        <v>5.2525908458715342</v>
      </c>
      <c r="BE58" s="2">
        <v>4.6421065231570138</v>
      </c>
      <c r="BF58" s="2">
        <v>4.1630100371569494</v>
      </c>
      <c r="BG58" s="2">
        <v>1.2576079312365696</v>
      </c>
      <c r="BH58" s="2">
        <v>6.7347274093777276</v>
      </c>
      <c r="BI58" s="2">
        <v>5.0938910103327091</v>
      </c>
      <c r="BJ58" s="2">
        <v>4.5044194347944346</v>
      </c>
      <c r="BK58" s="2">
        <v>4.5707252854381126</v>
      </c>
      <c r="BL58" s="2">
        <v>4.8908131159930033</v>
      </c>
      <c r="BM58" s="2">
        <v>4.5910475270585165</v>
      </c>
      <c r="BN58" s="2">
        <v>4.5666512799719463</v>
      </c>
      <c r="BO58" s="2">
        <v>1.1900447399209646</v>
      </c>
      <c r="BP58" s="2">
        <v>4.9070909719531697</v>
      </c>
      <c r="BQ58" s="2">
        <v>3.9501237011380503</v>
      </c>
      <c r="BR58" s="2">
        <v>6.0251899766969945</v>
      </c>
      <c r="BS58" s="2">
        <v>8.1522404636966073</v>
      </c>
      <c r="BT58" s="2">
        <v>5.9334727994603051</v>
      </c>
      <c r="BU58" s="2">
        <v>5.2946595977943529</v>
      </c>
      <c r="BV58" s="2">
        <v>4.7657745514291898</v>
      </c>
      <c r="BW58" s="2">
        <v>4.37310228587903</v>
      </c>
      <c r="BX58" s="2">
        <v>3.8324607883893411</v>
      </c>
      <c r="BY58" s="2">
        <v>4.3549932874606014</v>
      </c>
      <c r="BZ58" s="2">
        <v>4.0032681477780612</v>
      </c>
      <c r="CA58" s="2">
        <v>4.4318834357786203</v>
      </c>
    </row>
    <row r="59" spans="1:79" x14ac:dyDescent="0.2">
      <c r="A59" s="2" t="s">
        <v>106</v>
      </c>
      <c r="B59" s="2">
        <v>1.2290996423227829</v>
      </c>
      <c r="C59" s="2">
        <v>1.3678907361771546</v>
      </c>
      <c r="D59" s="2">
        <v>1.3903367028490441</v>
      </c>
      <c r="E59" s="2">
        <v>1.2703188122400266</v>
      </c>
      <c r="F59" s="2">
        <v>1.1788466258195665</v>
      </c>
      <c r="G59" s="2">
        <v>1.2369593370313143</v>
      </c>
      <c r="H59" s="2">
        <v>1.0937659741181429</v>
      </c>
      <c r="I59" s="2">
        <v>1.1574186927785508</v>
      </c>
      <c r="J59" s="2">
        <v>1.041237853050347</v>
      </c>
      <c r="K59" s="2">
        <v>1.1703760720741394</v>
      </c>
      <c r="L59" s="2">
        <v>0.95421506084366292</v>
      </c>
      <c r="M59" s="2">
        <v>0.94157227117045328</v>
      </c>
      <c r="N59" s="2">
        <v>1.0280680180928798</v>
      </c>
      <c r="O59" s="2">
        <v>1.0687222014468971</v>
      </c>
      <c r="P59" s="2">
        <v>1.111333751777319</v>
      </c>
      <c r="Q59" s="2">
        <v>1.0056785036803879</v>
      </c>
      <c r="R59" s="2">
        <v>1.0887174791606913</v>
      </c>
      <c r="S59" s="2">
        <v>1.0746117834950697</v>
      </c>
      <c r="T59" s="2">
        <v>1.1080504120883161</v>
      </c>
      <c r="U59" s="2">
        <v>1.0909981359867214</v>
      </c>
      <c r="V59" s="2">
        <v>1.1164748351348841</v>
      </c>
      <c r="W59" s="2">
        <v>1.2110681060679969</v>
      </c>
      <c r="X59" s="2">
        <v>1.5153530535245139</v>
      </c>
      <c r="Y59" s="2">
        <v>1.7019324616303984</v>
      </c>
      <c r="Z59" s="2">
        <v>1.9138623840818079</v>
      </c>
      <c r="AA59" s="2">
        <v>1.9044675179438235</v>
      </c>
      <c r="AB59" s="2">
        <v>1.5887895556045344</v>
      </c>
      <c r="AC59" s="2">
        <v>1.2688058848169863</v>
      </c>
      <c r="AD59" s="2">
        <v>1.1809857461534106</v>
      </c>
      <c r="AE59" s="2">
        <v>1.4690548381784541</v>
      </c>
      <c r="AF59" s="2">
        <v>1.3002799616345988</v>
      </c>
      <c r="AG59" s="2">
        <v>1.2287807212202568</v>
      </c>
      <c r="AH59" s="2">
        <v>1.4446127828798707</v>
      </c>
      <c r="AI59" s="2">
        <v>1.8794466349127716</v>
      </c>
      <c r="AJ59" s="2">
        <v>1.7082695577532208</v>
      </c>
      <c r="AK59" s="2">
        <v>1.722685864447159</v>
      </c>
      <c r="AL59" s="2">
        <v>2.2312148467576924</v>
      </c>
      <c r="AM59" s="2">
        <v>2.5700726754337313</v>
      </c>
      <c r="AN59" s="2">
        <v>2.3823627545333013</v>
      </c>
      <c r="AO59" s="2">
        <v>1.7703180950674675</v>
      </c>
      <c r="AP59" s="2">
        <v>1.9587761991477635</v>
      </c>
      <c r="AQ59" s="2">
        <v>1.560096163740841</v>
      </c>
      <c r="AR59" s="2">
        <v>1.6934814126422049</v>
      </c>
      <c r="AS59" s="2">
        <v>1.5953235552044047</v>
      </c>
      <c r="AT59" s="2">
        <v>1.7428160232283554</v>
      </c>
      <c r="AU59" s="2">
        <v>1.6881056558835057</v>
      </c>
      <c r="AV59" s="2">
        <v>1.5836551023188412</v>
      </c>
      <c r="AW59" s="2">
        <v>1.8021314604381007</v>
      </c>
      <c r="AX59" s="2">
        <v>1.7901773979963649</v>
      </c>
      <c r="AY59" s="2">
        <v>2.1482865669731082</v>
      </c>
      <c r="AZ59" s="2">
        <v>2.2655561288308621</v>
      </c>
      <c r="BA59" s="2">
        <v>2.0579481593232543</v>
      </c>
      <c r="BB59" s="2">
        <v>1.9027790872445862</v>
      </c>
      <c r="BC59" s="2">
        <v>1.8326833375186689</v>
      </c>
      <c r="BD59" s="2">
        <v>2.1758369601292307</v>
      </c>
      <c r="BE59" s="2">
        <v>2.1305399015076638</v>
      </c>
      <c r="BF59" s="2">
        <v>1.9889062525329486</v>
      </c>
      <c r="BG59" s="2">
        <v>2.3324418492306949</v>
      </c>
      <c r="BH59" s="2">
        <v>2.4020076257269753</v>
      </c>
      <c r="BI59" s="2">
        <v>1.8923331592605144</v>
      </c>
      <c r="BJ59" s="2">
        <v>1.6895705537684478</v>
      </c>
      <c r="BK59" s="2">
        <v>1.9476578105252782</v>
      </c>
      <c r="BL59" s="2">
        <v>2.1048288075627224</v>
      </c>
      <c r="BM59" s="2">
        <v>2.1385657423724682</v>
      </c>
      <c r="BN59" s="2">
        <v>2.1151274422889728</v>
      </c>
      <c r="BO59" s="2">
        <v>2.2664326903766892</v>
      </c>
      <c r="BP59" s="2">
        <v>2.4550350614401757</v>
      </c>
      <c r="BQ59" s="2">
        <v>2.1037208812058608</v>
      </c>
      <c r="BR59" s="2">
        <v>2.1671419348424283</v>
      </c>
      <c r="BS59" s="2">
        <v>3.04310270780958</v>
      </c>
      <c r="BT59" s="2">
        <v>2.2864960333854616</v>
      </c>
      <c r="BU59" s="2">
        <v>2.2214627722256126</v>
      </c>
      <c r="BV59" s="2">
        <v>2.2505047339921376</v>
      </c>
      <c r="BW59" s="2">
        <v>2.1211923735867733</v>
      </c>
      <c r="BX59" s="2">
        <v>1.9494008379576737</v>
      </c>
      <c r="BY59" s="2">
        <v>1.7452026896739974</v>
      </c>
      <c r="BZ59" s="2">
        <v>1.8202079845498269</v>
      </c>
      <c r="CA59" s="2">
        <v>1.9176789078949263</v>
      </c>
    </row>
    <row r="60" spans="1:79" x14ac:dyDescent="0.2">
      <c r="A60" s="3" t="s">
        <v>105</v>
      </c>
      <c r="B60" s="3">
        <v>9.7179407091543657E-2</v>
      </c>
      <c r="C60" s="3">
        <v>9.3317656888077999E-2</v>
      </c>
      <c r="D60" s="3">
        <v>9.0491040773155618E-2</v>
      </c>
      <c r="E60" s="3">
        <v>8.6938783825249194E-2</v>
      </c>
      <c r="F60" s="3">
        <v>7.9218065014677902E-2</v>
      </c>
      <c r="G60" s="3">
        <v>8.8279093690276048E-2</v>
      </c>
      <c r="H60" s="3">
        <v>8.1517796914695656E-2</v>
      </c>
      <c r="I60" s="3">
        <v>6.537040146791849E-2</v>
      </c>
      <c r="J60" s="3">
        <v>6.2019115089158951E-2</v>
      </c>
      <c r="K60" s="3">
        <v>6.9605027218950372E-2</v>
      </c>
      <c r="L60" s="3">
        <v>6.3016118868854443E-2</v>
      </c>
      <c r="M60" s="3">
        <v>5.7012620951550755E-2</v>
      </c>
      <c r="N60" s="3">
        <v>6.724198479523108E-2</v>
      </c>
      <c r="O60" s="3">
        <v>0.10192978607757984</v>
      </c>
      <c r="P60" s="3">
        <v>0.10258159814886152</v>
      </c>
      <c r="Q60" s="3">
        <v>9.4949431738904355E-2</v>
      </c>
      <c r="R60" s="3">
        <v>8.7595203393863924E-2</v>
      </c>
      <c r="S60" s="3">
        <v>7.5398738672728158E-2</v>
      </c>
      <c r="T60" s="3">
        <v>7.5268196998762915E-2</v>
      </c>
      <c r="U60" s="3">
        <v>6.7862476285701259E-2</v>
      </c>
      <c r="V60" s="3">
        <v>7.20449073462026E-2</v>
      </c>
      <c r="W60" s="3">
        <v>7.3917708594883849E-2</v>
      </c>
      <c r="X60" s="3">
        <v>7.6822778259198574E-2</v>
      </c>
      <c r="Y60" s="3">
        <v>7.0230027548812246E-2</v>
      </c>
      <c r="Z60" s="3">
        <v>6.9790069117908499E-2</v>
      </c>
      <c r="AA60" s="3">
        <v>7.1905928813781148E-2</v>
      </c>
      <c r="AB60" s="3">
        <v>6.3691905123296796E-2</v>
      </c>
      <c r="AC60" s="3">
        <v>4.2968350858806043E-2</v>
      </c>
      <c r="AD60" s="3">
        <v>3.5226212898360525E-2</v>
      </c>
      <c r="AE60" s="3">
        <v>6.0215770769574704E-2</v>
      </c>
      <c r="AF60" s="3">
        <v>5.6547242372936318E-2</v>
      </c>
      <c r="AG60" s="3">
        <v>4.8517090058152433E-2</v>
      </c>
      <c r="AH60" s="3">
        <v>5.5909279575222237E-2</v>
      </c>
      <c r="AI60" s="3">
        <v>6.773098760780609E-2</v>
      </c>
      <c r="AJ60" s="3">
        <v>6.2853413090479954E-2</v>
      </c>
      <c r="AK60" s="3">
        <v>4.9393855078691366E-2</v>
      </c>
      <c r="AL60" s="3">
        <v>6.0204804866501246E-2</v>
      </c>
      <c r="AM60" s="3">
        <v>7.1864007722449205E-2</v>
      </c>
      <c r="AN60" s="3">
        <v>7.5409611964085146E-2</v>
      </c>
      <c r="AO60" s="3">
        <v>6.0601003212545204E-2</v>
      </c>
      <c r="AP60" s="3">
        <v>5.0611604763974152E-2</v>
      </c>
      <c r="AQ60" s="3">
        <v>5.7884259037860479E-2</v>
      </c>
      <c r="AR60" s="3">
        <v>6.544908475058793E-2</v>
      </c>
      <c r="AS60" s="3">
        <v>7.4459942649179475E-2</v>
      </c>
      <c r="AT60" s="3">
        <v>7.0285507786702964E-2</v>
      </c>
      <c r="AU60" s="3">
        <v>6.8862088749781725E-2</v>
      </c>
      <c r="AV60" s="3">
        <v>7.9809379106549408E-2</v>
      </c>
      <c r="AW60" s="3">
        <v>6.8087615453446632E-2</v>
      </c>
      <c r="AX60" s="3">
        <v>5.3317217957132651E-2</v>
      </c>
      <c r="AY60" s="3">
        <v>4.8739265257877862E-2</v>
      </c>
      <c r="AZ60" s="3">
        <v>6.4626731533091175E-2</v>
      </c>
      <c r="BA60" s="3">
        <v>6.9455568507564278E-2</v>
      </c>
      <c r="BB60" s="3">
        <v>5.1658087397106471E-2</v>
      </c>
      <c r="BC60" s="3">
        <v>5.8461713933077385E-2</v>
      </c>
      <c r="BD60" s="3">
        <v>7.3204553331559757E-2</v>
      </c>
      <c r="BE60" s="3">
        <v>6.6686300687644418E-2</v>
      </c>
      <c r="BF60" s="3">
        <v>5.0673318026400606E-2</v>
      </c>
      <c r="BG60" s="3">
        <v>5.0540264267263317E-2</v>
      </c>
      <c r="BH60" s="3">
        <v>5.0773625601913258E-2</v>
      </c>
      <c r="BI60" s="3">
        <v>6.3747432458587022E-2</v>
      </c>
      <c r="BJ60" s="3">
        <v>5.9699411172489045E-2</v>
      </c>
      <c r="BK60" s="3">
        <v>7.0923629209281483E-2</v>
      </c>
      <c r="BL60" s="3">
        <v>8.7488274887395828E-2</v>
      </c>
      <c r="BM60" s="3">
        <v>8.1760082738891918E-2</v>
      </c>
      <c r="BN60" s="3">
        <v>6.3739278563472265E-2</v>
      </c>
      <c r="BO60" s="3">
        <v>6.5980921975257872E-2</v>
      </c>
      <c r="BP60" s="3">
        <v>6.6000771966622282E-2</v>
      </c>
      <c r="BQ60" s="3">
        <v>5.6349003252943439E-2</v>
      </c>
      <c r="BR60" s="3">
        <v>3.2372168877189637E-3</v>
      </c>
      <c r="BS60" s="3">
        <v>2.717919733967061E-2</v>
      </c>
      <c r="BT60" s="3">
        <v>6.6165594348775336E-2</v>
      </c>
      <c r="BU60" s="3">
        <v>6.4909483018042571E-2</v>
      </c>
      <c r="BV60" s="3">
        <v>5.5290406220387445E-2</v>
      </c>
      <c r="BW60" s="3">
        <v>7.2647997606197598E-2</v>
      </c>
      <c r="BX60" s="3">
        <v>6.0084718095174766E-2</v>
      </c>
      <c r="BY60" s="3">
        <v>5.4119052754728642E-2</v>
      </c>
      <c r="BZ60" s="3">
        <v>3.5866299465453146E-2</v>
      </c>
      <c r="CA60" s="3">
        <v>6.2487530513091076E-2</v>
      </c>
    </row>
    <row r="61" spans="1:79" x14ac:dyDescent="0.2">
      <c r="A61" s="2" t="s">
        <v>104</v>
      </c>
      <c r="B61" s="2">
        <v>13.526751838403515</v>
      </c>
      <c r="C61" s="2">
        <v>16.533974457742946</v>
      </c>
      <c r="D61" s="2">
        <v>11.083662736958154</v>
      </c>
      <c r="E61" s="2">
        <v>12.818678969493618</v>
      </c>
      <c r="F61" s="2">
        <v>12.848623753600958</v>
      </c>
      <c r="G61" s="2">
        <v>14.07519693354341</v>
      </c>
      <c r="H61" s="2">
        <v>8.0191187863867093</v>
      </c>
      <c r="I61" s="2">
        <v>8.0486546218811466</v>
      </c>
      <c r="J61" s="2">
        <v>7.0713380254531435</v>
      </c>
      <c r="K61" s="2">
        <v>6.5617589894767754</v>
      </c>
      <c r="L61" s="2">
        <v>8.7857127623391751</v>
      </c>
      <c r="M61" s="2">
        <v>9.7373473867445846</v>
      </c>
      <c r="N61" s="2">
        <v>11.678196201887239</v>
      </c>
      <c r="O61" s="2">
        <v>13.048230051293919</v>
      </c>
      <c r="P61" s="2">
        <v>10.321875130283694</v>
      </c>
      <c r="Q61" s="2">
        <v>8.5211675208520443</v>
      </c>
      <c r="R61" s="2">
        <v>10.131887372327837</v>
      </c>
      <c r="S61" s="2">
        <v>9.2139756345963448</v>
      </c>
      <c r="T61" s="2">
        <v>7.3347875734948733</v>
      </c>
      <c r="U61" s="2">
        <v>6.5758379167601859</v>
      </c>
      <c r="V61" s="2">
        <v>9.633851065815465</v>
      </c>
      <c r="W61" s="2">
        <v>3.5482916177857788</v>
      </c>
      <c r="X61" s="2">
        <v>3.9228214164235156</v>
      </c>
      <c r="Y61" s="2">
        <v>5.1807952679443954</v>
      </c>
      <c r="Z61" s="2">
        <v>7.4586531319633576</v>
      </c>
      <c r="AA61" s="2">
        <v>6.8127475571125453</v>
      </c>
      <c r="AB61" s="2">
        <v>3.7839013543187567</v>
      </c>
      <c r="AC61" s="2">
        <v>4.5095298641979022</v>
      </c>
      <c r="AD61" s="2">
        <v>3.0097184846500515</v>
      </c>
      <c r="AE61" s="2">
        <v>4.4004368620899497</v>
      </c>
      <c r="AF61" s="2">
        <v>2.7573058705657227</v>
      </c>
      <c r="AG61" s="2">
        <v>2.3466604808722433</v>
      </c>
      <c r="AH61" s="2">
        <v>2.7793550653711976</v>
      </c>
      <c r="AI61" s="2">
        <v>2.4219887637589577</v>
      </c>
      <c r="AJ61" s="2">
        <v>2.4458039180297395</v>
      </c>
      <c r="AK61" s="2">
        <v>4.0971846536764982</v>
      </c>
      <c r="AL61" s="2">
        <v>3.9884965434366948</v>
      </c>
      <c r="AM61" s="2">
        <v>4.3885371907392026</v>
      </c>
      <c r="AN61" s="2">
        <v>4.0485807381149064</v>
      </c>
      <c r="AO61" s="2">
        <v>2.898952811335584</v>
      </c>
      <c r="AP61" s="2">
        <v>1.5096222269014183</v>
      </c>
      <c r="AQ61" s="2">
        <v>3.3223581693934214</v>
      </c>
      <c r="AR61" s="2">
        <v>2.7524222938499165</v>
      </c>
      <c r="AS61" s="2">
        <v>2.0922348018491825</v>
      </c>
      <c r="AT61" s="2">
        <v>1.929310943986873</v>
      </c>
      <c r="AU61" s="2">
        <v>2.0831601917218912</v>
      </c>
      <c r="AV61" s="2">
        <v>1.8876824451032854</v>
      </c>
      <c r="AW61" s="2">
        <v>2.8289959924915911</v>
      </c>
      <c r="AX61" s="2">
        <v>4.4770022563285492</v>
      </c>
      <c r="AY61" s="2">
        <v>2.8807059294602007</v>
      </c>
      <c r="AZ61" s="2">
        <v>2.1350008689339788</v>
      </c>
      <c r="BA61" s="2">
        <v>3.0440055091928708</v>
      </c>
      <c r="BB61" s="2">
        <v>3.1385728638130082</v>
      </c>
      <c r="BC61" s="2">
        <v>2.3054789772090341</v>
      </c>
      <c r="BD61" s="2">
        <v>3.0335660206980868</v>
      </c>
      <c r="BE61" s="2">
        <v>2.3097458043479762</v>
      </c>
      <c r="BF61" s="2">
        <v>1.8896046346184372</v>
      </c>
      <c r="BG61" s="2">
        <v>1.1487737567353058</v>
      </c>
      <c r="BH61" s="2">
        <v>1.4682883775742726</v>
      </c>
      <c r="BI61" s="2">
        <v>2.4964902373843598</v>
      </c>
      <c r="BJ61" s="2">
        <v>3.1360299154392863</v>
      </c>
      <c r="BK61" s="2">
        <v>1.7183881119460065</v>
      </c>
      <c r="BL61" s="2">
        <v>1.6508100853018717</v>
      </c>
      <c r="BM61" s="2">
        <v>2.0661449237576028</v>
      </c>
      <c r="BN61" s="2">
        <v>1.7958529100257437</v>
      </c>
      <c r="BO61" s="2">
        <v>1.6511455409679461</v>
      </c>
      <c r="BP61" s="2">
        <v>1.2343927959883738</v>
      </c>
      <c r="BQ61" s="2">
        <v>0.29482720532398138</v>
      </c>
      <c r="BR61" s="2">
        <v>0.21810193484712484</v>
      </c>
      <c r="BS61" s="2">
        <v>0.44581421693817286</v>
      </c>
      <c r="BT61" s="2">
        <v>0.45152555662025212</v>
      </c>
      <c r="BU61" s="2">
        <v>0.77708896034496522</v>
      </c>
      <c r="BV61" s="2">
        <v>0.60598721749832707</v>
      </c>
      <c r="BW61" s="2">
        <v>0.77281605402721354</v>
      </c>
      <c r="BX61" s="2">
        <v>0.90202944390127593</v>
      </c>
      <c r="BY61" s="2">
        <v>0.95055936211968584</v>
      </c>
      <c r="BZ61" s="2">
        <v>0.53810777363384865</v>
      </c>
      <c r="CA61" s="2">
        <v>0.71335409382865556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CCDF-F0B1-6841-B586-898805BE79BA}">
  <dimension ref="A1:CA40"/>
  <sheetViews>
    <sheetView workbookViewId="0"/>
  </sheetViews>
  <sheetFormatPr baseColWidth="10" defaultRowHeight="16" x14ac:dyDescent="0.2"/>
  <cols>
    <col min="1" max="1" width="38.1640625" bestFit="1" customWidth="1"/>
    <col min="2" max="2" width="10.5" bestFit="1" customWidth="1"/>
    <col min="3" max="3" width="14.1640625" bestFit="1" customWidth="1"/>
    <col min="4" max="6" width="8.1640625" bestFit="1" customWidth="1"/>
    <col min="7" max="7" width="14.1640625" bestFit="1" customWidth="1"/>
    <col min="8" max="10" width="8.1640625" bestFit="1" customWidth="1"/>
    <col min="11" max="11" width="15.1640625" bestFit="1" customWidth="1"/>
    <col min="12" max="12" width="8.1640625" bestFit="1" customWidth="1"/>
    <col min="13" max="13" width="8.83203125" bestFit="1" customWidth="1"/>
    <col min="14" max="14" width="8.1640625" bestFit="1" customWidth="1"/>
    <col min="15" max="15" width="14.1640625" bestFit="1" customWidth="1"/>
    <col min="16" max="18" width="8.1640625" bestFit="1" customWidth="1"/>
    <col min="19" max="19" width="14.1640625" bestFit="1" customWidth="1"/>
    <col min="20" max="21" width="8.1640625" bestFit="1" customWidth="1"/>
    <col min="22" max="22" width="8.83203125" bestFit="1" customWidth="1"/>
    <col min="23" max="23" width="14.1640625" bestFit="1" customWidth="1"/>
    <col min="24" max="26" width="8.1640625" bestFit="1" customWidth="1"/>
    <col min="27" max="27" width="14.1640625" bestFit="1" customWidth="1"/>
    <col min="28" max="28" width="9.1640625" bestFit="1" customWidth="1"/>
    <col min="29" max="29" width="8.1640625" bestFit="1" customWidth="1"/>
    <col min="30" max="30" width="9.1640625" bestFit="1" customWidth="1"/>
    <col min="31" max="31" width="8.83203125" bestFit="1" customWidth="1"/>
    <col min="32" max="33" width="8.1640625" bestFit="1" customWidth="1"/>
    <col min="34" max="35" width="8.83203125" bestFit="1" customWidth="1"/>
    <col min="36" max="36" width="9.1640625" bestFit="1" customWidth="1"/>
    <col min="37" max="38" width="8.83203125" bestFit="1" customWidth="1"/>
    <col min="39" max="39" width="9.1640625" bestFit="1" customWidth="1"/>
    <col min="40" max="41" width="8.1640625" bestFit="1" customWidth="1"/>
    <col min="42" max="43" width="8.83203125" bestFit="1" customWidth="1"/>
    <col min="44" max="45" width="8.1640625" bestFit="1" customWidth="1"/>
    <col min="46" max="47" width="8.83203125" bestFit="1" customWidth="1"/>
    <col min="48" max="48" width="8.1640625" bestFit="1" customWidth="1"/>
    <col min="49" max="49" width="8.83203125" bestFit="1" customWidth="1"/>
    <col min="50" max="50" width="9.1640625" bestFit="1" customWidth="1"/>
    <col min="51" max="51" width="8.83203125" bestFit="1" customWidth="1"/>
    <col min="52" max="52" width="11.1640625" bestFit="1" customWidth="1"/>
    <col min="53" max="53" width="8.1640625" bestFit="1" customWidth="1"/>
    <col min="54" max="54" width="8.83203125" bestFit="1" customWidth="1"/>
    <col min="55" max="55" width="9.1640625" bestFit="1" customWidth="1"/>
    <col min="56" max="57" width="8.83203125" bestFit="1" customWidth="1"/>
    <col min="58" max="58" width="9.1640625" bestFit="1" customWidth="1"/>
    <col min="59" max="59" width="8.5" bestFit="1" customWidth="1"/>
    <col min="60" max="60" width="9.1640625" bestFit="1" customWidth="1"/>
    <col min="61" max="61" width="8.1640625" bestFit="1" customWidth="1"/>
    <col min="62" max="63" width="8.83203125" bestFit="1" customWidth="1"/>
    <col min="64" max="64" width="8.1640625" bestFit="1" customWidth="1"/>
    <col min="65" max="65" width="9.83203125" bestFit="1" customWidth="1"/>
    <col min="66" max="67" width="8.83203125" bestFit="1" customWidth="1"/>
    <col min="68" max="68" width="8.1640625" bestFit="1" customWidth="1"/>
    <col min="69" max="69" width="9.1640625" bestFit="1" customWidth="1"/>
    <col min="70" max="70" width="8.83203125" bestFit="1" customWidth="1"/>
    <col min="71" max="71" width="10.1640625" bestFit="1" customWidth="1"/>
    <col min="72" max="72" width="11.1640625" bestFit="1" customWidth="1"/>
    <col min="73" max="74" width="8.83203125" bestFit="1" customWidth="1"/>
    <col min="75" max="75" width="8.5" bestFit="1" customWidth="1"/>
    <col min="76" max="76" width="8.83203125" bestFit="1" customWidth="1"/>
    <col min="77" max="77" width="8.1640625" bestFit="1" customWidth="1"/>
    <col min="78" max="78" width="8.83203125" bestFit="1" customWidth="1"/>
    <col min="79" max="79" width="9.1640625" bestFit="1" customWidth="1"/>
  </cols>
  <sheetData>
    <row r="1" spans="1:79" x14ac:dyDescent="0.2">
      <c r="A1" s="10" t="s">
        <v>160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</row>
    <row r="2" spans="1:79" x14ac:dyDescent="0.2">
      <c r="A2" t="s">
        <v>1</v>
      </c>
      <c r="B2" t="s">
        <v>2</v>
      </c>
    </row>
    <row r="3" spans="1:79" x14ac:dyDescent="0.2">
      <c r="A3" t="s">
        <v>3</v>
      </c>
      <c r="B3" t="str">
        <f>'TSM - Income Statement Q'!B3</f>
        <v>TWD</v>
      </c>
    </row>
    <row r="4" spans="1:79" x14ac:dyDescent="0.2">
      <c r="A4" t="s">
        <v>32</v>
      </c>
      <c r="B4" t="s">
        <v>195</v>
      </c>
      <c r="C4" t="s">
        <v>196</v>
      </c>
      <c r="D4" t="s">
        <v>197</v>
      </c>
      <c r="E4" t="s">
        <v>198</v>
      </c>
      <c r="F4" t="s">
        <v>195</v>
      </c>
      <c r="G4" t="s">
        <v>196</v>
      </c>
      <c r="H4" t="s">
        <v>197</v>
      </c>
      <c r="I4" t="s">
        <v>198</v>
      </c>
      <c r="J4" t="s">
        <v>195</v>
      </c>
      <c r="K4" t="s">
        <v>196</v>
      </c>
      <c r="L4" t="s">
        <v>197</v>
      </c>
      <c r="M4" t="s">
        <v>198</v>
      </c>
      <c r="N4" t="s">
        <v>195</v>
      </c>
      <c r="O4" t="s">
        <v>196</v>
      </c>
      <c r="P4" t="s">
        <v>197</v>
      </c>
      <c r="Q4" t="s">
        <v>198</v>
      </c>
      <c r="R4" t="s">
        <v>195</v>
      </c>
      <c r="S4" t="s">
        <v>196</v>
      </c>
      <c r="T4" t="s">
        <v>197</v>
      </c>
      <c r="U4" t="s">
        <v>198</v>
      </c>
      <c r="V4" t="s">
        <v>195</v>
      </c>
      <c r="W4" t="s">
        <v>196</v>
      </c>
      <c r="X4" t="s">
        <v>197</v>
      </c>
      <c r="Y4" t="s">
        <v>198</v>
      </c>
      <c r="Z4" t="s">
        <v>195</v>
      </c>
      <c r="AA4" t="s">
        <v>196</v>
      </c>
      <c r="AB4" t="s">
        <v>197</v>
      </c>
      <c r="AC4" t="s">
        <v>198</v>
      </c>
      <c r="AD4" t="s">
        <v>195</v>
      </c>
      <c r="AE4" t="s">
        <v>196</v>
      </c>
      <c r="AF4" t="s">
        <v>197</v>
      </c>
      <c r="AG4" t="s">
        <v>198</v>
      </c>
      <c r="AH4" t="s">
        <v>195</v>
      </c>
      <c r="AI4" t="s">
        <v>196</v>
      </c>
      <c r="AJ4" t="s">
        <v>197</v>
      </c>
      <c r="AK4" t="s">
        <v>198</v>
      </c>
      <c r="AL4" t="s">
        <v>195</v>
      </c>
      <c r="AM4" t="s">
        <v>196</v>
      </c>
      <c r="AN4" t="s">
        <v>197</v>
      </c>
      <c r="AO4" t="s">
        <v>198</v>
      </c>
      <c r="AP4" t="s">
        <v>195</v>
      </c>
      <c r="AQ4" t="s">
        <v>196</v>
      </c>
      <c r="AR4" t="s">
        <v>197</v>
      </c>
      <c r="AS4" t="s">
        <v>198</v>
      </c>
      <c r="AT4" t="s">
        <v>195</v>
      </c>
      <c r="AU4" t="s">
        <v>196</v>
      </c>
      <c r="AV4" t="s">
        <v>197</v>
      </c>
      <c r="AW4" t="s">
        <v>198</v>
      </c>
      <c r="AX4" t="s">
        <v>195</v>
      </c>
      <c r="AY4" t="s">
        <v>196</v>
      </c>
      <c r="AZ4" t="s">
        <v>197</v>
      </c>
      <c r="BA4" t="s">
        <v>198</v>
      </c>
      <c r="BB4" t="s">
        <v>195</v>
      </c>
      <c r="BC4" t="s">
        <v>196</v>
      </c>
      <c r="BD4" t="s">
        <v>197</v>
      </c>
      <c r="BE4" t="s">
        <v>198</v>
      </c>
      <c r="BF4" t="s">
        <v>195</v>
      </c>
      <c r="BG4" t="s">
        <v>196</v>
      </c>
      <c r="BH4" t="s">
        <v>197</v>
      </c>
      <c r="BI4" t="s">
        <v>198</v>
      </c>
      <c r="BJ4" t="s">
        <v>195</v>
      </c>
      <c r="BK4" t="s">
        <v>196</v>
      </c>
      <c r="BL4" t="s">
        <v>197</v>
      </c>
      <c r="BM4" t="s">
        <v>198</v>
      </c>
      <c r="BN4" t="s">
        <v>195</v>
      </c>
      <c r="BO4" t="s">
        <v>196</v>
      </c>
      <c r="BP4" t="s">
        <v>197</v>
      </c>
      <c r="BQ4" t="s">
        <v>198</v>
      </c>
      <c r="BR4" t="s">
        <v>195</v>
      </c>
      <c r="BS4" t="s">
        <v>196</v>
      </c>
      <c r="BT4" t="s">
        <v>197</v>
      </c>
      <c r="BU4" t="s">
        <v>198</v>
      </c>
      <c r="BV4" t="s">
        <v>195</v>
      </c>
      <c r="BW4" t="s">
        <v>196</v>
      </c>
      <c r="BX4" t="s">
        <v>197</v>
      </c>
      <c r="BY4" t="s">
        <v>198</v>
      </c>
      <c r="BZ4" t="s">
        <v>195</v>
      </c>
      <c r="CA4" t="s">
        <v>196</v>
      </c>
    </row>
    <row r="5" spans="1:79" x14ac:dyDescent="0.2">
      <c r="A5" t="s">
        <v>34</v>
      </c>
      <c r="B5" s="9">
        <v>46112</v>
      </c>
      <c r="C5" s="9">
        <v>46022</v>
      </c>
      <c r="D5" s="9">
        <v>45930</v>
      </c>
      <c r="E5" s="9">
        <v>45838</v>
      </c>
      <c r="F5" s="9">
        <v>45747</v>
      </c>
      <c r="G5" s="9">
        <v>45657</v>
      </c>
      <c r="H5" s="9">
        <v>45565</v>
      </c>
      <c r="I5" s="9">
        <v>45473</v>
      </c>
      <c r="J5" s="9">
        <v>45382</v>
      </c>
      <c r="K5" s="9">
        <v>45291</v>
      </c>
      <c r="L5" s="9">
        <v>45199</v>
      </c>
      <c r="M5" s="9">
        <v>45107</v>
      </c>
      <c r="N5" s="9">
        <v>45016</v>
      </c>
      <c r="O5" s="9">
        <v>44926</v>
      </c>
      <c r="P5" s="9">
        <v>44834</v>
      </c>
      <c r="Q5" s="9">
        <v>44742</v>
      </c>
      <c r="R5" s="9">
        <v>44651</v>
      </c>
      <c r="S5" s="9">
        <v>44561</v>
      </c>
      <c r="T5" s="9">
        <v>44469</v>
      </c>
      <c r="U5" s="9">
        <v>44377</v>
      </c>
      <c r="V5" s="9">
        <v>44286</v>
      </c>
      <c r="W5" s="9">
        <v>44196</v>
      </c>
      <c r="X5" s="9">
        <v>44104</v>
      </c>
      <c r="Y5" s="9">
        <v>44012</v>
      </c>
      <c r="Z5" s="9">
        <v>43921</v>
      </c>
      <c r="AA5" s="9">
        <v>43830</v>
      </c>
      <c r="AB5" s="9">
        <v>43738</v>
      </c>
      <c r="AC5" s="9">
        <v>43646</v>
      </c>
      <c r="AD5" s="9">
        <v>43555</v>
      </c>
      <c r="AE5" s="9">
        <v>43465</v>
      </c>
      <c r="AF5" s="9">
        <v>43373</v>
      </c>
      <c r="AG5" s="9">
        <v>43281</v>
      </c>
      <c r="AH5" s="9">
        <v>43190</v>
      </c>
      <c r="AI5" s="9">
        <v>43100</v>
      </c>
      <c r="AJ5" s="9">
        <v>43008</v>
      </c>
      <c r="AK5" s="9">
        <v>42916</v>
      </c>
      <c r="AL5" s="9">
        <v>42825</v>
      </c>
      <c r="AM5" s="9">
        <v>42735</v>
      </c>
      <c r="AN5" s="9">
        <v>42643</v>
      </c>
      <c r="AO5" s="9">
        <v>42551</v>
      </c>
      <c r="AP5" s="9">
        <v>42460</v>
      </c>
      <c r="AQ5" s="9">
        <v>42369</v>
      </c>
      <c r="AR5" s="9">
        <v>42277</v>
      </c>
      <c r="AS5" s="9">
        <v>42185</v>
      </c>
      <c r="AT5" s="9">
        <v>42094</v>
      </c>
      <c r="AU5" s="9">
        <v>42004</v>
      </c>
      <c r="AV5" s="9">
        <v>41912</v>
      </c>
      <c r="AW5" s="9">
        <v>41820</v>
      </c>
      <c r="AX5" s="9">
        <v>41729</v>
      </c>
      <c r="AY5" s="9">
        <v>41639</v>
      </c>
      <c r="AZ5" s="9">
        <v>41547</v>
      </c>
      <c r="BA5" s="9">
        <v>41455</v>
      </c>
      <c r="BB5" s="9">
        <v>41364</v>
      </c>
      <c r="BC5" s="9">
        <v>41274</v>
      </c>
      <c r="BD5" s="9">
        <v>41182</v>
      </c>
      <c r="BE5" s="9">
        <v>41090</v>
      </c>
      <c r="BF5" s="9">
        <v>40999</v>
      </c>
      <c r="BG5" s="9">
        <v>40908</v>
      </c>
      <c r="BH5" s="9">
        <v>40816</v>
      </c>
      <c r="BI5" s="9">
        <v>40724</v>
      </c>
      <c r="BJ5" s="9">
        <v>40633</v>
      </c>
      <c r="BK5" s="9">
        <v>40543</v>
      </c>
      <c r="BL5" s="9">
        <v>40451</v>
      </c>
      <c r="BM5" s="9">
        <v>40359</v>
      </c>
      <c r="BN5" s="9">
        <v>40268</v>
      </c>
      <c r="BO5" s="9">
        <v>40178</v>
      </c>
      <c r="BP5" s="9">
        <v>40086</v>
      </c>
      <c r="BQ5" s="9">
        <v>39994</v>
      </c>
      <c r="BR5" s="9">
        <v>39903</v>
      </c>
      <c r="BS5" s="9">
        <v>39813</v>
      </c>
      <c r="BT5" s="9">
        <v>39721</v>
      </c>
      <c r="BU5" s="9">
        <v>39629</v>
      </c>
      <c r="BV5" s="9">
        <v>39538</v>
      </c>
      <c r="BW5" s="9">
        <v>39447</v>
      </c>
      <c r="BX5" s="9">
        <v>39355</v>
      </c>
      <c r="BY5" s="9">
        <v>39263</v>
      </c>
      <c r="BZ5" s="9">
        <v>39172</v>
      </c>
      <c r="CA5" s="9">
        <v>39082</v>
      </c>
    </row>
    <row r="7" spans="1:79" x14ac:dyDescent="0.2">
      <c r="A7" s="3" t="s">
        <v>194</v>
      </c>
      <c r="B7" s="3">
        <v>7.3984981926554852E-2</v>
      </c>
      <c r="C7" s="3">
        <v>6.6731376740295667E-2</v>
      </c>
      <c r="D7" s="3">
        <v>6.0105462458448992E-2</v>
      </c>
      <c r="E7" s="3">
        <v>0.1126452778300729</v>
      </c>
      <c r="F7" s="3">
        <v>-3.3630756015526314E-2</v>
      </c>
      <c r="G7" s="3">
        <v>0.14317491368342347</v>
      </c>
      <c r="H7" s="3">
        <v>0.12795941166602445</v>
      </c>
      <c r="I7" s="3">
        <v>0.13644945122815771</v>
      </c>
      <c r="J7" s="3">
        <v>-5.2571182151427032E-2</v>
      </c>
      <c r="K7" s="3">
        <v>0.1441215364720988</v>
      </c>
      <c r="L7" s="3">
        <v>0.13703430280131496</v>
      </c>
      <c r="M7" s="3">
        <v>-5.4640026257204523E-2</v>
      </c>
      <c r="N7" s="3">
        <v>-0.18687921029303389</v>
      </c>
      <c r="O7" s="3">
        <v>2.0205952270399782E-2</v>
      </c>
      <c r="P7" s="3">
        <v>0.14790469819336477</v>
      </c>
      <c r="Q7" s="3">
        <v>8.7695073954488501E-2</v>
      </c>
      <c r="R7" s="3">
        <v>0.12050021194489367</v>
      </c>
      <c r="S7" s="3">
        <v>5.6899374044751823E-2</v>
      </c>
      <c r="T7" s="3">
        <v>0.11427062854259312</v>
      </c>
      <c r="U7" s="3">
        <v>2.6861526508233501E-2</v>
      </c>
      <c r="V7" s="3">
        <v>2.2943790072027285E-3</v>
      </c>
      <c r="W7" s="3">
        <v>1.4424898979216725E-2</v>
      </c>
      <c r="X7" s="3">
        <v>0.14747382855823213</v>
      </c>
      <c r="Y7" s="3">
        <v>1.2821746619839157E-4</v>
      </c>
      <c r="Z7" s="3">
        <v>-2.0954333826129993E-2</v>
      </c>
      <c r="AA7" s="3">
        <v>8.2625131544770372E-2</v>
      </c>
      <c r="AB7" s="3">
        <v>0.21559536721251582</v>
      </c>
      <c r="AC7" s="3">
        <v>0.10216914688283819</v>
      </c>
      <c r="AD7" s="3">
        <v>-0.24523192106870598</v>
      </c>
      <c r="AE7" s="3">
        <v>0.11307534665923881</v>
      </c>
      <c r="AF7" s="3">
        <v>0.116259667855333</v>
      </c>
      <c r="AG7" s="3">
        <v>-5.9452270004672819E-2</v>
      </c>
      <c r="AH7" s="3">
        <v>-0.10677586657583905</v>
      </c>
      <c r="AI7" s="3">
        <v>0.10111419973531321</v>
      </c>
      <c r="AJ7" s="3">
        <v>0.17913136617164246</v>
      </c>
      <c r="AK7" s="3">
        <v>-8.5960529735223445E-2</v>
      </c>
      <c r="AL7" s="3">
        <v>-0.10795225416929879</v>
      </c>
      <c r="AM7" s="3">
        <v>6.9453331345858873E-3</v>
      </c>
      <c r="AN7" s="3">
        <v>0.17409500041696943</v>
      </c>
      <c r="AO7" s="3">
        <v>9.0141266935948761E-2</v>
      </c>
      <c r="AP7" s="3">
        <v>-3.4632228608083918E-4</v>
      </c>
      <c r="AQ7" s="3">
        <v>-4.2306809512216444E-2</v>
      </c>
      <c r="AR7" s="3">
        <v>3.4479121361129288E-2</v>
      </c>
      <c r="AS7" s="3">
        <v>-7.4652001372684518E-2</v>
      </c>
      <c r="AT7" s="3">
        <v>-2.3437583413407209E-3</v>
      </c>
      <c r="AU7" s="3">
        <v>6.4529366400192023E-2</v>
      </c>
      <c r="AV7" s="3">
        <v>0.14223016918482834</v>
      </c>
      <c r="AW7" s="3">
        <v>0.23462506851144155</v>
      </c>
      <c r="AX7" s="3">
        <v>1.6515412567164926E-2</v>
      </c>
      <c r="AY7" s="3">
        <v>-0.10274885861465406</v>
      </c>
      <c r="AZ7" s="3">
        <v>4.2578622863013164E-2</v>
      </c>
      <c r="BA7" s="3">
        <v>0.1742348981612753</v>
      </c>
      <c r="BB7" s="3">
        <v>1.1265188816855889E-2</v>
      </c>
      <c r="BC7" s="3">
        <v>-7.2291813008293127E-2</v>
      </c>
      <c r="BD7" s="3">
        <v>0.10578286472378033</v>
      </c>
      <c r="BE7" s="3">
        <v>0.21084049917843753</v>
      </c>
      <c r="BF7" s="3">
        <v>9.3374799288274274E-3</v>
      </c>
      <c r="BG7" s="3">
        <v>-1.6645696930502434E-2</v>
      </c>
      <c r="BH7" s="3">
        <v>-3.6420328245371683E-2</v>
      </c>
      <c r="BI7" s="3">
        <v>4.8690396369737203E-2</v>
      </c>
      <c r="BJ7" s="3">
        <v>-4.3259559791970013E-2</v>
      </c>
      <c r="BK7" s="3">
        <v>-1.874888988940334E-2</v>
      </c>
      <c r="BL7" s="3">
        <v>6.9399973325665054E-2</v>
      </c>
      <c r="BM7" s="3">
        <v>0.13858433960843325</v>
      </c>
      <c r="BN7" s="3">
        <v>1.0019826502171267E-3</v>
      </c>
      <c r="BO7" s="3">
        <v>2.4001768105870108E-2</v>
      </c>
      <c r="BP7" s="3">
        <v>0.21187666415135017</v>
      </c>
      <c r="BQ7" s="3">
        <v>0.87877881705997596</v>
      </c>
      <c r="BR7" s="3">
        <v>-0.40304588593307206</v>
      </c>
      <c r="BS7" s="3">
        <v>-0.28647692941980851</v>
      </c>
      <c r="BT7" s="3">
        <v>8.4857746510211537E-2</v>
      </c>
      <c r="BU7" s="3">
        <v>-2.283453105137238E-2</v>
      </c>
      <c r="BV7" s="3">
        <v>-9.4788295392879363E-2</v>
      </c>
      <c r="BW7" s="3">
        <v>9.8138587762595139E-2</v>
      </c>
      <c r="BX7" s="3">
        <v>0.20604073049770139</v>
      </c>
      <c r="BY7" s="3">
        <v>0.11743031542236315</v>
      </c>
      <c r="BZ7" s="3">
        <v>4.7744522300766317</v>
      </c>
      <c r="CA7" s="3">
        <v>-0.86284430886440233</v>
      </c>
    </row>
    <row r="8" spans="1:79" x14ac:dyDescent="0.2">
      <c r="A8" s="3" t="s">
        <v>193</v>
      </c>
      <c r="B8" s="3">
        <v>0.14152735090841734</v>
      </c>
      <c r="C8" s="3">
        <v>0.11826820810034271</v>
      </c>
      <c r="D8" s="3">
        <v>7.5221651207868917E-2</v>
      </c>
      <c r="E8" s="3">
        <v>0.10939308262142908</v>
      </c>
      <c r="F8" s="3">
        <v>-3.7050698799131108E-2</v>
      </c>
      <c r="G8" s="3">
        <v>0.16623205747066594</v>
      </c>
      <c r="H8" s="3">
        <v>0.22679596897031987</v>
      </c>
      <c r="I8" s="3">
        <v>0.13869150472006878</v>
      </c>
      <c r="J8" s="3">
        <v>-5.2032537797497044E-2</v>
      </c>
      <c r="K8" s="3">
        <v>0.11840832246167952</v>
      </c>
      <c r="L8" s="3">
        <v>0.14005831832791202</v>
      </c>
      <c r="M8" s="3">
        <v>-9.1799333384507201E-2</v>
      </c>
      <c r="N8" s="3">
        <v>-0.26384508990858313</v>
      </c>
      <c r="O8" s="3">
        <v>5.0435278565350607E-2</v>
      </c>
      <c r="P8" s="3">
        <v>0.17444154096976316</v>
      </c>
      <c r="Q8" s="3">
        <v>0.15470109156787737</v>
      </c>
      <c r="R8" s="3">
        <v>0.18395413016160261</v>
      </c>
      <c r="S8" s="3">
        <v>8.4648573855809733E-2</v>
      </c>
      <c r="T8" s="3">
        <v>0.14258770523135364</v>
      </c>
      <c r="U8" s="3">
        <v>-1.9187857864933537E-2</v>
      </c>
      <c r="V8" s="3">
        <v>-2.7642783958649494E-2</v>
      </c>
      <c r="W8" s="3">
        <v>2.4897485213878377E-2</v>
      </c>
      <c r="X8" s="3">
        <v>0.15714438868680894</v>
      </c>
      <c r="Y8" s="3">
        <v>2.3929385255711613E-2</v>
      </c>
      <c r="Z8" s="3">
        <v>9.890001381892187E-3</v>
      </c>
      <c r="AA8" s="3">
        <v>0.14194979193893137</v>
      </c>
      <c r="AB8" s="3">
        <v>0.3439926092783519</v>
      </c>
      <c r="AC8" s="3">
        <v>0.14799540231040112</v>
      </c>
      <c r="AD8" s="3">
        <v>-0.34579922385768791</v>
      </c>
      <c r="AE8" s="3">
        <v>0.11958143627807323</v>
      </c>
      <c r="AF8" s="3">
        <v>0.10612038808892249</v>
      </c>
      <c r="AG8" s="3">
        <v>-0.10673448401061308</v>
      </c>
      <c r="AH8" s="3">
        <v>-0.10011262723988695</v>
      </c>
      <c r="AI8" s="3">
        <v>0.10222274285854828</v>
      </c>
      <c r="AJ8" s="3">
        <v>0.15795885026779929</v>
      </c>
      <c r="AK8" s="3">
        <v>-0.10520224128418658</v>
      </c>
      <c r="AL8" s="3">
        <v>-0.11392253156613943</v>
      </c>
      <c r="AM8" s="3">
        <v>3.8308805561169348E-2</v>
      </c>
      <c r="AN8" s="3">
        <v>0.15495405068347157</v>
      </c>
      <c r="AO8" s="3">
        <v>0.25177652510120208</v>
      </c>
      <c r="AP8" s="3">
        <v>-7.6698022027290105E-2</v>
      </c>
      <c r="AQ8" s="3">
        <v>-3.3329816804206734E-2</v>
      </c>
      <c r="AR8" s="3">
        <v>2.638584986688124E-2</v>
      </c>
      <c r="AS8" s="3">
        <v>-8.886387100255011E-2</v>
      </c>
      <c r="AT8" s="3">
        <v>-1.0143326656301278E-2</v>
      </c>
      <c r="AU8" s="3">
        <v>4.7126025874695353E-2</v>
      </c>
      <c r="AV8" s="3">
        <v>0.15775268845492213</v>
      </c>
      <c r="AW8" s="3">
        <v>0.29536522605422244</v>
      </c>
      <c r="AX8" s="3">
        <v>7.8418633366990925E-2</v>
      </c>
      <c r="AY8" s="3">
        <v>-0.1725526436786155</v>
      </c>
      <c r="AZ8" s="3">
        <v>3.2302465150630476E-2</v>
      </c>
      <c r="BA8" s="3">
        <v>0.25756828925415431</v>
      </c>
      <c r="BB8" s="3">
        <v>-1.9024067465010633E-2</v>
      </c>
      <c r="BC8" s="3">
        <v>-0.10434179314019391</v>
      </c>
      <c r="BD8" s="3">
        <v>0.10853388985853474</v>
      </c>
      <c r="BE8" s="3">
        <v>0.23603761862002551</v>
      </c>
      <c r="BF8" s="3">
        <v>7.9249477041401839E-2</v>
      </c>
      <c r="BG8" s="3">
        <v>4.4699026340061711E-2</v>
      </c>
      <c r="BH8" s="3">
        <v>-0.11965750169021491</v>
      </c>
      <c r="BI8" s="3">
        <v>-1.576817830572956E-2</v>
      </c>
      <c r="BJ8" s="3">
        <v>-5.7400078168860245E-2</v>
      </c>
      <c r="BK8" s="3">
        <v>-2.329719807339985E-2</v>
      </c>
      <c r="BL8" s="3">
        <v>8.0858475261452775E-2</v>
      </c>
      <c r="BM8" s="3">
        <v>0.17518460980777603</v>
      </c>
      <c r="BN8" s="3">
        <v>-1.1392807767383727E-2</v>
      </c>
      <c r="BO8" s="3">
        <v>4.285738518613285E-2</v>
      </c>
      <c r="BP8" s="3">
        <v>0.24964750991369256</v>
      </c>
      <c r="BQ8" s="3">
        <v>3.5848784036666195</v>
      </c>
      <c r="BR8" s="3">
        <v>-0.64206677927800215</v>
      </c>
      <c r="BS8" s="3">
        <v>-0.51377797391499602</v>
      </c>
      <c r="BT8" s="3">
        <v>9.3707587616718976E-2</v>
      </c>
      <c r="BU8" s="3">
        <v>2.7704131861485459E-2</v>
      </c>
      <c r="BV8" s="3">
        <v>-0.16885591269222933</v>
      </c>
      <c r="BW8" s="3">
        <v>0.14202960261401854</v>
      </c>
      <c r="BX8" s="3">
        <v>0.30217365684783781</v>
      </c>
      <c r="BY8" s="3">
        <v>0.24966530321283065</v>
      </c>
      <c r="BZ8" s="3">
        <v>1.9116179596213414</v>
      </c>
      <c r="CA8" s="3">
        <v>-1.6605997466473192</v>
      </c>
    </row>
    <row r="9" spans="1:79" x14ac:dyDescent="0.2">
      <c r="A9" s="3" t="s">
        <v>192</v>
      </c>
      <c r="B9" s="3">
        <v>0.1531283264977536</v>
      </c>
      <c r="C9" s="3">
        <v>0.13532470320860196</v>
      </c>
      <c r="D9" s="3">
        <v>6.5579389740302946E-2</v>
      </c>
      <c r="E9" s="3">
        <v>0.1513675638920188</v>
      </c>
      <c r="F9" s="3">
        <v>-5.1190788804377385E-2</v>
      </c>
      <c r="G9" s="3">
        <v>0.16673939422604947</v>
      </c>
      <c r="H9" s="3">
        <v>0.25206101601684927</v>
      </c>
      <c r="I9" s="3">
        <v>0.1474782381119098</v>
      </c>
      <c r="J9" s="3">
        <v>-4.2525581211898936E-2</v>
      </c>
      <c r="K9" s="3">
        <v>0.14750811455983312</v>
      </c>
      <c r="L9" s="3">
        <v>0.12574579636286767</v>
      </c>
      <c r="M9" s="3">
        <v>-0.11955475790418291</v>
      </c>
      <c r="N9" s="3">
        <v>-0.26827874643207317</v>
      </c>
      <c r="O9" s="3">
        <v>5.5693953355156159E-2</v>
      </c>
      <c r="P9" s="3">
        <v>0.19024877313158012</v>
      </c>
      <c r="Q9" s="3">
        <v>0.17438800129598117</v>
      </c>
      <c r="R9" s="3">
        <v>0.22509015661317391</v>
      </c>
      <c r="S9" s="3">
        <v>6.6882387467899637E-2</v>
      </c>
      <c r="T9" s="3">
        <v>0.16382760568486898</v>
      </c>
      <c r="U9" s="3">
        <v>-3.408065854463195E-2</v>
      </c>
      <c r="V9" s="3">
        <v>-3.7125768422978843E-2</v>
      </c>
      <c r="W9" s="3">
        <v>4.0823515453500193E-2</v>
      </c>
      <c r="X9" s="3">
        <v>0.13661053187302946</v>
      </c>
      <c r="Y9" s="3">
        <v>3.1128363640677576E-2</v>
      </c>
      <c r="Z9" s="3">
        <v>2.9590114891346091E-2</v>
      </c>
      <c r="AA9" s="3">
        <v>0.13858419228076271</v>
      </c>
      <c r="AB9" s="3">
        <v>0.39024001307158218</v>
      </c>
      <c r="AC9" s="3">
        <v>0.17847924189900924</v>
      </c>
      <c r="AD9" s="3">
        <v>-0.374021918266361</v>
      </c>
      <c r="AE9" s="3">
        <v>0.10759600871211121</v>
      </c>
      <c r="AF9" s="3">
        <v>0.1294564702695519</v>
      </c>
      <c r="AG9" s="3">
        <v>-0.12442181183706813</v>
      </c>
      <c r="AH9" s="3">
        <v>-0.10470313672156731</v>
      </c>
      <c r="AI9" s="3">
        <v>0.11022838501662832</v>
      </c>
      <c r="AJ9" s="3">
        <v>0.16564434209034357</v>
      </c>
      <c r="AK9" s="3">
        <v>-0.11842946193693878</v>
      </c>
      <c r="AL9" s="3">
        <v>-0.12570383145022279</v>
      </c>
      <c r="AM9" s="3">
        <v>3.4371161318509869E-2</v>
      </c>
      <c r="AN9" s="3">
        <v>0.15753804587808765</v>
      </c>
      <c r="AO9" s="3">
        <v>0.28891197181032341</v>
      </c>
      <c r="AP9" s="3">
        <v>-0.10312371867550744</v>
      </c>
      <c r="AQ9" s="3">
        <v>-3.1776975125541111E-2</v>
      </c>
      <c r="AR9" s="3">
        <v>-0.14889057769995928</v>
      </c>
      <c r="AS9" s="3">
        <v>0.11074495680220353</v>
      </c>
      <c r="AT9" s="3">
        <v>-1.1781003829325608E-2</v>
      </c>
      <c r="AU9" s="3">
        <v>4.5501116579504217E-2</v>
      </c>
      <c r="AV9" s="3">
        <v>0.15084682130142107</v>
      </c>
      <c r="AW9" s="3">
        <v>0.38453716735739452</v>
      </c>
      <c r="AX9" s="3">
        <v>4.7678540810195444E-2</v>
      </c>
      <c r="AY9" s="3">
        <v>-0.14064148106402877</v>
      </c>
      <c r="AZ9" s="3">
        <v>-9.3947243536938157E-3</v>
      </c>
      <c r="BA9" s="3">
        <v>0.31162437660449682</v>
      </c>
      <c r="BB9" s="3">
        <v>-7.3099241331913457E-3</v>
      </c>
      <c r="BC9" s="3">
        <v>-0.13788410949056695</v>
      </c>
      <c r="BD9" s="3">
        <v>0.17069901573631538</v>
      </c>
      <c r="BE9" s="3">
        <v>0.28596726049547116</v>
      </c>
      <c r="BF9" s="3">
        <v>6.1017580587695588E-2</v>
      </c>
      <c r="BG9" s="3">
        <v>4.6053064514293543E-2</v>
      </c>
      <c r="BH9" s="3">
        <v>-0.17460363485481245</v>
      </c>
      <c r="BI9" s="3">
        <v>-3.1023365341685191E-2</v>
      </c>
      <c r="BJ9" s="3">
        <v>-5.983225997785073E-2</v>
      </c>
      <c r="BK9" s="3">
        <v>-0.13630551786076395</v>
      </c>
      <c r="BL9" s="3">
        <v>0.17137710705691628</v>
      </c>
      <c r="BM9" s="3">
        <v>0.20111232984071137</v>
      </c>
      <c r="BN9" s="3">
        <v>-2.0099827139287035E-3</v>
      </c>
      <c r="BO9" s="3">
        <v>4.1251855991148383E-2</v>
      </c>
      <c r="BP9" s="3">
        <v>0.35537871612209976</v>
      </c>
      <c r="BQ9" s="3">
        <v>28.349720367610299</v>
      </c>
      <c r="BR9" s="3">
        <v>-0.93176952501651522</v>
      </c>
      <c r="BS9" s="3">
        <v>-0.61782044857641016</v>
      </c>
      <c r="BT9" s="3">
        <v>6.5210018587920845E-2</v>
      </c>
      <c r="BU9" s="3">
        <v>-2.8533017714656144E-2</v>
      </c>
      <c r="BV9" s="3">
        <v>-0.15712258261040815</v>
      </c>
      <c r="BW9" s="3">
        <v>0.1760183880563739</v>
      </c>
      <c r="BX9" s="3">
        <v>0.28363573975663647</v>
      </c>
      <c r="BY9" s="3">
        <v>0.38489396691422706</v>
      </c>
      <c r="BZ9" s="3">
        <v>1.4764555540818856</v>
      </c>
      <c r="CA9" s="3">
        <v>-2.1237095483689519</v>
      </c>
    </row>
    <row r="10" spans="1:79" x14ac:dyDescent="0.2">
      <c r="A10" s="3" t="s">
        <v>191</v>
      </c>
      <c r="B10" s="3">
        <v>0.15491058999256618</v>
      </c>
      <c r="C10" s="3">
        <v>0.13669361374916364</v>
      </c>
      <c r="D10" s="3">
        <v>8.0406022143916039E-2</v>
      </c>
      <c r="E10" s="3">
        <v>0.138404887479396</v>
      </c>
      <c r="F10" s="3">
        <v>-4.3766575133951748E-2</v>
      </c>
      <c r="G10" s="3">
        <v>0.18002433425812686</v>
      </c>
      <c r="H10" s="3">
        <v>0.25897508902480065</v>
      </c>
      <c r="I10" s="3">
        <v>0.15074086962907859</v>
      </c>
      <c r="J10" s="3">
        <v>-4.2991848734651526E-2</v>
      </c>
      <c r="K10" s="3">
        <v>0.14092473636901762</v>
      </c>
      <c r="L10" s="3">
        <v>0.12926921162530775</v>
      </c>
      <c r="M10" s="3">
        <v>-0.12662319393939817</v>
      </c>
      <c r="N10" s="3">
        <v>-0.28858732970396556</v>
      </c>
      <c r="O10" s="3">
        <v>4.7423321597456783E-2</v>
      </c>
      <c r="P10" s="3">
        <v>0.18388438737002805</v>
      </c>
      <c r="Q10" s="3">
        <v>0.17129277799478171</v>
      </c>
      <c r="R10" s="3">
        <v>0.22442261752441595</v>
      </c>
      <c r="S10" s="3">
        <v>6.8819677355466333E-2</v>
      </c>
      <c r="T10" s="3">
        <v>0.17393306200939326</v>
      </c>
      <c r="U10" s="3">
        <v>-3.2357138079048248E-2</v>
      </c>
      <c r="V10" s="3">
        <v>-4.1891411832430739E-2</v>
      </c>
      <c r="W10" s="3">
        <v>4.713730063968008E-2</v>
      </c>
      <c r="X10" s="3">
        <v>0.14457361297539337</v>
      </c>
      <c r="Y10" s="3">
        <v>2.001920501526136E-2</v>
      </c>
      <c r="Z10" s="3">
        <v>3.1900228819275088E-2</v>
      </c>
      <c r="AA10" s="3">
        <v>0.15443171008500242</v>
      </c>
      <c r="AB10" s="3">
        <v>0.41391299358633021</v>
      </c>
      <c r="AC10" s="3">
        <v>0.18731562088414899</v>
      </c>
      <c r="AD10" s="3">
        <v>-0.40007819909637432</v>
      </c>
      <c r="AE10" s="3">
        <v>0.12471832039460348</v>
      </c>
      <c r="AF10" s="3">
        <v>0.12812119550747922</v>
      </c>
      <c r="AG10" s="3">
        <v>-0.12805113155174799</v>
      </c>
      <c r="AH10" s="3">
        <v>-0.11082265172637533</v>
      </c>
      <c r="AI10" s="3">
        <v>0.11053372704267143</v>
      </c>
      <c r="AJ10" s="3">
        <v>0.17777864045120628</v>
      </c>
      <c r="AK10" s="3">
        <v>-0.12686613308801173</v>
      </c>
      <c r="AL10" s="3">
        <v>-0.1324294624373801</v>
      </c>
      <c r="AM10" s="3">
        <v>3.4304236838033408E-2</v>
      </c>
      <c r="AN10" s="3">
        <v>0.16361100772428019</v>
      </c>
      <c r="AO10" s="3">
        <v>0.29593418304548974</v>
      </c>
      <c r="AP10" s="3">
        <v>-9.6152202637394241E-2</v>
      </c>
      <c r="AQ10" s="3">
        <v>-5.4246056496450954E-3</v>
      </c>
      <c r="AR10" s="3">
        <v>1.712575752515361E-2</v>
      </c>
      <c r="AS10" s="3">
        <v>-0.11032543843616319</v>
      </c>
      <c r="AT10" s="3">
        <v>-1.7867093024166777E-2</v>
      </c>
      <c r="AU10" s="3">
        <v>4.4710677376417311E-2</v>
      </c>
      <c r="AV10" s="3">
        <v>0.19400688216233108</v>
      </c>
      <c r="AW10" s="3">
        <v>0.34638965128918464</v>
      </c>
      <c r="AX10" s="3">
        <v>8.5214693507457723E-2</v>
      </c>
      <c r="AY10" s="3">
        <v>-0.18827013374170179</v>
      </c>
      <c r="AZ10" s="3">
        <v>3.4513338248212941E-2</v>
      </c>
      <c r="BA10" s="3">
        <v>0.29713402191847038</v>
      </c>
      <c r="BB10" s="3">
        <v>-3.9491634598201326E-2</v>
      </c>
      <c r="BC10" s="3">
        <v>-0.12393080659263125</v>
      </c>
      <c r="BD10" s="3">
        <v>0.12642684063914542</v>
      </c>
      <c r="BE10" s="3">
        <v>0.33472877039311066</v>
      </c>
      <c r="BF10" s="3">
        <v>6.642184663067055E-2</v>
      </c>
      <c r="BG10" s="3">
        <v>4.2153360359875096E-2</v>
      </c>
      <c r="BH10" s="3">
        <v>-0.16553589448265973</v>
      </c>
      <c r="BI10" s="3">
        <v>-3.3109661215770608E-2</v>
      </c>
      <c r="BJ10" s="3">
        <v>-5.6619322083210494E-2</v>
      </c>
      <c r="BK10" s="3">
        <v>-3.6039496300310163E-2</v>
      </c>
      <c r="BL10" s="3">
        <v>6.4168343662593705E-2</v>
      </c>
      <c r="BM10" s="3">
        <v>0.18580326422595253</v>
      </c>
      <c r="BN10" s="3">
        <v>1.4439558207910329E-2</v>
      </c>
      <c r="BO10" s="3">
        <v>5.1834522823465672E-2</v>
      </c>
      <c r="BP10" s="3">
        <v>0.27289417757790424</v>
      </c>
      <c r="BQ10" s="3">
        <v>19.777431675598528</v>
      </c>
      <c r="BR10" s="3">
        <v>-0.90361920604141166</v>
      </c>
      <c r="BS10" s="3">
        <v>-0.6071904798547364</v>
      </c>
      <c r="BT10" s="3">
        <v>3.6383962703593634E-2</v>
      </c>
      <c r="BU10" s="3">
        <v>5.8318835726763246E-2</v>
      </c>
      <c r="BV10" s="3">
        <v>-0.18107249052150506</v>
      </c>
      <c r="BW10" s="3">
        <v>0.11107810474973551</v>
      </c>
      <c r="BX10" s="3">
        <v>0.28363573975663647</v>
      </c>
      <c r="BY10" s="3">
        <v>0.38489396691422706</v>
      </c>
      <c r="BZ10" s="3">
        <v>-0.35470814993663347</v>
      </c>
      <c r="CA10" s="3">
        <v>-0.17030153806737341</v>
      </c>
    </row>
    <row r="11" spans="1:79" x14ac:dyDescent="0.2">
      <c r="A11" s="3" t="s">
        <v>190</v>
      </c>
      <c r="B11" s="3">
        <v>0.1213581383311223</v>
      </c>
      <c r="C11" s="3">
        <v>0.12872325127901268</v>
      </c>
      <c r="D11" s="3">
        <v>0.13565820429705253</v>
      </c>
      <c r="E11" s="3">
        <v>0.10152797016411982</v>
      </c>
      <c r="F11" s="3">
        <v>4.9247979300408671E-3</v>
      </c>
      <c r="G11" s="3">
        <v>0.10617632325613106</v>
      </c>
      <c r="H11" s="3">
        <v>0.31233988212206115</v>
      </c>
      <c r="I11" s="3">
        <v>9.9166965419148712E-2</v>
      </c>
      <c r="J11" s="3">
        <v>-5.5410381547638998E-2</v>
      </c>
      <c r="K11" s="3">
        <v>0.13133649289099525</v>
      </c>
      <c r="L11" s="3">
        <v>0.16062231160199703</v>
      </c>
      <c r="M11" s="3">
        <v>-0.12168683743675514</v>
      </c>
      <c r="N11" s="3">
        <v>-0.23985092868777619</v>
      </c>
      <c r="O11" s="3">
        <v>-3.0507283585775383E-2</v>
      </c>
      <c r="P11" s="3">
        <v>0.18495109996119138</v>
      </c>
      <c r="Q11" s="3">
        <v>0.16916015759153141</v>
      </c>
      <c r="R11" s="3">
        <v>0.25104057983352673</v>
      </c>
      <c r="S11" s="3">
        <v>3.707445608948727E-2</v>
      </c>
      <c r="T11" s="3">
        <v>0.16299134746089322</v>
      </c>
      <c r="U11" s="3">
        <v>-3.8166885129398177E-2</v>
      </c>
      <c r="V11" s="3">
        <v>2.9975628321809909E-2</v>
      </c>
      <c r="W11" s="3">
        <v>-1.2271447885384056E-2</v>
      </c>
      <c r="X11" s="3">
        <v>0.1364637289773411</v>
      </c>
      <c r="Y11" s="3">
        <v>3.278554181192532E-2</v>
      </c>
      <c r="Z11" s="3">
        <v>8.2020080148231134E-3</v>
      </c>
      <c r="AA11" s="3">
        <v>0.14806699198216172</v>
      </c>
      <c r="AB11" s="3">
        <v>0.51381881334264956</v>
      </c>
      <c r="AC11" s="3">
        <v>8.748431500086222E-2</v>
      </c>
      <c r="AD11" s="3">
        <v>-0.38596324411905902</v>
      </c>
      <c r="AE11" s="3">
        <v>0.12251232233006901</v>
      </c>
      <c r="AF11" s="3">
        <v>0.23213395877432869</v>
      </c>
      <c r="AG11" s="3">
        <v>-0.19484498135994827</v>
      </c>
      <c r="AH11" s="3">
        <v>-0.11256293752679694</v>
      </c>
      <c r="AI11" s="3">
        <v>0.12507594486307583</v>
      </c>
      <c r="AJ11" s="3">
        <v>0.35693457497612946</v>
      </c>
      <c r="AK11" s="3">
        <v>-0.24373100070253081</v>
      </c>
      <c r="AL11" s="3">
        <v>-0.10277728887074558</v>
      </c>
      <c r="AM11" s="3">
        <v>9.381798846818017E-3</v>
      </c>
      <c r="AN11" s="3">
        <v>0.3344913197292137</v>
      </c>
      <c r="AO11" s="3">
        <v>0.11924436505345748</v>
      </c>
      <c r="AP11" s="3">
        <v>-6.2689791718932172E-2</v>
      </c>
      <c r="AQ11" s="3">
        <v>-8.2504142084352278E-2</v>
      </c>
      <c r="AR11" s="3">
        <v>-5.1478443407332042E-2</v>
      </c>
      <c r="AS11" s="3">
        <v>5.4133875400872401E-3</v>
      </c>
      <c r="AT11" s="3">
        <v>0.12212522033754031</v>
      </c>
      <c r="AU11" s="3">
        <v>-7.779409627157316E-2</v>
      </c>
      <c r="AV11" s="3">
        <v>0.27861683103454382</v>
      </c>
      <c r="AW11" s="3">
        <v>0.24717574039271861</v>
      </c>
      <c r="AX11" s="3">
        <v>0.17779402680875223</v>
      </c>
      <c r="AY11" s="3">
        <v>-0.21771826705307248</v>
      </c>
      <c r="AZ11" s="3">
        <v>2.783716134997242E-3</v>
      </c>
      <c r="BA11" s="3">
        <v>0.30904028402848166</v>
      </c>
      <c r="BB11" s="3">
        <v>-4.7929400533557653E-2</v>
      </c>
      <c r="BC11" s="3">
        <v>-0.1581698065678212</v>
      </c>
      <c r="BD11" s="3">
        <v>0.18010737623018086</v>
      </c>
      <c r="BE11" s="3">
        <v>0.24936690159697791</v>
      </c>
      <c r="BF11" s="3">
        <v>6.057775899294552E-2</v>
      </c>
      <c r="BG11" s="3">
        <v>3.8959155932167255E-2</v>
      </c>
      <c r="BH11" s="3">
        <v>-0.15454126239828536</v>
      </c>
      <c r="BI11" s="3">
        <v>-9.0258848027964678E-3</v>
      </c>
      <c r="BJ11" s="3">
        <v>-0.10910164526709436</v>
      </c>
      <c r="BK11" s="3">
        <v>-0.1324914714202382</v>
      </c>
      <c r="BL11" s="3">
        <v>0.16527543029482511</v>
      </c>
      <c r="BM11" s="3">
        <v>0.19661872072036585</v>
      </c>
      <c r="BN11" s="3">
        <v>3.0524202632258794E-2</v>
      </c>
      <c r="BO11" s="3">
        <v>6.9236383337686197E-2</v>
      </c>
      <c r="BP11" s="3">
        <v>0.24992991571884463</v>
      </c>
      <c r="BQ11" s="3">
        <v>14.679275989769533</v>
      </c>
      <c r="BR11" s="3">
        <v>-0.87960090046400297</v>
      </c>
      <c r="BS11" s="3">
        <v>-0.57540453577479678</v>
      </c>
      <c r="BT11" s="3">
        <v>6.1284355622102438E-2</v>
      </c>
      <c r="BU11" s="3">
        <v>2.0949116918499704E-2</v>
      </c>
      <c r="BV11" s="3">
        <v>-0.20473369042358411</v>
      </c>
      <c r="BW11" s="3">
        <v>0.17759309061772596</v>
      </c>
      <c r="BX11" s="3">
        <v>0.17734498797431014</v>
      </c>
      <c r="BY11" s="3">
        <v>0.34591706842584907</v>
      </c>
      <c r="BZ11" s="3">
        <v>-0.32102662581715202</v>
      </c>
      <c r="CA11" s="3">
        <v>-0.13979067980419543</v>
      </c>
    </row>
    <row r="12" spans="1:79" x14ac:dyDescent="0.2">
      <c r="A12" s="3" t="s">
        <v>189</v>
      </c>
      <c r="B12" s="3">
        <v>0.13363821138211376</v>
      </c>
      <c r="C12" s="3">
        <v>0.10499719258843353</v>
      </c>
      <c r="D12" s="3">
        <v>0.22658402203856745</v>
      </c>
      <c r="E12" s="3">
        <v>3.198294243070357E-2</v>
      </c>
      <c r="F12" s="3">
        <v>-3.7619699042407591E-2</v>
      </c>
      <c r="G12" s="3">
        <v>0.19346938775510197</v>
      </c>
      <c r="H12" s="3">
        <v>0.27338877338877349</v>
      </c>
      <c r="I12" s="3">
        <v>8.8235294117646981E-2</v>
      </c>
      <c r="J12" s="3">
        <v>-2.2573363431150763E-3</v>
      </c>
      <c r="K12" s="3">
        <v>7.5242718446601839E-2</v>
      </c>
      <c r="L12" s="3">
        <v>0.16220028208744716</v>
      </c>
      <c r="M12" s="3">
        <v>-0.11152882205513791</v>
      </c>
      <c r="N12" s="3">
        <v>-0.27388535031847133</v>
      </c>
      <c r="O12" s="3">
        <v>-2.5709219858155954E-2</v>
      </c>
      <c r="P12" s="3">
        <v>0.22608695652173916</v>
      </c>
      <c r="Q12" s="3">
        <v>0.14856429463171031</v>
      </c>
      <c r="R12" s="3">
        <v>0.25943396226415083</v>
      </c>
      <c r="S12" s="3">
        <v>5.8236272878535868E-2</v>
      </c>
      <c r="T12" s="3">
        <v>0.15799614643545268</v>
      </c>
      <c r="U12" s="3">
        <v>-4.9450549450549372E-2</v>
      </c>
      <c r="V12" s="3">
        <v>1.8348623853210618E-3</v>
      </c>
      <c r="W12" s="3">
        <v>4.8076923076923073E-2</v>
      </c>
      <c r="X12" s="3">
        <v>0.13289760348583884</v>
      </c>
      <c r="Y12" s="3">
        <v>1.5486725663716878E-2</v>
      </c>
      <c r="Z12" s="3">
        <v>1.345291479820619E-2</v>
      </c>
      <c r="AA12" s="3">
        <v>0.16145833333333337</v>
      </c>
      <c r="AB12" s="3">
        <v>0.51181102362204711</v>
      </c>
      <c r="AC12" s="3">
        <v>8.5470085470085555E-2</v>
      </c>
      <c r="AD12" s="3">
        <v>-0.38582677165354334</v>
      </c>
      <c r="AE12" s="3">
        <v>0.11403508771929828</v>
      </c>
      <c r="AF12" s="3">
        <v>0.19163763066202083</v>
      </c>
      <c r="AG12" s="3">
        <v>-0.16569767441860461</v>
      </c>
      <c r="AH12" s="3">
        <v>-0.10416666666666664</v>
      </c>
      <c r="AI12" s="3">
        <v>0.10344827586206894</v>
      </c>
      <c r="AJ12" s="3">
        <v>0.35408560311284054</v>
      </c>
      <c r="AK12" s="3">
        <v>-0.22121212121212122</v>
      </c>
      <c r="AL12" s="3">
        <v>-0.16030534351145045</v>
      </c>
      <c r="AM12" s="3">
        <v>6.5040650406504127E-2</v>
      </c>
      <c r="AN12" s="3">
        <v>0.31785714285714295</v>
      </c>
      <c r="AO12" s="3">
        <v>0.11999999999999993</v>
      </c>
      <c r="AP12" s="3">
        <v>-6.3670411985018702E-2</v>
      </c>
      <c r="AQ12" s="3">
        <v>-8.2474226804123779E-2</v>
      </c>
      <c r="AR12" s="3">
        <v>-4.9019607843137226E-2</v>
      </c>
      <c r="AS12" s="3">
        <v>3.2786885245902398E-3</v>
      </c>
      <c r="AT12" s="3">
        <v>0.12546125461254606</v>
      </c>
      <c r="AU12" s="3">
        <v>-7.8231292517006792E-2</v>
      </c>
      <c r="AV12" s="3">
        <v>0.27826086956521745</v>
      </c>
      <c r="AW12" s="3">
        <v>0.24324324324324309</v>
      </c>
      <c r="AX12" s="3">
        <v>0.178343949044586</v>
      </c>
      <c r="AY12" s="3">
        <v>-0.21499999999999997</v>
      </c>
      <c r="AZ12" s="3">
        <v>0</v>
      </c>
      <c r="BA12" s="3">
        <v>0.30718954248366009</v>
      </c>
      <c r="BB12" s="3">
        <v>-4.3750000000000039E-2</v>
      </c>
      <c r="BC12" s="3">
        <v>-0.15789473684210517</v>
      </c>
      <c r="BD12" s="3">
        <v>0.18012422360248434</v>
      </c>
      <c r="BE12" s="3">
        <v>0.24806201550387602</v>
      </c>
      <c r="BF12" s="3">
        <v>5.7377049180327919E-2</v>
      </c>
      <c r="BG12" s="3">
        <v>4.2735042735042778E-2</v>
      </c>
      <c r="BH12" s="3">
        <v>-0.15827338129496402</v>
      </c>
      <c r="BI12" s="3">
        <v>-7.1428571428571496E-3</v>
      </c>
      <c r="BJ12" s="3">
        <v>-0.10828025477707015</v>
      </c>
      <c r="BK12" s="3">
        <v>-0.13259668508287292</v>
      </c>
      <c r="BL12" s="3">
        <v>0.16025641025641024</v>
      </c>
      <c r="BM12" s="3">
        <v>0.2</v>
      </c>
      <c r="BN12" s="3">
        <v>1.5625000000000014E-2</v>
      </c>
      <c r="BO12" s="3">
        <v>9.4017094017094099E-2</v>
      </c>
      <c r="BP12" s="3">
        <v>0.24468085106382978</v>
      </c>
      <c r="BQ12" s="3">
        <v>14.666666666666666</v>
      </c>
      <c r="BR12" s="3">
        <v>-0.88</v>
      </c>
      <c r="BS12" s="3">
        <v>-0.56896551724137923</v>
      </c>
      <c r="BT12" s="3">
        <v>4.5045045045044883E-2</v>
      </c>
      <c r="BU12" s="3">
        <v>3.738317757009349E-2</v>
      </c>
      <c r="BV12" s="3">
        <v>-0.19548872180451127</v>
      </c>
      <c r="BW12" s="3">
        <v>0.20909090909090905</v>
      </c>
      <c r="BX12" s="3">
        <v>0.17021276595744697</v>
      </c>
      <c r="BY12" s="3">
        <v>0.30555555555555552</v>
      </c>
      <c r="BZ12" s="3">
        <v>-0.32710280373831779</v>
      </c>
      <c r="CA12" s="3">
        <v>-0.12295081967213108</v>
      </c>
    </row>
    <row r="13" spans="1:79" x14ac:dyDescent="0.2">
      <c r="A13" s="3" t="s">
        <v>188</v>
      </c>
      <c r="B13" s="3">
        <v>0.13363821138211376</v>
      </c>
      <c r="C13" s="3">
        <v>0.10873239436619717</v>
      </c>
      <c r="D13" s="3">
        <v>0.22245179063360884</v>
      </c>
      <c r="E13" s="3">
        <v>3.198294243070357E-2</v>
      </c>
      <c r="F13" s="3">
        <v>-3.7619699042407591E-2</v>
      </c>
      <c r="G13" s="3">
        <v>0.19346938775510197</v>
      </c>
      <c r="H13" s="3">
        <v>0.27338877338877349</v>
      </c>
      <c r="I13" s="3">
        <v>8.8235294117646981E-2</v>
      </c>
      <c r="J13" s="3">
        <v>-2.2573363431150763E-3</v>
      </c>
      <c r="K13" s="3">
        <v>7.5242718446601839E-2</v>
      </c>
      <c r="L13" s="3">
        <v>0.16220028208744716</v>
      </c>
      <c r="M13" s="3">
        <v>-0.11152882205513791</v>
      </c>
      <c r="N13" s="3">
        <v>-0.27388535031847133</v>
      </c>
      <c r="O13" s="3">
        <v>-2.5709219858155954E-2</v>
      </c>
      <c r="P13" s="3">
        <v>0.22608695652173916</v>
      </c>
      <c r="Q13" s="3">
        <v>0.14856429463171031</v>
      </c>
      <c r="R13" s="3">
        <v>0.25943396226415083</v>
      </c>
      <c r="S13" s="3">
        <v>5.8236272878535868E-2</v>
      </c>
      <c r="T13" s="3">
        <v>0.15799614643545268</v>
      </c>
      <c r="U13" s="3">
        <v>-4.9450549450549372E-2</v>
      </c>
      <c r="V13" s="3">
        <v>1.8348623853210618E-3</v>
      </c>
      <c r="W13" s="3">
        <v>4.8076923076923073E-2</v>
      </c>
      <c r="X13" s="3">
        <v>0.13289760348583884</v>
      </c>
      <c r="Y13" s="3">
        <v>1.5486725663716878E-2</v>
      </c>
      <c r="Z13" s="3">
        <v>1.345291479820619E-2</v>
      </c>
      <c r="AA13" s="3">
        <v>0.16145833333333337</v>
      </c>
      <c r="AB13" s="3">
        <v>0.51181102362204711</v>
      </c>
      <c r="AC13" s="3">
        <v>8.5470085470085555E-2</v>
      </c>
      <c r="AD13" s="3">
        <v>-0.38582677165354334</v>
      </c>
      <c r="AE13" s="3">
        <v>0.11403508771929828</v>
      </c>
      <c r="AF13" s="3">
        <v>0.19163763066202083</v>
      </c>
      <c r="AG13" s="3">
        <v>-0.16569767441860461</v>
      </c>
      <c r="AH13" s="3">
        <v>-0.10416666666666664</v>
      </c>
      <c r="AI13" s="3">
        <v>0.10344827586206894</v>
      </c>
      <c r="AJ13" s="3">
        <v>0.35408560311284054</v>
      </c>
      <c r="AK13" s="3">
        <v>-0.22121212121212122</v>
      </c>
      <c r="AL13" s="3">
        <v>-0.16030534351145045</v>
      </c>
      <c r="AM13" s="3">
        <v>6.5040650406504127E-2</v>
      </c>
      <c r="AN13" s="3">
        <v>0.31785714285714295</v>
      </c>
      <c r="AO13" s="3">
        <v>0.11999999999999993</v>
      </c>
      <c r="AP13" s="3">
        <v>-6.3670411985018702E-2</v>
      </c>
      <c r="AQ13" s="3">
        <v>-8.2474226804123779E-2</v>
      </c>
      <c r="AR13" s="3">
        <v>-4.9019607843137226E-2</v>
      </c>
      <c r="AS13" s="3">
        <v>3.2786885245902398E-3</v>
      </c>
      <c r="AT13" s="3">
        <v>0.12546125461254606</v>
      </c>
      <c r="AU13" s="3">
        <v>-7.8231292517006792E-2</v>
      </c>
      <c r="AV13" s="3">
        <v>0.27826086956521745</v>
      </c>
      <c r="AW13" s="3">
        <v>0.24324324324324309</v>
      </c>
      <c r="AX13" s="3">
        <v>0.178343949044586</v>
      </c>
      <c r="AY13" s="3">
        <v>-0.21499999999999997</v>
      </c>
      <c r="AZ13" s="3">
        <v>0</v>
      </c>
      <c r="BA13" s="3">
        <v>0.30718954248366009</v>
      </c>
      <c r="BB13" s="3">
        <v>-4.3750000000000039E-2</v>
      </c>
      <c r="BC13" s="3">
        <v>-0.15789473684210517</v>
      </c>
      <c r="BD13" s="3">
        <v>0.18012422360248434</v>
      </c>
      <c r="BE13" s="3">
        <v>0.24806201550387602</v>
      </c>
      <c r="BF13" s="3">
        <v>5.7377049180327919E-2</v>
      </c>
      <c r="BG13" s="3">
        <v>4.2735042735042778E-2</v>
      </c>
      <c r="BH13" s="3">
        <v>-0.15827338129496402</v>
      </c>
      <c r="BI13" s="3">
        <v>-7.1428571428571496E-3</v>
      </c>
      <c r="BJ13" s="3">
        <v>-0.10828025477707015</v>
      </c>
      <c r="BK13" s="3">
        <v>-0.13259668508287292</v>
      </c>
      <c r="BL13" s="3">
        <v>0.16025641025641024</v>
      </c>
      <c r="BM13" s="3">
        <v>0.2</v>
      </c>
      <c r="BN13" s="3">
        <v>3.1746031746031772E-2</v>
      </c>
      <c r="BO13" s="3">
        <v>7.6923076923076997E-2</v>
      </c>
      <c r="BP13" s="3">
        <v>0.24468085106382978</v>
      </c>
      <c r="BQ13" s="3">
        <v>14.666666666666666</v>
      </c>
      <c r="BR13" s="3">
        <v>-0.88</v>
      </c>
      <c r="BS13" s="3">
        <v>-0.55752212389380529</v>
      </c>
      <c r="BT13" s="3">
        <v>1.8018018018017834E-2</v>
      </c>
      <c r="BU13" s="3">
        <v>3.738317757009349E-2</v>
      </c>
      <c r="BV13" s="3">
        <v>-0.19548872180451127</v>
      </c>
      <c r="BW13" s="3">
        <v>0.20909090909090905</v>
      </c>
      <c r="BX13" s="3">
        <v>0.17021276595744697</v>
      </c>
      <c r="BY13" s="3">
        <v>0.30555555555555552</v>
      </c>
      <c r="BZ13" s="3">
        <v>-0.32710280373831779</v>
      </c>
      <c r="CA13" s="3">
        <v>-0.12295081967213108</v>
      </c>
    </row>
    <row r="14" spans="1:79" x14ac:dyDescent="0.2">
      <c r="A14" s="3" t="s">
        <v>187</v>
      </c>
      <c r="B14" s="3">
        <v>-1.0631437186754363E-4</v>
      </c>
      <c r="C14" s="3">
        <v>1.5079865047935072E-4</v>
      </c>
      <c r="D14" s="3">
        <v>1.3845899000916183E-5</v>
      </c>
      <c r="E14" s="3">
        <v>5.6543831941548953E-5</v>
      </c>
      <c r="F14" s="3">
        <v>1.2998307674339705E-5</v>
      </c>
      <c r="G14" s="3">
        <v>1.673994054929685E-5</v>
      </c>
      <c r="H14" s="3">
        <v>-1.1392661459929842E-4</v>
      </c>
      <c r="I14" s="3">
        <v>-1.1377105261016442E-5</v>
      </c>
      <c r="J14" s="3">
        <v>-1.0812865659669064E-4</v>
      </c>
      <c r="K14" s="3">
        <v>1.0814034966742408E-4</v>
      </c>
      <c r="L14" s="3">
        <v>-3.8566457024548477E-8</v>
      </c>
      <c r="M14" s="3">
        <v>6.9420104555933475E-6</v>
      </c>
      <c r="N14" s="3">
        <v>-4.9825725654618254E-5</v>
      </c>
      <c r="O14" s="3">
        <v>5.3492243219781035E-5</v>
      </c>
      <c r="P14" s="3">
        <v>0</v>
      </c>
      <c r="Q14" s="3">
        <v>-3.0775411957620485E-5</v>
      </c>
      <c r="R14" s="3">
        <v>-2.2714669048428909E-5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1.446201032356145E-5</v>
      </c>
      <c r="AQ14" s="3">
        <v>-1.4461801176843532E-5</v>
      </c>
      <c r="AR14" s="3">
        <v>1.928240528723553E-7</v>
      </c>
      <c r="AS14" s="3">
        <v>1.403778810583613E-5</v>
      </c>
      <c r="AT14" s="3">
        <v>2.4528165449417888E-5</v>
      </c>
      <c r="AU14" s="3">
        <v>0</v>
      </c>
      <c r="AV14" s="3">
        <v>1.8126192857755512E-6</v>
      </c>
      <c r="AW14" s="3">
        <v>1.8512199230756416E-5</v>
      </c>
      <c r="AX14" s="3">
        <v>2.0286696532077934E-5</v>
      </c>
      <c r="AY14" s="3">
        <v>0</v>
      </c>
      <c r="AZ14" s="3">
        <v>8.8706166185448567E-7</v>
      </c>
      <c r="BA14" s="3">
        <v>9.0642776470786082E-5</v>
      </c>
      <c r="BB14" s="3">
        <v>1.7807726169020706E-4</v>
      </c>
      <c r="BC14" s="3">
        <v>0</v>
      </c>
      <c r="BD14" s="3">
        <v>2.4304896360256896E-5</v>
      </c>
      <c r="BE14" s="3">
        <v>1.179505268341114E-4</v>
      </c>
      <c r="BF14" s="3">
        <v>1.005979578112925E-4</v>
      </c>
      <c r="BG14" s="3">
        <v>2.1841076991995939E-5</v>
      </c>
      <c r="BH14" s="3">
        <v>7.5909292601803932E-5</v>
      </c>
      <c r="BI14" s="3">
        <v>0</v>
      </c>
      <c r="BJ14" s="3">
        <v>1.4840597126960749E-4</v>
      </c>
      <c r="BK14" s="3">
        <v>9.210123802051819E-5</v>
      </c>
      <c r="BL14" s="3">
        <v>1.0847969567005803E-4</v>
      </c>
      <c r="BM14" s="3">
        <v>0</v>
      </c>
      <c r="BN14" s="3">
        <v>1.975734045383052E-2</v>
      </c>
      <c r="BO14" s="3">
        <v>-2.5777794653006936E-2</v>
      </c>
      <c r="BP14" s="3">
        <v>0</v>
      </c>
      <c r="BQ14" s="3">
        <v>1.2417487807002281E-2</v>
      </c>
      <c r="BR14" s="3">
        <v>-4.2138732757930047E-3</v>
      </c>
      <c r="BS14" s="3">
        <v>-1.0440403290937799E-2</v>
      </c>
      <c r="BT14" s="3">
        <v>8.7283786414028494E-3</v>
      </c>
      <c r="BU14" s="3">
        <v>-1.282944153489691E-2</v>
      </c>
      <c r="BV14" s="3">
        <v>-1.6060538126678552E-2</v>
      </c>
      <c r="BW14" s="3">
        <v>0</v>
      </c>
      <c r="BX14" s="3">
        <v>8.9554222442002221E-4</v>
      </c>
      <c r="BY14" s="3">
        <v>2.1935288087517369E-2</v>
      </c>
      <c r="BZ14" s="3">
        <v>-3.7183807460974346E-3</v>
      </c>
      <c r="CA14" s="3">
        <v>-1.8182552657646057E-2</v>
      </c>
    </row>
    <row r="15" spans="1:79" x14ac:dyDescent="0.2">
      <c r="A15" s="3" t="s">
        <v>186</v>
      </c>
      <c r="B15" s="3">
        <v>-4.7777840676056058E-5</v>
      </c>
      <c r="C15" s="3">
        <v>9.5680520082438736E-5</v>
      </c>
      <c r="D15" s="3">
        <v>4.4969167002489158E-5</v>
      </c>
      <c r="E15" s="3">
        <v>3.0082380599271105E-6</v>
      </c>
      <c r="F15" s="3">
        <v>9.0525305969362874E-5</v>
      </c>
      <c r="G15" s="3">
        <v>-6.8342513548170518E-5</v>
      </c>
      <c r="H15" s="3">
        <v>-9.980404778685681E-5</v>
      </c>
      <c r="I15" s="3">
        <v>4.0686844847793981E-5</v>
      </c>
      <c r="J15" s="3">
        <v>-8.9233135294130572E-5</v>
      </c>
      <c r="K15" s="3">
        <v>1.0463043473733518E-4</v>
      </c>
      <c r="L15" s="3">
        <v>-2.1982755877832186E-6</v>
      </c>
      <c r="M15" s="3">
        <v>1.504085559174274E-6</v>
      </c>
      <c r="N15" s="3">
        <v>-3.8719062350802418E-5</v>
      </c>
      <c r="O15" s="3">
        <v>4.6858431422685612E-5</v>
      </c>
      <c r="P15" s="3">
        <v>-7.7133214499331973E-8</v>
      </c>
      <c r="Q15" s="3">
        <v>-2.5723265332126693E-5</v>
      </c>
      <c r="R15" s="3">
        <v>-2.1056382513484184E-5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9.6412100798465746E-7</v>
      </c>
      <c r="AT15" s="3">
        <v>3.7794971918914359E-5</v>
      </c>
      <c r="AU15" s="3">
        <v>-2.4180484058582025E-5</v>
      </c>
      <c r="AV15" s="3">
        <v>4.6278459806579177E-7</v>
      </c>
      <c r="AW15" s="3">
        <v>5.7848409400135135E-6</v>
      </c>
      <c r="AX15" s="3">
        <v>5.8546017748468261E-5</v>
      </c>
      <c r="AY15" s="3">
        <v>-4.4813849747260688E-5</v>
      </c>
      <c r="AZ15" s="3">
        <v>-2.6996287740472809E-7</v>
      </c>
      <c r="BA15" s="3">
        <v>2.8153350761671549E-6</v>
      </c>
      <c r="BB15" s="3">
        <v>3.1190525579838043E-4</v>
      </c>
      <c r="BC15" s="3">
        <v>-2.2077322543781193E-4</v>
      </c>
      <c r="BD15" s="3">
        <v>1.83209649463242E-5</v>
      </c>
      <c r="BE15" s="3">
        <v>5.2456090587965666E-6</v>
      </c>
      <c r="BF15" s="3">
        <v>3.3953700887804391E-4</v>
      </c>
      <c r="BG15" s="3">
        <v>0</v>
      </c>
      <c r="BH15" s="3">
        <v>1.9835981900013838E-4</v>
      </c>
      <c r="BI15" s="3">
        <v>-4.2663883510470741E-4</v>
      </c>
      <c r="BJ15" s="3">
        <v>4.2682093349057017E-4</v>
      </c>
      <c r="BK15" s="3">
        <v>0</v>
      </c>
      <c r="BL15" s="3">
        <v>3.4902666496547857E-4</v>
      </c>
      <c r="BM15" s="3">
        <v>-4.8313809090651618E-4</v>
      </c>
      <c r="BN15" s="3">
        <v>4.8337162615117319E-4</v>
      </c>
      <c r="BO15" s="3">
        <v>-6.5297548642848048E-3</v>
      </c>
      <c r="BP15" s="3">
        <v>0</v>
      </c>
      <c r="BQ15" s="3">
        <v>5.9344752847995275E-3</v>
      </c>
      <c r="BR15" s="3">
        <v>-8.2596756659799458E-3</v>
      </c>
      <c r="BS15" s="3">
        <v>-5.7630563116355914E-3</v>
      </c>
      <c r="BT15" s="3">
        <v>1.4575433999946661E-2</v>
      </c>
      <c r="BU15" s="3">
        <v>-1.4768983731017296E-2</v>
      </c>
      <c r="BV15" s="3">
        <v>-1.412353850606341E-2</v>
      </c>
      <c r="BW15" s="3">
        <v>0</v>
      </c>
      <c r="BX15" s="3">
        <v>5.5858359096595639E-6</v>
      </c>
      <c r="BY15" s="3">
        <v>2.2844760845629444E-2</v>
      </c>
      <c r="BZ15" s="3">
        <v>-3.7183807460974346E-3</v>
      </c>
      <c r="CA15" s="3">
        <v>-1.8182552657646057E-2</v>
      </c>
    </row>
    <row r="16" spans="1:79" x14ac:dyDescent="0.2">
      <c r="A16" s="3" t="s">
        <v>185</v>
      </c>
      <c r="B16" s="3">
        <v>2.0299182022097132E-2</v>
      </c>
      <c r="C16" s="3">
        <v>0.1002081014315408</v>
      </c>
      <c r="D16" s="3">
        <v>-1.6416425265735201E-5</v>
      </c>
      <c r="E16" s="3">
        <v>0.12505497358816867</v>
      </c>
      <c r="F16" s="3">
        <v>-1.4795695671715765E-4</v>
      </c>
      <c r="G16" s="3">
        <v>0.14289733045122838</v>
      </c>
      <c r="H16" s="3">
        <v>1.1714613951329952E-4</v>
      </c>
      <c r="I16" s="3">
        <v>0.16667993368002992</v>
      </c>
      <c r="J16" s="3">
        <v>1.0814034966747007E-4</v>
      </c>
      <c r="K16" s="3">
        <v>9.0862250928521279E-2</v>
      </c>
      <c r="L16" s="3">
        <v>2.4542893505166869E-8</v>
      </c>
      <c r="M16" s="3">
        <v>-6.9279387971558636E-6</v>
      </c>
      <c r="N16" s="3">
        <v>4.9828208381232935E-5</v>
      </c>
      <c r="O16" s="3">
        <v>-5.3489381952747502E-5</v>
      </c>
      <c r="P16" s="3">
        <v>-6.3666577851042486E-6</v>
      </c>
      <c r="Q16" s="3">
        <v>3.7143253376321165E-5</v>
      </c>
      <c r="R16" s="3">
        <v>2.2701161133403714E-5</v>
      </c>
      <c r="S16" s="3">
        <v>9.9999182426803959E-2</v>
      </c>
      <c r="T16" s="3">
        <v>7.5587012985779619E-7</v>
      </c>
      <c r="U16" s="3">
        <v>0</v>
      </c>
      <c r="V16" s="3">
        <v>6.1703687932472364E-8</v>
      </c>
      <c r="W16" s="3">
        <v>-9.2555523261128586E-8</v>
      </c>
      <c r="X16" s="3">
        <v>6.1703686028799868E-8</v>
      </c>
      <c r="Y16" s="3">
        <v>-3.0851842133618018E-8</v>
      </c>
      <c r="Z16" s="3">
        <v>0.24999423458861203</v>
      </c>
      <c r="AA16" s="3">
        <v>-0.74999879484966958</v>
      </c>
      <c r="AB16" s="3">
        <v>0.26895097946507901</v>
      </c>
      <c r="AC16" s="3">
        <v>0</v>
      </c>
      <c r="AD16" s="3">
        <v>-1</v>
      </c>
      <c r="AE16" s="3">
        <v>-0.9999997878935869</v>
      </c>
      <c r="AF16" s="3">
        <v>0.27118095343506127</v>
      </c>
      <c r="AG16" s="3">
        <v>0</v>
      </c>
      <c r="AH16" s="3">
        <v>-1</v>
      </c>
      <c r="AI16" s="3">
        <v>-0.99999979615747236</v>
      </c>
      <c r="AJ16" s="3">
        <v>0.25288753803976083</v>
      </c>
      <c r="AK16" s="3">
        <v>0</v>
      </c>
      <c r="AL16" s="3">
        <v>-1</v>
      </c>
      <c r="AM16" s="3">
        <v>-0.99999989073305984</v>
      </c>
      <c r="AN16" s="3">
        <v>-4.7087830881061268E-3</v>
      </c>
      <c r="AO16" s="3">
        <v>0</v>
      </c>
      <c r="AP16" s="3">
        <v>-1</v>
      </c>
      <c r="AQ16" s="3">
        <v>-0.99999983716397023</v>
      </c>
      <c r="AR16" s="3">
        <v>1.1156612938702824E-2</v>
      </c>
      <c r="AS16" s="3">
        <v>0</v>
      </c>
      <c r="AT16" s="3">
        <v>-1</v>
      </c>
      <c r="AU16" s="3">
        <v>-0.99999937006538631</v>
      </c>
      <c r="AV16" s="3">
        <v>0</v>
      </c>
      <c r="AW16" s="3">
        <v>0</v>
      </c>
      <c r="AX16" s="3">
        <v>-1</v>
      </c>
      <c r="AY16" s="3">
        <v>-0.99999990999482635</v>
      </c>
      <c r="AZ16" s="3">
        <v>0</v>
      </c>
      <c r="BA16" s="3">
        <v>0</v>
      </c>
      <c r="BB16" s="3">
        <v>-1</v>
      </c>
      <c r="BC16" s="3">
        <v>-0.99999958841738612</v>
      </c>
      <c r="BD16" s="3">
        <v>0</v>
      </c>
      <c r="BE16" s="3">
        <v>0</v>
      </c>
      <c r="BF16" s="3">
        <v>-1</v>
      </c>
      <c r="BG16" s="3">
        <v>0</v>
      </c>
      <c r="BH16" s="3">
        <v>-1</v>
      </c>
      <c r="BI16" s="3">
        <v>0</v>
      </c>
      <c r="BJ16" s="3">
        <v>-1</v>
      </c>
      <c r="BK16" s="3">
        <v>-0.99999973442258772</v>
      </c>
      <c r="BL16" s="3">
        <v>0</v>
      </c>
      <c r="BM16" s="3">
        <v>0</v>
      </c>
      <c r="BN16" s="3">
        <v>-1</v>
      </c>
      <c r="BO16" s="3">
        <v>-0.99999983789341862</v>
      </c>
      <c r="BP16" s="3">
        <v>0</v>
      </c>
      <c r="BQ16" s="3">
        <v>0</v>
      </c>
      <c r="BR16" s="3">
        <v>-1</v>
      </c>
      <c r="BS16" s="3">
        <v>-0.99495443370381964</v>
      </c>
      <c r="BT16" s="3">
        <v>0</v>
      </c>
      <c r="BU16" s="3">
        <v>0</v>
      </c>
      <c r="BV16" s="3">
        <v>-1</v>
      </c>
      <c r="BW16" s="3">
        <v>0</v>
      </c>
      <c r="BX16" s="3">
        <v>-1</v>
      </c>
      <c r="BY16" s="3">
        <v>0</v>
      </c>
      <c r="BZ16" s="3">
        <v>-1</v>
      </c>
      <c r="CA16" s="3">
        <v>0</v>
      </c>
    </row>
    <row r="17" spans="1:79" x14ac:dyDescent="0.2">
      <c r="A17" s="3" t="s">
        <v>184</v>
      </c>
      <c r="B17" s="3">
        <v>-1.3791971757988167E-2</v>
      </c>
      <c r="C17" s="3">
        <v>0.73776491756651963</v>
      </c>
      <c r="D17" s="3">
        <v>-0.14129985874960169</v>
      </c>
      <c r="E17" s="3">
        <v>-0.20542211902744698</v>
      </c>
      <c r="F17" s="3">
        <v>8.6503656049209537E-3</v>
      </c>
      <c r="G17" s="3">
        <v>0.58218601685526783</v>
      </c>
      <c r="H17" s="3">
        <v>3.7928151273309445E-2</v>
      </c>
      <c r="I17" s="3">
        <v>-0.1344061540601437</v>
      </c>
      <c r="J17" s="3">
        <v>7.9093248489233103E-2</v>
      </c>
      <c r="K17" s="3">
        <v>0.37226444791193597</v>
      </c>
      <c r="L17" s="3">
        <v>0.76172697429127079</v>
      </c>
      <c r="M17" s="3">
        <v>-0.56586564470853462</v>
      </c>
      <c r="N17" s="3">
        <v>-0.20874805906999672</v>
      </c>
      <c r="O17" s="3">
        <v>0.17974839466636158</v>
      </c>
      <c r="P17" s="3">
        <v>0.21793968553507581</v>
      </c>
      <c r="Q17" s="3">
        <v>-8.9529749666232894E-2</v>
      </c>
      <c r="R17" s="3">
        <v>-1.5944769962982549E-2</v>
      </c>
      <c r="S17" s="3">
        <v>0.18667361141616412</v>
      </c>
      <c r="T17" s="3">
        <v>0.70031402240127683</v>
      </c>
      <c r="U17" s="3">
        <v>-0.17723190691690063</v>
      </c>
      <c r="V17" s="3">
        <v>-0.1208459361169039</v>
      </c>
      <c r="W17" s="3">
        <v>0.36261719550245108</v>
      </c>
      <c r="X17" s="3">
        <v>0.11645447368205843</v>
      </c>
      <c r="Y17" s="3">
        <v>-0.16103321113397928</v>
      </c>
      <c r="Z17" s="3">
        <v>3.6679066788204283E-4</v>
      </c>
      <c r="AA17" s="3">
        <v>0.43175100350609863</v>
      </c>
      <c r="AB17" s="3">
        <v>0.20373439674796318</v>
      </c>
      <c r="AC17" s="3">
        <v>-0.22865780070171876</v>
      </c>
      <c r="AD17" s="3">
        <v>-0.19380754282576093</v>
      </c>
      <c r="AE17" s="3">
        <v>1.0128295509890992</v>
      </c>
      <c r="AF17" s="3">
        <v>-0.27502468919661172</v>
      </c>
      <c r="AG17" s="3">
        <v>-0.19257975555628806</v>
      </c>
      <c r="AH17" s="3">
        <v>-0.2126154986895322</v>
      </c>
      <c r="AI17" s="3">
        <v>0.74790494686087072</v>
      </c>
      <c r="AJ17" s="3">
        <v>0.12942944697108463</v>
      </c>
      <c r="AK17" s="3">
        <v>-0.35779370128861387</v>
      </c>
      <c r="AL17" s="3">
        <v>-0.13071903431575405</v>
      </c>
      <c r="AM17" s="3">
        <v>0.46523568680434996</v>
      </c>
      <c r="AN17" s="3">
        <v>0.18498158603809534</v>
      </c>
      <c r="AO17" s="3">
        <v>-0.12221346316828975</v>
      </c>
      <c r="AP17" s="3">
        <v>-0.15997063235696204</v>
      </c>
      <c r="AQ17" s="3">
        <v>0.22458807342059581</v>
      </c>
      <c r="AR17" s="3">
        <v>6.3675775174283758E-2</v>
      </c>
      <c r="AS17" s="3">
        <v>-0.28803409365041088</v>
      </c>
      <c r="AT17" s="3">
        <v>1.5174484067086194E-2</v>
      </c>
      <c r="AU17" s="3">
        <v>0.6841326239179143</v>
      </c>
      <c r="AV17" s="3">
        <v>0.11616329146987647</v>
      </c>
      <c r="AW17" s="3">
        <v>-0.13822420336311023</v>
      </c>
      <c r="AX17" s="3">
        <v>-7.6986358244740483E-2</v>
      </c>
      <c r="AY17" s="3">
        <v>7.2764140771976973E-2</v>
      </c>
      <c r="AZ17" s="3">
        <v>0.2733096534845067</v>
      </c>
      <c r="BA17" s="3">
        <v>2.2685761056539713E-2</v>
      </c>
      <c r="BB17" s="3">
        <v>-0.13864314065060165</v>
      </c>
      <c r="BC17" s="3">
        <v>0.11458049070506229</v>
      </c>
      <c r="BD17" s="3">
        <v>9.5153341912951245E-2</v>
      </c>
      <c r="BE17" s="3">
        <v>0.22654625646382473</v>
      </c>
      <c r="BF17" s="3">
        <v>-0.21675849068587175</v>
      </c>
      <c r="BG17" s="3">
        <v>0.31928962833731389</v>
      </c>
      <c r="BH17" s="3">
        <v>-0.12454770286166983</v>
      </c>
      <c r="BI17" s="3">
        <v>0.11659879579119538</v>
      </c>
      <c r="BJ17" s="3">
        <v>-0.1996183234287692</v>
      </c>
      <c r="BK17" s="3">
        <v>0.10339021986342273</v>
      </c>
      <c r="BL17" s="3">
        <v>0.30712426231718976</v>
      </c>
      <c r="BM17" s="3">
        <v>6.2809729855816759E-2</v>
      </c>
      <c r="BN17" s="3">
        <v>-0.25750407794558383</v>
      </c>
      <c r="BO17" s="3">
        <v>0.32888859776876428</v>
      </c>
      <c r="BP17" s="3">
        <v>0.90244974375161757</v>
      </c>
      <c r="BQ17" s="3">
        <v>-8.4539265657179938E-2</v>
      </c>
      <c r="BR17" s="3">
        <v>-0.58312925958709727</v>
      </c>
      <c r="BS17" s="3">
        <v>4.5943325456649163E-2</v>
      </c>
      <c r="BT17" s="3">
        <v>0.48633721009702197</v>
      </c>
      <c r="BU17" s="3">
        <v>-0.24933030130113026</v>
      </c>
      <c r="BV17" s="3">
        <v>-0.10109179101701193</v>
      </c>
      <c r="BW17" s="3">
        <v>0.23715153894409005</v>
      </c>
      <c r="BX17" s="3">
        <v>0.43049029185223503</v>
      </c>
      <c r="BY17" s="3">
        <v>-9.8435179525751898E-2</v>
      </c>
      <c r="BZ17" s="3">
        <v>-0.34735685837573282</v>
      </c>
      <c r="CA17" s="3">
        <v>0.14943200612482174</v>
      </c>
    </row>
    <row r="18" spans="1:79" x14ac:dyDescent="0.2">
      <c r="A18" s="3" t="s">
        <v>183</v>
      </c>
      <c r="B18" s="3">
        <v>-2.8499126437386151E-2</v>
      </c>
      <c r="C18" s="3">
        <v>1.7850584457980871</v>
      </c>
      <c r="D18" s="3">
        <v>-0.29429895560427677</v>
      </c>
      <c r="E18" s="3">
        <v>-0.32991287575490263</v>
      </c>
      <c r="F18" s="3">
        <v>0.1412706771575491</v>
      </c>
      <c r="G18" s="3">
        <v>0.40288932208959827</v>
      </c>
      <c r="H18" s="3">
        <v>7.0323129488025035E-2</v>
      </c>
      <c r="I18" s="3">
        <v>-0.3255322635041033</v>
      </c>
      <c r="J18" s="3">
        <v>-8.7868772242708892E-2</v>
      </c>
      <c r="K18" s="3">
        <v>3.182817863513467</v>
      </c>
      <c r="L18" s="3">
        <v>1.8025117426963144</v>
      </c>
      <c r="M18" s="3">
        <v>-2.0102677387447283</v>
      </c>
      <c r="N18" s="3">
        <v>-0.45069450959488272</v>
      </c>
      <c r="O18" s="3">
        <v>3.4589687679032942E-2</v>
      </c>
      <c r="P18" s="3">
        <v>0.23034139362167921</v>
      </c>
      <c r="Q18" s="3">
        <v>7.7222642122298651E-2</v>
      </c>
      <c r="R18" s="3">
        <v>-0.23269141358907491</v>
      </c>
      <c r="S18" s="3">
        <v>9.6704749896206546E-2</v>
      </c>
      <c r="T18" s="3">
        <v>6.6846119819233838</v>
      </c>
      <c r="U18" s="3">
        <v>1.7695614196657017</v>
      </c>
      <c r="V18" s="3">
        <v>-1.1296665893849054</v>
      </c>
      <c r="W18" s="3">
        <v>0.91764407664533409</v>
      </c>
      <c r="X18" s="3">
        <v>1.4573116313586185</v>
      </c>
      <c r="Y18" s="3">
        <v>2.7402334146462102</v>
      </c>
      <c r="Z18" s="3">
        <v>-0.70789376555575789</v>
      </c>
      <c r="AA18" s="3">
        <v>-0.24496390512203506</v>
      </c>
      <c r="AB18" s="3">
        <v>51.749922933251128</v>
      </c>
      <c r="AC18" s="3">
        <v>-0.98891549285545388</v>
      </c>
      <c r="AD18" s="3">
        <v>-8.5012821023821867E-3</v>
      </c>
      <c r="AE18" s="3">
        <v>2.3326849533438718</v>
      </c>
      <c r="AF18" s="3">
        <v>-0.67232551039657529</v>
      </c>
      <c r="AG18" s="3">
        <v>-0.22257469120738729</v>
      </c>
      <c r="AH18" s="3">
        <v>-0.37267092910746968</v>
      </c>
      <c r="AI18" s="3">
        <v>1.6483473349388336</v>
      </c>
      <c r="AJ18" s="3">
        <v>19.781950777407236</v>
      </c>
      <c r="AK18" s="3">
        <v>-1.0493389637298987</v>
      </c>
      <c r="AL18" s="3">
        <v>-0.19375379427683043</v>
      </c>
      <c r="AM18" s="3">
        <v>2.3331289309540897</v>
      </c>
      <c r="AN18" s="3">
        <v>-0.31985333454920789</v>
      </c>
      <c r="AO18" s="3">
        <v>-0.61757708966358971</v>
      </c>
      <c r="AP18" s="3">
        <v>0.40773325159126117</v>
      </c>
      <c r="AQ18" s="3">
        <v>0.25132969422757823</v>
      </c>
      <c r="AR18" s="3">
        <v>-0.17683157070617564</v>
      </c>
      <c r="AS18" s="3">
        <v>-0.46387859573374718</v>
      </c>
      <c r="AT18" s="3">
        <v>6.3423832434593333E-2</v>
      </c>
      <c r="AU18" s="3">
        <v>1.3559430047112138</v>
      </c>
      <c r="AV18" s="3">
        <v>4.0386144060356663</v>
      </c>
      <c r="AW18" s="3">
        <v>1.3955646276581959</v>
      </c>
      <c r="AX18" s="3">
        <v>-1.7557566943316565</v>
      </c>
      <c r="AY18" s="3">
        <v>-0.30569566654980873</v>
      </c>
      <c r="AZ18" s="3">
        <v>11.96897344862497</v>
      </c>
      <c r="BA18" s="3">
        <v>0.52732729737739992</v>
      </c>
      <c r="BB18" s="3">
        <v>-1.3041766181582508</v>
      </c>
      <c r="BC18" s="3">
        <v>16.062384700366316</v>
      </c>
      <c r="BD18" s="3">
        <v>-1.1620727944420621</v>
      </c>
      <c r="BE18" s="3">
        <v>0.23912292945976552</v>
      </c>
      <c r="BF18" s="3">
        <v>-0.80313451160713589</v>
      </c>
      <c r="BG18" s="3">
        <v>1.5095105553216566</v>
      </c>
      <c r="BH18" s="3">
        <v>11.53504370679277</v>
      </c>
      <c r="BI18" s="3">
        <v>0.93477132323726686</v>
      </c>
      <c r="BJ18" s="3">
        <v>-1.9589344105706472</v>
      </c>
      <c r="BK18" s="3">
        <v>0.22907250491474671</v>
      </c>
      <c r="BL18" s="3">
        <v>5.6090632572047223</v>
      </c>
      <c r="BM18" s="3">
        <v>-44.287055462516008</v>
      </c>
      <c r="BN18" s="3">
        <v>-1.0052637239247064</v>
      </c>
      <c r="BO18" s="3">
        <v>0.31937169837679896</v>
      </c>
      <c r="BP18" s="3">
        <v>-0.14826160961576226</v>
      </c>
      <c r="BQ18" s="3">
        <v>-0.18741503507976937</v>
      </c>
      <c r="BR18" s="3">
        <v>-0.59937740598320821</v>
      </c>
      <c r="BS18" s="3">
        <v>6.2021950183549952E-2</v>
      </c>
      <c r="BT18" s="3">
        <v>1.4813286095827762</v>
      </c>
      <c r="BU18" s="3">
        <v>-0.5043095256558463</v>
      </c>
      <c r="BV18" s="3">
        <v>-7.9625290713609877E-3</v>
      </c>
      <c r="BW18" s="3">
        <v>0.59824297723082365</v>
      </c>
      <c r="BX18" s="3">
        <v>1.7426789519023325</v>
      </c>
      <c r="BY18" s="3">
        <v>-0.61902689316258763</v>
      </c>
      <c r="BZ18" s="3">
        <v>-0.3913657487617786</v>
      </c>
      <c r="CA18" s="3">
        <v>0.70390282853698205</v>
      </c>
    </row>
    <row r="19" spans="1:79" x14ac:dyDescent="0.2">
      <c r="A19" s="3" t="s">
        <v>182</v>
      </c>
      <c r="B19" s="3">
        <v>4.5741474087818332</v>
      </c>
      <c r="C19" s="3">
        <v>4.1877298738773954</v>
      </c>
      <c r="D19" s="3">
        <v>3.6582248824353658</v>
      </c>
      <c r="E19" s="3">
        <v>3.5456818647369102</v>
      </c>
      <c r="F19" s="3">
        <v>2.7806446421052979</v>
      </c>
      <c r="G19" s="3">
        <v>2.9030011158830629</v>
      </c>
      <c r="H19" s="3">
        <v>2.6345521646030532</v>
      </c>
      <c r="I19" s="3">
        <v>2.6801099409766422</v>
      </c>
      <c r="J19" s="3">
        <v>2.9979078540479218</v>
      </c>
      <c r="K19" s="3">
        <v>3.2888848365782053</v>
      </c>
      <c r="L19" s="3">
        <v>2.3638235437713098</v>
      </c>
      <c r="M19" s="3">
        <v>2.0843812389452601</v>
      </c>
      <c r="N19" s="3">
        <v>2.8307999826813068</v>
      </c>
      <c r="O19" s="3">
        <v>3.7632184396046169</v>
      </c>
      <c r="P19" s="3">
        <v>3.3315892331799413</v>
      </c>
      <c r="Q19" s="3">
        <v>3.172542150856875</v>
      </c>
      <c r="R19" s="3">
        <v>3.6442535457146827</v>
      </c>
      <c r="S19" s="3">
        <v>3.1829900035067369</v>
      </c>
      <c r="T19" s="3">
        <v>2.8918287609790427</v>
      </c>
      <c r="U19" s="3">
        <v>2.3652528740560093</v>
      </c>
      <c r="V19" s="3">
        <v>2.4367909199779501</v>
      </c>
      <c r="W19" s="3">
        <v>2.2801031540963663</v>
      </c>
      <c r="X19" s="3">
        <v>2.1725448126126796</v>
      </c>
      <c r="Y19" s="3">
        <v>1.9563648880813718</v>
      </c>
      <c r="Z19" s="3">
        <v>2.3656392300034801</v>
      </c>
      <c r="AA19" s="3">
        <v>2.3744477615342103</v>
      </c>
      <c r="AB19" s="3">
        <v>2.2761764740046595</v>
      </c>
      <c r="AC19" s="3">
        <v>2.2661541196823185</v>
      </c>
      <c r="AD19" s="3">
        <v>4.4992623772866382</v>
      </c>
      <c r="AE19" s="3">
        <v>3.3678306820634036</v>
      </c>
      <c r="AF19" s="3">
        <v>1.8294843482307703</v>
      </c>
      <c r="AG19" s="3">
        <v>1.7260926886272223</v>
      </c>
      <c r="AH19" s="3">
        <v>1.8690340033708794</v>
      </c>
      <c r="AI19" s="3">
        <v>1.9549968966574756</v>
      </c>
      <c r="AJ19" s="3">
        <v>1.9470114178150886</v>
      </c>
      <c r="AK19" s="3">
        <v>2.0115691962683724</v>
      </c>
      <c r="AL19" s="3">
        <v>2.6026738722647065</v>
      </c>
      <c r="AM19" s="3">
        <v>22.408065542149416</v>
      </c>
      <c r="AN19" s="3">
        <v>2.2474518376064676</v>
      </c>
      <c r="AO19" s="3">
        <v>1.7693040903763608</v>
      </c>
      <c r="AP19" s="3">
        <v>1.6766644789596614</v>
      </c>
      <c r="AQ19" s="3">
        <v>1.4241806088997413</v>
      </c>
      <c r="AR19" s="3">
        <v>2.1819290432128855</v>
      </c>
      <c r="AS19" s="3">
        <v>2.6755061476832389</v>
      </c>
      <c r="AT19" s="3">
        <v>2.9146468884119816</v>
      </c>
      <c r="AU19" s="3">
        <v>2.322203597040231</v>
      </c>
      <c r="AV19" s="3">
        <v>2.0233239261686826</v>
      </c>
      <c r="AW19" s="3">
        <v>1.9344793708629648</v>
      </c>
      <c r="AX19" s="3">
        <v>1.2684626249648356</v>
      </c>
      <c r="AY19" s="3">
        <v>1.2067351868682503</v>
      </c>
      <c r="AZ19" s="3">
        <v>1.8243320155013085</v>
      </c>
      <c r="BA19" s="3">
        <v>2.6659531143380191</v>
      </c>
      <c r="BB19" s="3">
        <v>2.2815177358704894</v>
      </c>
      <c r="BC19" s="3">
        <v>2.3201755359853786</v>
      </c>
      <c r="BD19" s="3">
        <v>2.5198832857662148</v>
      </c>
      <c r="BE19" s="3">
        <v>2.3276767340077535</v>
      </c>
      <c r="BF19" s="3">
        <v>1.8855038855835002</v>
      </c>
      <c r="BG19" s="3">
        <v>1.6264356144817635</v>
      </c>
      <c r="BH19" s="3">
        <v>2.5492500710479686</v>
      </c>
      <c r="BI19" s="3">
        <v>2.7029104013887504</v>
      </c>
      <c r="BJ19" s="3">
        <v>2.3532825816754688</v>
      </c>
      <c r="BK19" s="3">
        <v>1.4301337473392519</v>
      </c>
      <c r="BL19" s="3">
        <v>1.476794538262894</v>
      </c>
      <c r="BM19" s="3">
        <v>1.3155010381724606</v>
      </c>
      <c r="BN19" s="3">
        <v>0.78439258258049926</v>
      </c>
      <c r="BO19" s="3">
        <v>3.0137237369216363</v>
      </c>
      <c r="BP19" s="3">
        <v>2.8205647057618841</v>
      </c>
      <c r="BQ19" s="3">
        <v>2.1471081637225176</v>
      </c>
      <c r="BR19" s="3">
        <v>0.69240249659445341</v>
      </c>
      <c r="BS19" s="3">
        <v>4.0423691262495618</v>
      </c>
      <c r="BT19" s="3">
        <v>4.2370299697120002</v>
      </c>
      <c r="BU19" s="3">
        <v>3.8716495976245877</v>
      </c>
      <c r="BV19" s="3">
        <v>4.1451023483783187</v>
      </c>
      <c r="BW19" s="3">
        <v>5.350711875598881</v>
      </c>
      <c r="BX19" s="3">
        <v>4.8274151532163385</v>
      </c>
      <c r="BY19" s="3">
        <v>3.8386221730884458</v>
      </c>
      <c r="BZ19" s="3">
        <v>3.4183315035072015</v>
      </c>
      <c r="CA19" s="3">
        <v>-0.24270287417024061</v>
      </c>
    </row>
    <row r="20" spans="1:79" x14ac:dyDescent="0.2">
      <c r="A20" s="3" t="s">
        <v>181</v>
      </c>
      <c r="B20" s="3">
        <v>2.1294089327532117</v>
      </c>
      <c r="C20" s="3">
        <v>1.9202042590949597</v>
      </c>
      <c r="D20" s="3">
        <v>1.7774327166000103</v>
      </c>
      <c r="E20" s="3">
        <v>2.0063758683056951</v>
      </c>
      <c r="F20" s="3">
        <v>1.7025067305134365</v>
      </c>
      <c r="G20" s="3">
        <v>1.7379926572738171</v>
      </c>
      <c r="H20" s="3">
        <v>1.5930146350565082</v>
      </c>
      <c r="I20" s="3">
        <v>1.7941585856346625</v>
      </c>
      <c r="J20" s="3">
        <v>1.7098436660955423</v>
      </c>
      <c r="K20" s="3">
        <v>1.1585604149000603</v>
      </c>
      <c r="L20" s="3">
        <v>1.1002141187554149</v>
      </c>
      <c r="M20" s="3">
        <v>1.0618412465099223</v>
      </c>
      <c r="N20" s="3">
        <v>1.0513599266338098</v>
      </c>
      <c r="O20" s="3">
        <v>1.2533342144483812</v>
      </c>
      <c r="P20" s="3">
        <v>1.4321667782369323</v>
      </c>
      <c r="Q20" s="3">
        <v>1.4983294697664071</v>
      </c>
      <c r="R20" s="3">
        <v>1.0993948781333944</v>
      </c>
      <c r="S20" s="3">
        <v>0.67132313724654791</v>
      </c>
      <c r="T20" s="3">
        <v>0.59232853622544301</v>
      </c>
      <c r="U20" s="3">
        <v>0.67781948614119847</v>
      </c>
      <c r="V20" s="3">
        <v>0.78121412974870397</v>
      </c>
      <c r="W20" s="3">
        <v>0.77649555085752642</v>
      </c>
      <c r="X20" s="3">
        <v>0.67716929904164325</v>
      </c>
      <c r="Y20" s="3">
        <v>0.5120138212454195</v>
      </c>
      <c r="Z20" s="3">
        <v>0.39893995430939444</v>
      </c>
      <c r="AA20" s="3">
        <v>0.42549729105892836</v>
      </c>
      <c r="AB20" s="3">
        <v>0.40167051719083224</v>
      </c>
      <c r="AC20" s="3">
        <v>0.31707268152095441</v>
      </c>
      <c r="AD20" s="3">
        <v>0.47532785897139113</v>
      </c>
      <c r="AE20" s="3">
        <v>0.98691906280361263</v>
      </c>
      <c r="AF20" s="3">
        <v>0.60165742803629418</v>
      </c>
      <c r="AG20" s="3">
        <v>0.49593536561856577</v>
      </c>
      <c r="AH20" s="3">
        <v>0.86744409547254764</v>
      </c>
      <c r="AI20" s="3">
        <v>1.1138535105280236</v>
      </c>
      <c r="AJ20" s="3">
        <v>0.78095896709842083</v>
      </c>
      <c r="AK20" s="3">
        <v>0.67013286331966682</v>
      </c>
      <c r="AL20" s="3">
        <v>1.2121867563304543</v>
      </c>
      <c r="AM20" s="3">
        <v>1.5028014692587099</v>
      </c>
      <c r="AN20" s="3">
        <v>1.4441116719571463</v>
      </c>
      <c r="AO20" s="3">
        <v>1.0057299976862966</v>
      </c>
      <c r="AP20" s="3">
        <v>0.92946533635617246</v>
      </c>
      <c r="AQ20" s="3">
        <v>0.84638973765683689</v>
      </c>
      <c r="AR20" s="3">
        <v>0.89160677722011361</v>
      </c>
      <c r="AS20" s="3">
        <v>0.95524991011409233</v>
      </c>
      <c r="AT20" s="3">
        <v>1.4058496718431155</v>
      </c>
      <c r="AU20" s="3">
        <v>1.3672074178601261</v>
      </c>
      <c r="AV20" s="3">
        <v>1.3373370801653384</v>
      </c>
      <c r="AW20" s="3">
        <v>1.479858678649812</v>
      </c>
      <c r="AX20" s="3">
        <v>2.7274849409545903</v>
      </c>
      <c r="AY20" s="3">
        <v>1.1982932087330429</v>
      </c>
      <c r="AZ20" s="3">
        <v>0.76659771228348661</v>
      </c>
      <c r="BA20" s="3">
        <v>0.8223332045499101</v>
      </c>
      <c r="BB20" s="3">
        <v>0.53634264625463091</v>
      </c>
      <c r="BC20" s="3">
        <v>0.3979194310013191</v>
      </c>
      <c r="BD20" s="3">
        <v>0.65473291202010497</v>
      </c>
      <c r="BE20" s="3">
        <v>0.80319138818834901</v>
      </c>
      <c r="BF20" s="3">
        <v>0.62855774357892513</v>
      </c>
      <c r="BG20" s="3">
        <v>8.3527456450960589</v>
      </c>
      <c r="BH20" s="3">
        <v>0.32868390379480439</v>
      </c>
      <c r="BI20" s="3">
        <v>0.38069635173771277</v>
      </c>
      <c r="BJ20" s="3">
        <v>0.38725709579970319</v>
      </c>
      <c r="BK20" s="3">
        <v>0.31293007075318263</v>
      </c>
      <c r="BL20" s="3">
        <v>0.68213028285350974</v>
      </c>
      <c r="BM20" s="3">
        <v>0.87981399649764802</v>
      </c>
      <c r="BN20" s="3">
        <v>0.62713694634668515</v>
      </c>
      <c r="BO20" s="3">
        <v>0.40342733466228686</v>
      </c>
      <c r="BP20" s="3">
        <v>0.29349076426529758</v>
      </c>
      <c r="BQ20" s="3">
        <v>0.1833252419289782</v>
      </c>
      <c r="BR20" s="3">
        <v>-0.39142272580613191</v>
      </c>
      <c r="BS20" s="3">
        <v>3.8402421031327868E-3</v>
      </c>
      <c r="BT20" s="3">
        <v>0.59874089944937448</v>
      </c>
      <c r="BU20" s="3">
        <v>1.0116810170527823</v>
      </c>
      <c r="BV20" s="3">
        <v>1.1359282995042344</v>
      </c>
      <c r="BW20" s="3">
        <v>1.3750836152317891</v>
      </c>
      <c r="BX20" s="3">
        <v>1.1271609818101256</v>
      </c>
      <c r="BY20" s="3">
        <v>0.84543734836214046</v>
      </c>
      <c r="BZ20" s="3">
        <v>0.77181552018063848</v>
      </c>
      <c r="CA20" s="3">
        <v>-0.71918025848817058</v>
      </c>
    </row>
    <row r="21" spans="1:79" x14ac:dyDescent="0.2">
      <c r="A21" s="3" t="s">
        <v>180</v>
      </c>
      <c r="B21" s="3">
        <v>1.2296495949788186</v>
      </c>
      <c r="C21" s="3">
        <v>0.6879863800444056</v>
      </c>
      <c r="D21" s="3">
        <v>0.61452203583649523</v>
      </c>
      <c r="E21" s="3">
        <v>0.74826293869042959</v>
      </c>
      <c r="F21" s="3">
        <v>0.70920874213796348</v>
      </c>
      <c r="G21" s="3">
        <v>0.98188960138856585</v>
      </c>
      <c r="H21" s="3">
        <v>0.83234684256010871</v>
      </c>
      <c r="I21" s="3">
        <v>0.80990347652207617</v>
      </c>
      <c r="J21" s="3">
        <v>0.63535571260566515</v>
      </c>
      <c r="K21" s="3">
        <v>0.72987202100848558</v>
      </c>
      <c r="L21" s="3">
        <v>0.53394107324144613</v>
      </c>
      <c r="M21" s="3">
        <v>0.54802468480990663</v>
      </c>
      <c r="N21" s="3">
        <v>0.63771892125322649</v>
      </c>
      <c r="O21" s="3">
        <v>0.97181248088968186</v>
      </c>
      <c r="P21" s="3">
        <v>1.0925656564251842</v>
      </c>
      <c r="Q21" s="3">
        <v>1.2159619361623888</v>
      </c>
      <c r="R21" s="3">
        <v>1.245380870431249</v>
      </c>
      <c r="S21" s="3">
        <v>0.51245246763823826</v>
      </c>
      <c r="T21" s="3">
        <v>0.59284185047759419</v>
      </c>
      <c r="U21" s="3">
        <v>0.59568516787143166</v>
      </c>
      <c r="V21" s="3">
        <v>0.4615583734372718</v>
      </c>
      <c r="W21" s="3">
        <v>0.30251075822201273</v>
      </c>
      <c r="X21" s="3">
        <v>0.41381889643035213</v>
      </c>
      <c r="Y21" s="3">
        <v>0.45282460076831632</v>
      </c>
      <c r="Z21" s="3">
        <v>0.32776878532455578</v>
      </c>
      <c r="AA21" s="3">
        <v>0.20978335623702471</v>
      </c>
      <c r="AB21" s="3">
        <v>0.12521469266889271</v>
      </c>
      <c r="AC21" s="3">
        <v>8.679991771250431E-2</v>
      </c>
      <c r="AD21" s="3">
        <v>7.4939760881308826E-2</v>
      </c>
      <c r="AE21" s="3">
        <v>0.4236849372672179</v>
      </c>
      <c r="AF21" s="3">
        <v>0.22496027981380748</v>
      </c>
      <c r="AG21" s="3">
        <v>0.13521578008183438</v>
      </c>
      <c r="AH21" s="3">
        <v>0.11685443550082598</v>
      </c>
      <c r="AI21" s="3">
        <v>0.24740188648514211</v>
      </c>
      <c r="AJ21" s="3">
        <v>0.20595660303502883</v>
      </c>
      <c r="AK21" s="3">
        <v>0.16821378634366016</v>
      </c>
      <c r="AL21" s="3">
        <v>0.57791799277609157</v>
      </c>
      <c r="AM21" s="3">
        <v>0.79804884678711563</v>
      </c>
      <c r="AN21" s="3">
        <v>0.60217374961577408</v>
      </c>
      <c r="AO21" s="3">
        <v>0.42270482297342266</v>
      </c>
      <c r="AP21" s="3">
        <v>0.53231355460275764</v>
      </c>
      <c r="AQ21" s="3">
        <v>0.54985861768079003</v>
      </c>
      <c r="AR21" s="3">
        <v>0.5013114316423638</v>
      </c>
      <c r="AS21" s="3">
        <v>0.60475392241047654</v>
      </c>
      <c r="AT21" s="3">
        <v>1.0996415988518824</v>
      </c>
      <c r="AU21" s="3">
        <v>1.1240640585332344</v>
      </c>
      <c r="AV21" s="3">
        <v>0.96205194450508025</v>
      </c>
      <c r="AW21" s="3">
        <v>0.65505459723126747</v>
      </c>
      <c r="AX21" s="3">
        <v>0.40582921598018667</v>
      </c>
      <c r="AY21" s="3">
        <v>0.32299161402057958</v>
      </c>
      <c r="AZ21" s="3">
        <v>0.44671583733243714</v>
      </c>
      <c r="BA21" s="3">
        <v>0.48377436818421216</v>
      </c>
      <c r="BB21" s="3">
        <v>0.43885639396678272</v>
      </c>
      <c r="BC21" s="3">
        <v>0.39690805632162407</v>
      </c>
      <c r="BD21" s="3">
        <v>0.58270186872207341</v>
      </c>
      <c r="BE21" s="3">
        <v>0.73459558829613303</v>
      </c>
      <c r="BF21" s="3">
        <v>1.6587563365990869</v>
      </c>
      <c r="BG21" s="3">
        <v>0.57928569940991148</v>
      </c>
      <c r="BH21" s="3">
        <v>0.15804711921588038</v>
      </c>
      <c r="BI21" s="3">
        <v>0.29261777116985038</v>
      </c>
      <c r="BJ21" s="3">
        <v>0.22010933133222724</v>
      </c>
      <c r="BK21" s="3">
        <v>0.1734128677027412</v>
      </c>
      <c r="BL21" s="3">
        <v>0.31331176597997756</v>
      </c>
      <c r="BM21" s="3">
        <v>0.47995324693977043</v>
      </c>
      <c r="BN21" s="3">
        <v>0.42128064964719264</v>
      </c>
      <c r="BO21" s="3">
        <v>7.3920955652081366</v>
      </c>
      <c r="BP21" s="3">
        <v>0.1153491121138535</v>
      </c>
      <c r="BQ21" s="3">
        <v>-7.8524972411691915E-2</v>
      </c>
      <c r="BR21" s="3">
        <v>-0.47679290828963106</v>
      </c>
      <c r="BS21" s="3">
        <v>-0.20984358842513043</v>
      </c>
      <c r="BT21" s="3">
        <v>0.37754311790377193</v>
      </c>
      <c r="BU21" s="3">
        <v>0.53057619648983634</v>
      </c>
      <c r="BV21" s="3">
        <v>0.52388948182753525</v>
      </c>
      <c r="BW21" s="3">
        <v>0.40241197509320742</v>
      </c>
      <c r="BX21" s="3">
        <v>0.23718470510034545</v>
      </c>
      <c r="BY21" s="3">
        <v>0.13830997508904488</v>
      </c>
      <c r="BZ21" s="3">
        <v>-6.4468450978629631E-3</v>
      </c>
      <c r="CA21" s="3">
        <v>-0.83049356851943146</v>
      </c>
    </row>
    <row r="22" spans="1:79" x14ac:dyDescent="0.2">
      <c r="A22" s="3" t="s">
        <v>179</v>
      </c>
      <c r="B22" s="3">
        <v>5.0192772262810754</v>
      </c>
      <c r="C22" s="3">
        <v>4.1264629936876318</v>
      </c>
      <c r="D22" s="3">
        <v>2.6131716467501356</v>
      </c>
      <c r="E22" s="3">
        <v>3.475713278298699</v>
      </c>
      <c r="F22" s="3">
        <v>3.0105454518826926</v>
      </c>
      <c r="G22" s="3">
        <v>3.0364397884791461</v>
      </c>
      <c r="H22" s="3">
        <v>3.2965957581968919</v>
      </c>
      <c r="I22" s="3">
        <v>3.6199223017305973</v>
      </c>
      <c r="J22" s="3">
        <v>3.5994068043009548</v>
      </c>
      <c r="K22" s="3">
        <v>2.9336452875599326</v>
      </c>
      <c r="L22" s="3">
        <v>2.0754494529389853</v>
      </c>
      <c r="M22" s="3">
        <v>1.2228165371936903</v>
      </c>
      <c r="N22" s="3">
        <v>4.2358274331517052</v>
      </c>
      <c r="O22" s="3">
        <v>4.698422967929095</v>
      </c>
      <c r="P22" s="3">
        <v>4.3839368161647645</v>
      </c>
      <c r="Q22" s="3">
        <v>3.8410386515561639</v>
      </c>
      <c r="R22" s="3">
        <v>5.5206686751464691</v>
      </c>
      <c r="S22" s="3">
        <v>4.1893719914174792</v>
      </c>
      <c r="T22" s="3">
        <v>4.7691812247572392</v>
      </c>
      <c r="U22" s="3">
        <v>1.9701922866315873</v>
      </c>
      <c r="V22" s="3">
        <v>3.0309209343466361</v>
      </c>
      <c r="W22" s="3">
        <v>2.6692050467738127</v>
      </c>
      <c r="X22" s="3">
        <v>1.9708946380094898</v>
      </c>
      <c r="Y22" s="3">
        <v>2.4778912504404595</v>
      </c>
      <c r="Z22" s="3">
        <v>3.4058200031310437</v>
      </c>
      <c r="AA22" s="3">
        <v>2.2067471468911588</v>
      </c>
      <c r="AB22" s="3">
        <v>2.0551164717610595</v>
      </c>
      <c r="AC22" s="3">
        <v>3.8284784122939111</v>
      </c>
      <c r="AD22" s="3">
        <v>4.6603499920663447</v>
      </c>
      <c r="AE22" s="3">
        <v>1.9392728097074432</v>
      </c>
      <c r="AF22" s="3">
        <v>0.54347320794284559</v>
      </c>
      <c r="AG22" s="3">
        <v>2.1370322958020935</v>
      </c>
      <c r="AH22" s="3">
        <v>1.9544459331398134</v>
      </c>
      <c r="AI22" s="3">
        <v>2.4279632116761132</v>
      </c>
      <c r="AJ22" s="3">
        <v>1.4262818011844642</v>
      </c>
      <c r="AK22" s="3">
        <v>2.0702821932489464</v>
      </c>
      <c r="AL22" s="3">
        <v>3.2177156210764695</v>
      </c>
      <c r="AM22" s="3">
        <v>2.1784163389948499</v>
      </c>
      <c r="AN22" s="3">
        <v>1.5395445594166981</v>
      </c>
      <c r="AO22" s="3">
        <v>1.3234251362564851</v>
      </c>
      <c r="AP22" s="3">
        <v>1.5558425156965925</v>
      </c>
      <c r="AQ22" s="3">
        <v>1.5871283488613201</v>
      </c>
      <c r="AR22" s="3">
        <v>2.2163840780808926</v>
      </c>
      <c r="AS22" s="3">
        <v>3.1962185254141811</v>
      </c>
      <c r="AT22" s="3">
        <v>3.2575082132318705</v>
      </c>
      <c r="AU22" s="3">
        <v>2.2378899818741456</v>
      </c>
      <c r="AV22" s="3">
        <v>1.3684810270777463</v>
      </c>
      <c r="AW22" s="3">
        <v>1.2162854034449773</v>
      </c>
      <c r="AX22" s="3">
        <v>1.5532218254512815</v>
      </c>
      <c r="AY22" s="3">
        <v>1.3804407846163593</v>
      </c>
      <c r="AZ22" s="3">
        <v>2.0689795264659092</v>
      </c>
      <c r="BA22" s="3">
        <v>2.0615380774478558</v>
      </c>
      <c r="BB22" s="3">
        <v>2.5553224238410102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</row>
    <row r="23" spans="1:79" x14ac:dyDescent="0.2">
      <c r="A23" s="3" t="s">
        <v>178</v>
      </c>
      <c r="B23" s="3">
        <v>2.2109983549552137</v>
      </c>
      <c r="C23" s="3">
        <v>1.8621366391162868</v>
      </c>
      <c r="D23" s="3">
        <v>1.2445986077471496</v>
      </c>
      <c r="E23" s="3">
        <v>1.9183957642128415</v>
      </c>
      <c r="F23" s="3">
        <v>2.081605498459155</v>
      </c>
      <c r="G23" s="3">
        <v>2.0563374367070022</v>
      </c>
      <c r="H23" s="3">
        <v>1.7657856901678264</v>
      </c>
      <c r="I23" s="3">
        <v>2.207247122633984</v>
      </c>
      <c r="J23" s="3">
        <v>1.8579880913188267</v>
      </c>
      <c r="K23" s="3">
        <v>1.1349770347952659</v>
      </c>
      <c r="L23" s="3">
        <v>2.1319106089464817</v>
      </c>
      <c r="M23" s="3">
        <v>0.28882500676670414</v>
      </c>
      <c r="N23" s="3">
        <v>1.3970243620287284</v>
      </c>
      <c r="O23" s="3">
        <v>1.3851894627103052</v>
      </c>
      <c r="P23" s="3">
        <v>2.5340649697860869</v>
      </c>
      <c r="Q23" s="3">
        <v>2.2772370354545211</v>
      </c>
      <c r="R23" s="3">
        <v>1.3115499863057798</v>
      </c>
      <c r="S23" s="3">
        <v>1.0418983614370338</v>
      </c>
      <c r="T23" s="3">
        <v>1.521217560770068</v>
      </c>
      <c r="U23" s="3">
        <v>0.75708507049137064</v>
      </c>
      <c r="V23" s="3">
        <v>0.87458122393371063</v>
      </c>
      <c r="W23" s="3">
        <v>0.79113146578161908</v>
      </c>
      <c r="X23" s="3">
        <v>0.60971838540726453</v>
      </c>
      <c r="Y23" s="3">
        <v>0.53362108497505378</v>
      </c>
      <c r="Z23" s="3">
        <v>0.30144674712192093</v>
      </c>
      <c r="AA23" s="3">
        <v>0.32067871171585632</v>
      </c>
      <c r="AB23" s="3">
        <v>0.5534810862139421</v>
      </c>
      <c r="AC23" s="3">
        <v>0.44046346448553036</v>
      </c>
      <c r="AD23" s="3">
        <v>0.60931629430917089</v>
      </c>
      <c r="AE23" s="3">
        <v>0.84247662782806021</v>
      </c>
      <c r="AF23" s="3">
        <v>-1.8027703551375954E-2</v>
      </c>
      <c r="AG23" s="3">
        <v>0.72468451925068234</v>
      </c>
      <c r="AH23" s="3">
        <v>1.1843029700041712</v>
      </c>
      <c r="AI23" s="3">
        <v>1.3890860902319859</v>
      </c>
      <c r="AJ23" s="3">
        <v>0.52344024860715765</v>
      </c>
      <c r="AK23" s="3">
        <v>0.47717073839450208</v>
      </c>
      <c r="AL23" s="3">
        <v>1.8209074922785997</v>
      </c>
      <c r="AM23" s="3">
        <v>1.5414448091164226</v>
      </c>
      <c r="AN23" s="3">
        <v>1.288252039223116</v>
      </c>
      <c r="AO23" s="3">
        <v>0.69040892584726699</v>
      </c>
      <c r="AP23" s="3">
        <v>1.1503047629421783</v>
      </c>
      <c r="AQ23" s="3">
        <v>1.0485403315566422</v>
      </c>
      <c r="AR23" s="3">
        <v>0.84559899727916876</v>
      </c>
      <c r="AS23" s="3">
        <v>1.2677643679481829</v>
      </c>
      <c r="AT23" s="3">
        <v>2.3853248416612325</v>
      </c>
      <c r="AU23" s="3">
        <v>1.4281054267353783</v>
      </c>
      <c r="AV23" s="3">
        <v>0.96662611400491527</v>
      </c>
      <c r="AW23" s="3">
        <v>2.3520311561796041</v>
      </c>
      <c r="AX23" s="3">
        <v>2.5172389741422188</v>
      </c>
      <c r="AY23" s="3">
        <v>0.59528363362324088</v>
      </c>
      <c r="AZ23" s="3">
        <v>0.5718093204104957</v>
      </c>
      <c r="BA23" s="3">
        <v>0.81890210110138228</v>
      </c>
      <c r="BB23" s="3">
        <v>0.35258065099557667</v>
      </c>
      <c r="BC23" s="3">
        <v>0.43484289900296136</v>
      </c>
      <c r="BD23" s="3">
        <v>0.59263338578769431</v>
      </c>
      <c r="BE23" s="3">
        <v>1.0784883652555661</v>
      </c>
      <c r="BF23" s="3">
        <v>0.49516268527813101</v>
      </c>
      <c r="BG23" s="3">
        <v>0.25063362682264245</v>
      </c>
      <c r="BH23" s="3">
        <v>0.10981854965543841</v>
      </c>
      <c r="BI23" s="3">
        <v>0.37447519397824858</v>
      </c>
      <c r="BJ23" s="3">
        <v>0.18859547713577715</v>
      </c>
      <c r="BK23" s="3">
        <v>0.26291306497998823</v>
      </c>
      <c r="BL23" s="3">
        <v>0.74273180838447106</v>
      </c>
      <c r="BM23" s="3">
        <v>0.8503767784352374</v>
      </c>
      <c r="BN23" s="3">
        <v>0.25763653781084217</v>
      </c>
      <c r="BO23" s="3">
        <v>0.33350469309215047</v>
      </c>
      <c r="BP23" s="3">
        <v>0.20433722008016966</v>
      </c>
      <c r="BQ23" s="3">
        <v>-0.33882314925409751</v>
      </c>
      <c r="BR23" s="3">
        <v>-0.27408349440516505</v>
      </c>
      <c r="BS23" s="3">
        <v>0.49217401498055463</v>
      </c>
      <c r="BT23" s="3">
        <v>0.95251388741250798</v>
      </c>
      <c r="BU23" s="3">
        <v>0.68317914174382011</v>
      </c>
      <c r="BV23" s="3">
        <v>1.6285474520311152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</row>
    <row r="24" spans="1:79" x14ac:dyDescent="0.2">
      <c r="A24" s="3" t="s">
        <v>177</v>
      </c>
      <c r="B24" s="3">
        <v>0.89873948544203419</v>
      </c>
      <c r="C24" s="3">
        <v>0.52330582234226208</v>
      </c>
      <c r="D24" s="3">
        <v>3.4255233276450942E-2</v>
      </c>
      <c r="E24" s="3">
        <v>0.46695903983131248</v>
      </c>
      <c r="F24" s="3">
        <v>0.6810676780121574</v>
      </c>
      <c r="G24" s="3">
        <v>0.64013475533281217</v>
      </c>
      <c r="H24" s="3">
        <v>0.23015700657772337</v>
      </c>
      <c r="I24" s="3">
        <v>1.0149900650682508</v>
      </c>
      <c r="J24" s="3">
        <v>0.91527548334325415</v>
      </c>
      <c r="K24" s="3">
        <v>0.56023601997226669</v>
      </c>
      <c r="L24" s="3">
        <v>0.54943483375545765</v>
      </c>
      <c r="M24" s="3">
        <v>-1.8080888608791569E-2</v>
      </c>
      <c r="N24" s="3">
        <v>0.89757671232447012</v>
      </c>
      <c r="O24" s="3">
        <v>1.3989554334704739</v>
      </c>
      <c r="P24" s="3">
        <v>1.9115450336199271</v>
      </c>
      <c r="Q24" s="3">
        <v>1.8775865884600711</v>
      </c>
      <c r="R24" s="3">
        <v>1.4377904250840521</v>
      </c>
      <c r="S24" s="3">
        <v>0.99712734723190333</v>
      </c>
      <c r="T24" s="3">
        <v>2.387516923713811</v>
      </c>
      <c r="U24" s="3">
        <v>0.44436033712928452</v>
      </c>
      <c r="V24" s="3">
        <v>0.41741735766598637</v>
      </c>
      <c r="W24" s="3">
        <v>0.2694617532508371</v>
      </c>
      <c r="X24" s="3">
        <v>0.62840927421264225</v>
      </c>
      <c r="Y24" s="3">
        <v>0.64733397498152334</v>
      </c>
      <c r="Z24" s="3">
        <v>0.26098943230438842</v>
      </c>
      <c r="AA24" s="3">
        <v>9.5752199750008399E-2</v>
      </c>
      <c r="AB24" s="3">
        <v>0.12137880332293551</v>
      </c>
      <c r="AC24" s="3">
        <v>0.10390899894616799</v>
      </c>
      <c r="AD24" s="3">
        <v>0.25624717284215631</v>
      </c>
      <c r="AE24" s="3">
        <v>0.30895451514128025</v>
      </c>
      <c r="AF24" s="3">
        <v>-0.20363188790832151</v>
      </c>
      <c r="AG24" s="3">
        <v>0.16842228003271034</v>
      </c>
      <c r="AH24" s="3">
        <v>3.0275319179001611E-2</v>
      </c>
      <c r="AI24" s="3">
        <v>0.32830092572161468</v>
      </c>
      <c r="AJ24" s="3">
        <v>0.27983785812021056</v>
      </c>
      <c r="AK24" s="3">
        <v>0.26480272916707509</v>
      </c>
      <c r="AL24" s="3">
        <v>0.69720571756637484</v>
      </c>
      <c r="AM24" s="3">
        <v>0.80207816880826011</v>
      </c>
      <c r="AN24" s="3">
        <v>0.3193814863885906</v>
      </c>
      <c r="AO24" s="3">
        <v>0.41772641262607985</v>
      </c>
      <c r="AP24" s="3">
        <v>0.65160565173502583</v>
      </c>
      <c r="AQ24" s="3">
        <v>0.69326120093010546</v>
      </c>
      <c r="AR24" s="3">
        <v>0.54112933792022355</v>
      </c>
      <c r="AS24" s="3">
        <v>0.58669802342042598</v>
      </c>
      <c r="AT24" s="3">
        <v>1.7332155888345011</v>
      </c>
      <c r="AU24" s="3">
        <v>1.1086080326944103</v>
      </c>
      <c r="AV24" s="3">
        <v>0.65177249740387322</v>
      </c>
      <c r="AW24" s="3">
        <v>0.2954564077112477</v>
      </c>
      <c r="AX24" s="3">
        <v>0.67854777134082533</v>
      </c>
      <c r="AY24" s="3">
        <v>0.4553487821449394</v>
      </c>
      <c r="AZ24" s="3">
        <v>0.49675932249520843</v>
      </c>
      <c r="BA24" s="3">
        <v>0.53634266661485597</v>
      </c>
      <c r="BB24" s="3">
        <v>0.59676413009705764</v>
      </c>
      <c r="BC24" s="3">
        <v>0.34999517148798082</v>
      </c>
      <c r="BD24" s="3">
        <v>0.65215705425435488</v>
      </c>
      <c r="BE24" s="3">
        <v>1.8701205922864423</v>
      </c>
      <c r="BF24" s="3">
        <v>1.1161552136328985</v>
      </c>
      <c r="BG24" s="3">
        <v>0.13117774539004853</v>
      </c>
      <c r="BH24" s="3">
        <v>-9.3711670770881911E-2</v>
      </c>
      <c r="BI24" s="3">
        <v>0.52549215239147118</v>
      </c>
      <c r="BJ24" s="3">
        <v>3.8889875570538072E-2</v>
      </c>
      <c r="BK24" s="3">
        <v>0.18599754805199001</v>
      </c>
      <c r="BL24" s="3">
        <v>0.32989562684367241</v>
      </c>
      <c r="BM24" s="3">
        <v>0.4542663371315106</v>
      </c>
      <c r="BN24" s="3">
        <v>0.20715209038565421</v>
      </c>
      <c r="BO24" s="3">
        <v>8.6071503502045232E-2</v>
      </c>
      <c r="BP24" s="3">
        <v>-6.7861580615151768E-2</v>
      </c>
      <c r="BQ24" s="3">
        <v>-0.46880783193296854</v>
      </c>
      <c r="BR24" s="3">
        <v>-0.43276123577624959</v>
      </c>
      <c r="BS24" s="3">
        <v>0.15213304539400499</v>
      </c>
      <c r="BT24" s="3">
        <v>0.65952068545258669</v>
      </c>
      <c r="BU24" s="3">
        <v>0.56292787407415612</v>
      </c>
      <c r="BV24" s="3">
        <v>0.48467960915875319</v>
      </c>
      <c r="BW24" s="3">
        <v>0.2546494798015162</v>
      </c>
      <c r="BX24" s="3">
        <v>0.24934856421613127</v>
      </c>
      <c r="BY24" s="3">
        <v>-8.700124273460498E-2</v>
      </c>
      <c r="BZ24" s="3">
        <v>2.7414617220017971E-2</v>
      </c>
      <c r="CA24" s="3">
        <v>0.34964709231722135</v>
      </c>
    </row>
    <row r="25" spans="1:79" x14ac:dyDescent="0.2">
      <c r="A25" s="3" t="s">
        <v>176</v>
      </c>
      <c r="B25" s="3">
        <v>7.8373007067861904</v>
      </c>
      <c r="C25" s="3">
        <v>6.3859469793066665</v>
      </c>
      <c r="D25" s="3">
        <v>5.0047453339737142</v>
      </c>
      <c r="E25" s="3">
        <v>4.0153365972488499</v>
      </c>
      <c r="F25" s="3">
        <v>3.5779145220328101</v>
      </c>
      <c r="G25" s="3">
        <v>4.1117597306323246</v>
      </c>
      <c r="H25" s="3">
        <v>3.2616839798413317</v>
      </c>
      <c r="I25" s="3">
        <v>3.1516913952035801</v>
      </c>
      <c r="J25" s="3">
        <v>3.7105982912168058</v>
      </c>
      <c r="K25" s="3">
        <v>4.8728171187677427</v>
      </c>
      <c r="L25" s="3">
        <v>3.06129776591811</v>
      </c>
      <c r="M25" s="3">
        <v>2.5089791533509254</v>
      </c>
      <c r="N25" s="3">
        <v>4.2293542069994352</v>
      </c>
      <c r="O25" s="3">
        <v>5.5481628810331065</v>
      </c>
      <c r="P25" s="3">
        <v>4.6862068216476178</v>
      </c>
      <c r="Q25" s="3">
        <v>4.6628256838557034</v>
      </c>
      <c r="R25" s="3">
        <v>5.0504070626728215</v>
      </c>
      <c r="S25" s="3">
        <v>4.1286393570282707</v>
      </c>
      <c r="T25" s="3">
        <v>4.1378475380396527</v>
      </c>
      <c r="U25" s="3">
        <v>2.7347727395697903</v>
      </c>
      <c r="V25" s="3">
        <v>2.8479264789669085</v>
      </c>
      <c r="W25" s="3">
        <v>2.3278483473660936</v>
      </c>
      <c r="X25" s="3">
        <v>1.9225346893245099</v>
      </c>
      <c r="Y25" s="3">
        <v>1.9963019382140981</v>
      </c>
      <c r="Z25" s="3">
        <v>2.4716123019183684</v>
      </c>
      <c r="AA25" s="3">
        <v>2.4797257455024777</v>
      </c>
      <c r="AB25" s="3">
        <v>2.3265456660219277</v>
      </c>
      <c r="AC25" s="3">
        <v>1.7466622209460765</v>
      </c>
      <c r="AD25" s="3">
        <v>38.115475923661755</v>
      </c>
      <c r="AE25" s="3">
        <v>6.7021401636559306</v>
      </c>
      <c r="AF25" s="3">
        <v>1.9441077198629486</v>
      </c>
      <c r="AG25" s="3">
        <v>1.513930644808843</v>
      </c>
      <c r="AH25" s="3">
        <v>2.229131202629576</v>
      </c>
      <c r="AI25" s="3">
        <v>1.9409817838699324</v>
      </c>
      <c r="AJ25" s="3">
        <v>2.0782631555946343</v>
      </c>
      <c r="AK25" s="3">
        <v>1.6684668992141227</v>
      </c>
      <c r="AL25" s="3">
        <v>3.6470829699078093</v>
      </c>
      <c r="AM25" s="3">
        <v>2.5298056522360652</v>
      </c>
      <c r="AN25" s="3">
        <v>2.0638586345704666</v>
      </c>
      <c r="AO25" s="3">
        <v>1.1863466597364143</v>
      </c>
      <c r="AP25" s="3">
        <v>1.0341218945092183</v>
      </c>
      <c r="AQ25" s="3">
        <v>1.0195341685828303</v>
      </c>
      <c r="AR25" s="3">
        <v>2.1898322560843666</v>
      </c>
      <c r="AS25" s="3">
        <v>3.5062342462646074</v>
      </c>
      <c r="AT25" s="3">
        <v>3.6088048090422848</v>
      </c>
      <c r="AU25" s="3">
        <v>2.0824703247767933</v>
      </c>
      <c r="AV25" s="3">
        <v>1.7466206573374068</v>
      </c>
      <c r="AW25" s="3">
        <v>1.776020835268854</v>
      </c>
      <c r="AX25" s="3">
        <v>1.2438656135199113</v>
      </c>
      <c r="AY25" s="3">
        <v>1.2868528965909281</v>
      </c>
      <c r="AZ25" s="3">
        <v>2.2627131419972351</v>
      </c>
      <c r="BA25" s="3">
        <v>5.8058282632880172</v>
      </c>
      <c r="BB25" s="3">
        <v>7.8591116459904473</v>
      </c>
      <c r="BC25" s="3">
        <v>6.896593485275675</v>
      </c>
      <c r="BD25" s="3">
        <v>8.2243709395161186</v>
      </c>
      <c r="BE25" s="3">
        <v>7.1714278186700975</v>
      </c>
      <c r="BF25" s="3">
        <v>5.8671323867557135</v>
      </c>
      <c r="BG25" s="3">
        <v>6.7537857048959067</v>
      </c>
      <c r="BH25" s="3">
        <v>7.8059027067854743</v>
      </c>
      <c r="BI25" s="3">
        <v>9.4706994070806267</v>
      </c>
      <c r="BJ25" s="3">
        <v>9.034418176190151</v>
      </c>
      <c r="BK25" s="3">
        <v>1.293462687388075</v>
      </c>
      <c r="BL25" s="3">
        <v>1.6439760864508706</v>
      </c>
      <c r="BM25" s="3">
        <v>1.2684235362952114</v>
      </c>
      <c r="BN25" s="3">
        <v>0.66333104854754976</v>
      </c>
      <c r="BO25" s="3">
        <v>3.2354758621485544</v>
      </c>
      <c r="BP25" s="3">
        <v>2.8610890883490265</v>
      </c>
      <c r="BQ25" s="3">
        <v>2.0836580874482644</v>
      </c>
      <c r="BR25" s="3">
        <v>-0.80129529752279827</v>
      </c>
      <c r="BS25" s="3">
        <v>2.2428390878420794</v>
      </c>
      <c r="BT25" s="3">
        <v>4.659896981248532</v>
      </c>
      <c r="BU25" s="3">
        <v>4.3819614335848716</v>
      </c>
      <c r="BV25" s="3">
        <v>4.4402960797403468</v>
      </c>
      <c r="BW25" s="3">
        <v>4.6878622692409753</v>
      </c>
      <c r="BX25" s="3">
        <v>3.8670059012163644</v>
      </c>
      <c r="BY25" s="3">
        <v>3.1396757951268635</v>
      </c>
      <c r="BZ25" s="3">
        <v>2.1383726823035789</v>
      </c>
      <c r="CA25" s="3">
        <v>3.5748125894549116</v>
      </c>
    </row>
    <row r="26" spans="1:79" x14ac:dyDescent="0.2">
      <c r="A26" s="3" t="s">
        <v>175</v>
      </c>
      <c r="B26" s="3">
        <v>3.0982999027397282</v>
      </c>
      <c r="C26" s="3">
        <v>2.7639181491568272</v>
      </c>
      <c r="D26" s="3">
        <v>2.2942442251554267</v>
      </c>
      <c r="E26" s="3">
        <v>2.296626483427727</v>
      </c>
      <c r="F26" s="3">
        <v>2.0910705640798661</v>
      </c>
      <c r="G26" s="3">
        <v>2.1011913172730075</v>
      </c>
      <c r="H26" s="3">
        <v>2.2186866711942161</v>
      </c>
      <c r="I26" s="3">
        <v>2.7124173356982868</v>
      </c>
      <c r="J26" s="3">
        <v>2.6729175991657583</v>
      </c>
      <c r="K26" s="3">
        <v>1.3873463141088518</v>
      </c>
      <c r="L26" s="3">
        <v>1.3689817038352134</v>
      </c>
      <c r="M26" s="3">
        <v>1.514946217438953</v>
      </c>
      <c r="N26" s="3">
        <v>1.305482499770324</v>
      </c>
      <c r="O26" s="3">
        <v>1.6914045578943602</v>
      </c>
      <c r="P26" s="3">
        <v>2.1234855621620823</v>
      </c>
      <c r="Q26" s="3">
        <v>2.576827393025158</v>
      </c>
      <c r="R26" s="3">
        <v>1.3135927159215908</v>
      </c>
      <c r="S26" s="3">
        <v>0.65922737535353615</v>
      </c>
      <c r="T26" s="3">
        <v>0.61492157385247759</v>
      </c>
      <c r="U26" s="3">
        <v>0.85306522447884214</v>
      </c>
      <c r="V26" s="3">
        <v>1.1563333373622617</v>
      </c>
      <c r="W26" s="3">
        <v>0.96230276180719498</v>
      </c>
      <c r="X26" s="3">
        <v>0.8227990772877205</v>
      </c>
      <c r="Y26" s="3">
        <v>0.52135421542632976</v>
      </c>
      <c r="Z26" s="3">
        <v>0.48101262236811476</v>
      </c>
      <c r="AA26" s="3">
        <v>0.64832130870509619</v>
      </c>
      <c r="AB26" s="3">
        <v>0.32404437436593869</v>
      </c>
      <c r="AC26" s="3">
        <v>0.11832561368606687</v>
      </c>
      <c r="AD26" s="3">
        <v>0.28252218135433782</v>
      </c>
      <c r="AE26" s="3">
        <v>1.4599770398036898</v>
      </c>
      <c r="AF26" s="3">
        <v>0.71436434453805897</v>
      </c>
      <c r="AG26" s="3">
        <v>0.39525017633348292</v>
      </c>
      <c r="AH26" s="3">
        <v>1.2682255048652038</v>
      </c>
      <c r="AI26" s="3">
        <v>1.4329909310089408</v>
      </c>
      <c r="AJ26" s="3">
        <v>0.82046841852907915</v>
      </c>
      <c r="AK26" s="3">
        <v>0.58319791860749504</v>
      </c>
      <c r="AL26" s="3">
        <v>1.615156514383612</v>
      </c>
      <c r="AM26" s="3">
        <v>2.0909804365634321</v>
      </c>
      <c r="AN26" s="3">
        <v>2.181484241233496</v>
      </c>
      <c r="AO26" s="3">
        <v>1.0154567093665909</v>
      </c>
      <c r="AP26" s="3">
        <v>0.78447664481869528</v>
      </c>
      <c r="AQ26" s="3">
        <v>0.69588934599536034</v>
      </c>
      <c r="AR26" s="3">
        <v>0.60332245376883131</v>
      </c>
      <c r="AS26" s="3">
        <v>0.96949658917824277</v>
      </c>
      <c r="AT26" s="3">
        <v>1.3440801580524799</v>
      </c>
      <c r="AU26" s="3">
        <v>1.1110724754484389</v>
      </c>
      <c r="AV26" s="3">
        <v>1.5124125221369193</v>
      </c>
      <c r="AW26" s="3">
        <v>1.4560487458504294</v>
      </c>
      <c r="AX26" s="3">
        <v>29.498868941475916</v>
      </c>
      <c r="AY26" s="3">
        <v>2.1309805087736002</v>
      </c>
      <c r="AZ26" s="3">
        <v>0.71731740061138982</v>
      </c>
      <c r="BA26" s="3">
        <v>0.80177769367146168</v>
      </c>
      <c r="BB26" s="3">
        <v>0.4236376390721685</v>
      </c>
      <c r="BC26" s="3">
        <v>0.20879274410214591</v>
      </c>
      <c r="BD26" s="3">
        <v>0.69091818581606657</v>
      </c>
      <c r="BE26" s="3">
        <v>0.68549166711966003</v>
      </c>
      <c r="BF26" s="3">
        <v>0.77698082097511423</v>
      </c>
      <c r="BG26" s="3">
        <v>0.14196958689279879</v>
      </c>
      <c r="BH26" s="3">
        <v>-3.6971928114100876E-2</v>
      </c>
      <c r="BI26" s="3">
        <v>8.4789690384136265E-2</v>
      </c>
      <c r="BJ26" s="3">
        <v>0.13989830038705114</v>
      </c>
      <c r="BK26" s="3">
        <v>0.19084076644016804</v>
      </c>
      <c r="BL26" s="3">
        <v>0.98951386764791105</v>
      </c>
      <c r="BM26" s="3">
        <v>1.2880132268443272</v>
      </c>
      <c r="BN26" s="3">
        <v>0.96614641918704458</v>
      </c>
      <c r="BO26" s="3">
        <v>0.46014424451344699</v>
      </c>
      <c r="BP26" s="3">
        <v>9.3220413899737647E-2</v>
      </c>
      <c r="BQ26" s="3">
        <v>0.13027920962848455</v>
      </c>
      <c r="BR26" s="3">
        <v>-0.92642790728319624</v>
      </c>
      <c r="BS26" s="3">
        <v>-0.26960487611381373</v>
      </c>
      <c r="BT26" s="3">
        <v>0.89988940939843853</v>
      </c>
      <c r="BU26" s="3">
        <v>2.7772852262477832</v>
      </c>
      <c r="BV26" s="3">
        <v>5.2228697829064297</v>
      </c>
      <c r="BW26" s="3">
        <v>5.5326281315007577</v>
      </c>
      <c r="BX26" s="3">
        <v>4.4552437941072096</v>
      </c>
      <c r="BY26" s="3">
        <v>3.8480974294190764</v>
      </c>
      <c r="BZ26" s="3">
        <v>2.8644943747830611</v>
      </c>
      <c r="CA26" s="3">
        <v>5.7898355559479402</v>
      </c>
    </row>
    <row r="27" spans="1:79" x14ac:dyDescent="0.2">
      <c r="A27" s="3" t="s">
        <v>174</v>
      </c>
      <c r="B27" s="3">
        <v>1.7657110017389333</v>
      </c>
      <c r="C27" s="3">
        <v>0.87472120873528247</v>
      </c>
      <c r="D27" s="3">
        <v>0.61040839978303285</v>
      </c>
      <c r="E27" s="3">
        <v>0.68033094728502719</v>
      </c>
      <c r="F27" s="3">
        <v>0.78365651978040396</v>
      </c>
      <c r="G27" s="3">
        <v>1.2205705183372253</v>
      </c>
      <c r="H27" s="3">
        <v>1.081888270842998</v>
      </c>
      <c r="I27" s="3">
        <v>0.84475244346070977</v>
      </c>
      <c r="J27" s="3">
        <v>0.61424411193437678</v>
      </c>
      <c r="K27" s="3">
        <v>0.75997309604515328</v>
      </c>
      <c r="L27" s="3">
        <v>0.53673436452874312</v>
      </c>
      <c r="M27" s="3">
        <v>0.5047468772121454</v>
      </c>
      <c r="N27" s="3">
        <v>0.7694048928758207</v>
      </c>
      <c r="O27" s="3">
        <v>1.3466827078036798</v>
      </c>
      <c r="P27" s="3">
        <v>1.7790751059184522</v>
      </c>
      <c r="Q27" s="3">
        <v>2.5503711327575918</v>
      </c>
      <c r="R27" s="3">
        <v>2.3022456942314311</v>
      </c>
      <c r="S27" s="3">
        <v>0.62077410385661713</v>
      </c>
      <c r="T27" s="3">
        <v>0.7542992141111422</v>
      </c>
      <c r="U27" s="3">
        <v>0.85859648936909971</v>
      </c>
      <c r="V27" s="3">
        <v>0.55583985195148455</v>
      </c>
      <c r="W27" s="3">
        <v>0.34052681435212928</v>
      </c>
      <c r="X27" s="3">
        <v>0.52693214045765513</v>
      </c>
      <c r="Y27" s="3">
        <v>0.82315278719344875</v>
      </c>
      <c r="Z27" s="3">
        <v>0.33502443451930658</v>
      </c>
      <c r="AA27" s="3">
        <v>0.18806968548073083</v>
      </c>
      <c r="AB27" s="3">
        <v>4.4552212249776492E-2</v>
      </c>
      <c r="AC27" s="3">
        <v>-7.9185799538774027E-2</v>
      </c>
      <c r="AD27" s="3">
        <v>-5.229336100666903E-2</v>
      </c>
      <c r="AE27" s="3">
        <v>0.44662718042435462</v>
      </c>
      <c r="AF27" s="3">
        <v>0.18243124341756128</v>
      </c>
      <c r="AG27" s="3">
        <v>-8.9740771026300584E-2</v>
      </c>
      <c r="AH27" s="3">
        <v>0.13664318887263385</v>
      </c>
      <c r="AI27" s="3">
        <v>0.43720017887939</v>
      </c>
      <c r="AJ27" s="3">
        <v>0.17804890936800524</v>
      </c>
      <c r="AK27" s="3">
        <v>0.11005383810157578</v>
      </c>
      <c r="AL27" s="3">
        <v>0.83057429338708166</v>
      </c>
      <c r="AM27" s="3">
        <v>1.402966068074994</v>
      </c>
      <c r="AN27" s="3">
        <v>0.8623245060431739</v>
      </c>
      <c r="AO27" s="3">
        <v>0.39941489660966722</v>
      </c>
      <c r="AP27" s="3">
        <v>0.6365724039674262</v>
      </c>
      <c r="AQ27" s="3">
        <v>0.66207256371047829</v>
      </c>
      <c r="AR27" s="3">
        <v>0.52497978168627368</v>
      </c>
      <c r="AS27" s="3">
        <v>0.89726473211845736</v>
      </c>
      <c r="AT27" s="3">
        <v>1.3573721074786889</v>
      </c>
      <c r="AU27" s="3">
        <v>1.2279031009918382</v>
      </c>
      <c r="AV27" s="3">
        <v>1.5099056094775405</v>
      </c>
      <c r="AW27" s="3">
        <v>0.65949982338559121</v>
      </c>
      <c r="AX27" s="3">
        <v>0.31862075214743169</v>
      </c>
      <c r="AY27" s="3">
        <v>-2.706292289317431E-3</v>
      </c>
      <c r="AZ27" s="3">
        <v>0.10584343908529496</v>
      </c>
      <c r="BA27" s="3">
        <v>0.28489677130363394</v>
      </c>
      <c r="BB27" s="3">
        <v>0.17465513905337088</v>
      </c>
      <c r="BC27" s="3">
        <v>0.24703865545592682</v>
      </c>
      <c r="BD27" s="3">
        <v>0.62581498336420605</v>
      </c>
      <c r="BE27" s="3">
        <v>0.7220502281191693</v>
      </c>
      <c r="BF27" s="3">
        <v>20.348796966672804</v>
      </c>
      <c r="BG27" s="3">
        <v>1.4340626143696862</v>
      </c>
      <c r="BH27" s="3">
        <v>5.2547922013204806E-3</v>
      </c>
      <c r="BI27" s="3">
        <v>0.25104872418484186</v>
      </c>
      <c r="BJ27" s="3">
        <v>0.30564111338737571</v>
      </c>
      <c r="BK27" s="3">
        <v>0.18468888310946102</v>
      </c>
      <c r="BL27" s="3">
        <v>0.60829534931899776</v>
      </c>
      <c r="BM27" s="3">
        <v>0.62367577272116081</v>
      </c>
      <c r="BN27" s="3">
        <v>0.78705707161978866</v>
      </c>
      <c r="BO27" s="3">
        <v>0.20516827985092764</v>
      </c>
      <c r="BP27" s="3">
        <v>-3.7932848044039243E-2</v>
      </c>
      <c r="BQ27" s="3">
        <v>-0.26703071238122122</v>
      </c>
      <c r="BR27" s="3">
        <v>-0.95071641649687966</v>
      </c>
      <c r="BS27" s="3">
        <v>-0.62068815186545701</v>
      </c>
      <c r="BT27" s="3">
        <v>0.2811206924965578</v>
      </c>
      <c r="BU27" s="3">
        <v>0.63164457979372823</v>
      </c>
      <c r="BV27" s="3">
        <v>0.62228360085692236</v>
      </c>
      <c r="BW27" s="3">
        <v>0.50634285681639746</v>
      </c>
      <c r="BX27" s="3">
        <v>5.1129583883457154E-2</v>
      </c>
      <c r="BY27" s="3">
        <v>0.15479513114727453</v>
      </c>
      <c r="BZ27" s="3">
        <v>-0.11609869319671955</v>
      </c>
      <c r="CA27" s="3">
        <v>0.556808066672421</v>
      </c>
    </row>
    <row r="28" spans="1:79" x14ac:dyDescent="0.2">
      <c r="A28" s="3" t="s">
        <v>173</v>
      </c>
      <c r="B28" s="3">
        <v>3.6015102561173991</v>
      </c>
      <c r="C28" s="3">
        <v>3.4844924611221866</v>
      </c>
      <c r="D28" s="3">
        <v>3.3430275849532376</v>
      </c>
      <c r="E28" s="3">
        <v>3.2954554798939295</v>
      </c>
      <c r="F28" s="3">
        <v>3.0617130287842831</v>
      </c>
      <c r="G28" s="3">
        <v>3.1524221296654149</v>
      </c>
      <c r="H28" s="3">
        <v>3.1723692893146551</v>
      </c>
      <c r="I28" s="3">
        <v>3.3242623702828786</v>
      </c>
      <c r="J28" s="3">
        <v>3.0496546176165209</v>
      </c>
      <c r="K28" s="3">
        <v>3.1123005449338783</v>
      </c>
      <c r="L28" s="3">
        <v>3.1650994238500618</v>
      </c>
      <c r="M28" s="3">
        <v>3.2748103474192392</v>
      </c>
      <c r="N28" s="3">
        <v>3.0174072415953122</v>
      </c>
      <c r="O28" s="3">
        <v>3.0812915537221666</v>
      </c>
      <c r="P28" s="3">
        <v>3.0578060591874454</v>
      </c>
      <c r="Q28" s="3">
        <v>2.9772001725481263</v>
      </c>
      <c r="R28" s="3">
        <v>2.5001254566123565</v>
      </c>
      <c r="S28" s="3">
        <v>2.4377602728976453</v>
      </c>
      <c r="T28" s="3">
        <v>2.4658349435476006</v>
      </c>
      <c r="U28" s="3">
        <v>2.508303645766925</v>
      </c>
      <c r="V28" s="3">
        <v>2.1885521612994574</v>
      </c>
      <c r="W28" s="3">
        <v>2.1930519322084225</v>
      </c>
      <c r="X28" s="3">
        <v>2.3282774205963737</v>
      </c>
      <c r="Y28" s="3">
        <v>2.4882215332867266</v>
      </c>
      <c r="Z28" s="3">
        <v>2.1706239350832068</v>
      </c>
      <c r="AA28" s="3">
        <v>2.1929983618442854</v>
      </c>
      <c r="AB28" s="3">
        <v>2.4471347891800099</v>
      </c>
      <c r="AC28" s="3">
        <v>2.6019925207603825</v>
      </c>
      <c r="AD28" s="3">
        <v>2.5946322017810686</v>
      </c>
      <c r="AE28" s="3">
        <v>2.4764644110880476</v>
      </c>
      <c r="AF28" s="3">
        <v>2.4448831072440091</v>
      </c>
      <c r="AG28" s="3">
        <v>2.3633084798786435</v>
      </c>
      <c r="AH28" s="3">
        <v>2.1933871673682317</v>
      </c>
      <c r="AI28" s="3">
        <v>2.154485812807204</v>
      </c>
      <c r="AJ28" s="3">
        <v>1.9426655799014618</v>
      </c>
      <c r="AK28" s="3">
        <v>1.9237422955764563</v>
      </c>
      <c r="AL28" s="3">
        <v>1.7684447118073297</v>
      </c>
      <c r="AM28" s="3">
        <v>2.0692532537358188</v>
      </c>
      <c r="AN28" s="3">
        <v>1.7430651137908482</v>
      </c>
      <c r="AO28" s="3">
        <v>1.7453275622854127</v>
      </c>
      <c r="AP28" s="3">
        <v>1.6893376957862996</v>
      </c>
      <c r="AQ28" s="3">
        <v>1.6578361568412499</v>
      </c>
      <c r="AR28" s="3">
        <v>1.9030222326924859</v>
      </c>
      <c r="AS28" s="3">
        <v>1.9014335156301114</v>
      </c>
      <c r="AT28" s="3">
        <v>1.6551510718109759</v>
      </c>
      <c r="AU28" s="3">
        <v>1.5139845873376543</v>
      </c>
      <c r="AV28" s="3">
        <v>1.4825928176722101</v>
      </c>
      <c r="AW28" s="3">
        <v>1.4503394339771452</v>
      </c>
      <c r="AX28" s="3">
        <v>1.2801825160941316</v>
      </c>
      <c r="AY28" s="3">
        <v>1.3806572672230351</v>
      </c>
      <c r="AZ28" s="3">
        <v>1.413931861628859</v>
      </c>
      <c r="BA28" s="3">
        <v>1.6372703845065508</v>
      </c>
      <c r="BB28" s="3">
        <v>1.483997296954094</v>
      </c>
      <c r="BC28" s="3">
        <v>1.4358574009619292</v>
      </c>
      <c r="BD28" s="3">
        <v>0</v>
      </c>
      <c r="BE28" s="3">
        <v>0</v>
      </c>
      <c r="BF28" s="3">
        <v>0</v>
      </c>
      <c r="BG28" s="3">
        <v>1.1783281321295398</v>
      </c>
      <c r="BH28" s="3">
        <v>0</v>
      </c>
      <c r="BI28" s="3">
        <v>0</v>
      </c>
      <c r="BJ28" s="3">
        <v>0</v>
      </c>
      <c r="BK28" s="3">
        <v>1.0108046318997999</v>
      </c>
      <c r="BL28" s="3">
        <v>0</v>
      </c>
      <c r="BM28" s="3">
        <v>0</v>
      </c>
      <c r="BN28" s="3">
        <v>0</v>
      </c>
      <c r="BO28" s="3">
        <v>1.5843235509870621</v>
      </c>
      <c r="BP28" s="3">
        <v>0</v>
      </c>
      <c r="BQ28" s="3">
        <v>0</v>
      </c>
      <c r="BR28" s="3">
        <v>0</v>
      </c>
      <c r="BS28" s="3">
        <v>3.349149706902931</v>
      </c>
      <c r="BT28" s="3">
        <v>0</v>
      </c>
      <c r="BU28" s="3">
        <v>0</v>
      </c>
      <c r="BV28" s="3">
        <v>0</v>
      </c>
      <c r="BW28" s="3">
        <v>4.0933402792309899</v>
      </c>
      <c r="BX28" s="3">
        <v>0</v>
      </c>
      <c r="BY28" s="3">
        <v>0</v>
      </c>
      <c r="BZ28" s="3">
        <v>0</v>
      </c>
      <c r="CA28" s="3">
        <v>3.7627437529262822</v>
      </c>
    </row>
    <row r="29" spans="1:79" x14ac:dyDescent="0.2">
      <c r="A29" s="3" t="s">
        <v>172</v>
      </c>
      <c r="B29" s="3">
        <v>2.037649606023979</v>
      </c>
      <c r="C29" s="3">
        <v>1.918336052472583</v>
      </c>
      <c r="D29" s="3">
        <v>1.796663531312102</v>
      </c>
      <c r="E29" s="3">
        <v>1.6630481651853233</v>
      </c>
      <c r="F29" s="3">
        <v>1.7231923460323793</v>
      </c>
      <c r="G29" s="3">
        <v>1.6305352907656676</v>
      </c>
      <c r="H29" s="3">
        <v>1.5148408549098653</v>
      </c>
      <c r="I29" s="3">
        <v>1.4401938344050556</v>
      </c>
      <c r="J29" s="3">
        <v>1.0861790291645834</v>
      </c>
      <c r="K29" s="3">
        <v>1.0653091327120314</v>
      </c>
      <c r="L29" s="3">
        <v>1.1257955105519921</v>
      </c>
      <c r="M29" s="3">
        <v>1.1401905417852323</v>
      </c>
      <c r="N29" s="3">
        <v>0.91692535590625446</v>
      </c>
      <c r="O29" s="3">
        <v>0.94344831399806173</v>
      </c>
      <c r="P29" s="3">
        <v>0.91381038961618266</v>
      </c>
      <c r="Q29" s="3">
        <v>0.86070933397896676</v>
      </c>
      <c r="R29" s="3">
        <v>0.5901486908628526</v>
      </c>
      <c r="S29" s="3">
        <v>0.58144195797846243</v>
      </c>
      <c r="T29" s="3">
        <v>0.6179557116088028</v>
      </c>
      <c r="U29" s="3">
        <v>0.65478210887744226</v>
      </c>
      <c r="V29" s="3">
        <v>0.51482588610355851</v>
      </c>
      <c r="W29" s="3">
        <v>0.53666074793636787</v>
      </c>
      <c r="X29" s="3">
        <v>0.55293174753690599</v>
      </c>
      <c r="Y29" s="3">
        <v>0.61298452504519596</v>
      </c>
      <c r="Z29" s="3">
        <v>0.49152630907695305</v>
      </c>
      <c r="AA29" s="3">
        <v>0.57854644423218249</v>
      </c>
      <c r="AB29" s="3">
        <v>0.65909873826357801</v>
      </c>
      <c r="AC29" s="3">
        <v>0.77209790030355474</v>
      </c>
      <c r="AD29" s="3">
        <v>0.94118268902272351</v>
      </c>
      <c r="AE29" s="3">
        <v>0.9911307609112584</v>
      </c>
      <c r="AF29" s="3">
        <v>0.95931330326713149</v>
      </c>
      <c r="AG29" s="3">
        <v>0.997397084024781</v>
      </c>
      <c r="AH29" s="3">
        <v>1.0957557002505316</v>
      </c>
      <c r="AI29" s="3">
        <v>1.1000257760012837</v>
      </c>
      <c r="AJ29" s="3">
        <v>1.1202759067481309</v>
      </c>
      <c r="AK29" s="3">
        <v>1.1374645141609658</v>
      </c>
      <c r="AL29" s="3">
        <v>1.2011309236201708</v>
      </c>
      <c r="AM29" s="3">
        <v>1.1738137498843721</v>
      </c>
      <c r="AN29" s="3">
        <v>1.1421074252405663</v>
      </c>
      <c r="AO29" s="3">
        <v>1.1201000584583669</v>
      </c>
      <c r="AP29" s="3">
        <v>1.1048968007148761</v>
      </c>
      <c r="AQ29" s="3">
        <v>1.0779159853575206</v>
      </c>
      <c r="AR29" s="3">
        <v>1.1432219579999769</v>
      </c>
      <c r="AS29" s="3">
        <v>1.1625883442303864</v>
      </c>
      <c r="AT29" s="3">
        <v>1.1257579673840157</v>
      </c>
      <c r="AU29" s="3">
        <v>1.0227459087511264</v>
      </c>
      <c r="AV29" s="3">
        <v>1.0777152737683355</v>
      </c>
      <c r="AW29" s="3">
        <v>1.0326148573074729</v>
      </c>
      <c r="AX29" s="3">
        <v>0.85177429311960517</v>
      </c>
      <c r="AY29" s="3">
        <v>0.7459749401375394</v>
      </c>
      <c r="AZ29" s="3">
        <v>0.75820942036156658</v>
      </c>
      <c r="BA29" s="3">
        <v>0.68384569436815923</v>
      </c>
      <c r="BB29" s="3">
        <v>0.52374017972919584</v>
      </c>
      <c r="BC29" s="3">
        <v>0.502117663914462</v>
      </c>
      <c r="BD29" s="3">
        <v>0.38786917803288662</v>
      </c>
      <c r="BE29" s="3">
        <v>0.36785536143702185</v>
      </c>
      <c r="BF29" s="3">
        <v>0.25773741220904095</v>
      </c>
      <c r="BG29" s="3">
        <v>0.41192098628462365</v>
      </c>
      <c r="BH29" s="3">
        <v>0.28054507512983029</v>
      </c>
      <c r="BI29" s="3">
        <v>0.2949047151490013</v>
      </c>
      <c r="BJ29" s="3">
        <v>0.27765774306509128</v>
      </c>
      <c r="BK29" s="3">
        <v>0.27908740082383537</v>
      </c>
      <c r="BL29" s="3">
        <v>0.35451310670666297</v>
      </c>
      <c r="BM29" s="3">
        <v>0.3416485496978216</v>
      </c>
      <c r="BN29" s="3">
        <v>0.24903733752833473</v>
      </c>
      <c r="BO29" s="3">
        <v>0.24285733391487901</v>
      </c>
      <c r="BP29" s="3">
        <v>0.19486671201562258</v>
      </c>
      <c r="BQ29" s="3">
        <v>0.2055109334500369</v>
      </c>
      <c r="BR29" s="3">
        <v>0.2313501297465391</v>
      </c>
      <c r="BS29" s="3">
        <v>0.36351170483323114</v>
      </c>
      <c r="BT29" s="3">
        <v>0.37294899781190266</v>
      </c>
      <c r="BU29" s="3">
        <v>0.56621856345106003</v>
      </c>
      <c r="BV29" s="3">
        <v>0.63019741160567044</v>
      </c>
      <c r="BW29" s="3">
        <v>0.62161557611550655</v>
      </c>
      <c r="BX29" s="3">
        <v>0</v>
      </c>
      <c r="BY29" s="3">
        <v>0</v>
      </c>
      <c r="BZ29" s="3">
        <v>0</v>
      </c>
      <c r="CA29" s="3">
        <v>0.54281163980830527</v>
      </c>
    </row>
    <row r="30" spans="1:79" x14ac:dyDescent="0.2">
      <c r="A30" s="3" t="s">
        <v>171</v>
      </c>
      <c r="B30" s="3">
        <v>0.91327754671877215</v>
      </c>
      <c r="C30" s="3">
        <v>0.84449177739788961</v>
      </c>
      <c r="D30" s="3">
        <v>0.8255759455371483</v>
      </c>
      <c r="E30" s="3">
        <v>0.83515873535456486</v>
      </c>
      <c r="F30" s="3">
        <v>0.97227432412047865</v>
      </c>
      <c r="G30" s="3">
        <v>0.97505649605793854</v>
      </c>
      <c r="H30" s="3">
        <v>0.92227933567934184</v>
      </c>
      <c r="I30" s="3">
        <v>0.91507878391691455</v>
      </c>
      <c r="J30" s="3">
        <v>0.87519714383661662</v>
      </c>
      <c r="K30" s="3">
        <v>0.86901986316417323</v>
      </c>
      <c r="L30" s="3">
        <v>0.87342866315162837</v>
      </c>
      <c r="M30" s="3">
        <v>0.85359685060617607</v>
      </c>
      <c r="N30" s="3">
        <v>0.83645515740527199</v>
      </c>
      <c r="O30" s="3">
        <v>0.79897727317795775</v>
      </c>
      <c r="P30" s="3">
        <v>0.72550039354829921</v>
      </c>
      <c r="Q30" s="3">
        <v>0.60668252265903644</v>
      </c>
      <c r="R30" s="3">
        <v>0.32799063602424822</v>
      </c>
      <c r="S30" s="3">
        <v>0.29440045848397728</v>
      </c>
      <c r="T30" s="3">
        <v>0.31796411778835199</v>
      </c>
      <c r="U30" s="3">
        <v>0.32877104096312398</v>
      </c>
      <c r="V30" s="3">
        <v>0.2073842338227789</v>
      </c>
      <c r="W30" s="3">
        <v>0.22832818788297976</v>
      </c>
      <c r="X30" s="3">
        <v>0.24927656562361014</v>
      </c>
      <c r="Y30" s="3">
        <v>0.28225130617179212</v>
      </c>
      <c r="Z30" s="3">
        <v>0.15166651341833134</v>
      </c>
      <c r="AA30" s="3">
        <v>0.18737704193081225</v>
      </c>
      <c r="AB30" s="3">
        <v>0.23672351846750872</v>
      </c>
      <c r="AC30" s="3">
        <v>0.29868294232827758</v>
      </c>
      <c r="AD30" s="3">
        <v>0.36162675174080833</v>
      </c>
      <c r="AE30" s="3">
        <v>0.3906148069303288</v>
      </c>
      <c r="AF30" s="3">
        <v>0.36857323920039059</v>
      </c>
      <c r="AG30" s="3">
        <v>0.39698918265769167</v>
      </c>
      <c r="AH30" s="3">
        <v>0.42891384595153448</v>
      </c>
      <c r="AI30" s="3">
        <v>0.46120128710168784</v>
      </c>
      <c r="AJ30" s="3">
        <v>0.49585117801739187</v>
      </c>
      <c r="AK30" s="3">
        <v>0.53016845396804002</v>
      </c>
      <c r="AL30" s="3">
        <v>0.62115181344188142</v>
      </c>
      <c r="AM30" s="3">
        <v>0.62972820900720272</v>
      </c>
      <c r="AN30" s="3">
        <v>0.59602924275581703</v>
      </c>
      <c r="AO30" s="3">
        <v>0.60388693370438506</v>
      </c>
      <c r="AP30" s="3">
        <v>0.6704113744288922</v>
      </c>
      <c r="AQ30" s="3">
        <v>0.67865344345349388</v>
      </c>
      <c r="AR30" s="3">
        <v>0.70568410824110661</v>
      </c>
      <c r="AS30" s="3">
        <v>0.69918968385760361</v>
      </c>
      <c r="AT30" s="3">
        <v>0.69958032986471819</v>
      </c>
      <c r="AU30" s="3">
        <v>0.63513499997253342</v>
      </c>
      <c r="AV30" s="3">
        <v>0.59676731154141605</v>
      </c>
      <c r="AW30" s="3">
        <v>0.55371651954298196</v>
      </c>
      <c r="AX30" s="3">
        <v>0.47646267902271905</v>
      </c>
      <c r="AY30" s="3">
        <v>0.45122600359654469</v>
      </c>
      <c r="AZ30" s="3">
        <v>0.49703276780412253</v>
      </c>
      <c r="BA30" s="3">
        <v>0.51252474913194401</v>
      </c>
      <c r="BB30" s="3">
        <v>0.44936978693351404</v>
      </c>
      <c r="BC30" s="3">
        <v>0.4074298321112666</v>
      </c>
      <c r="BD30" s="3">
        <v>0.46582472118817897</v>
      </c>
      <c r="BE30" s="3">
        <v>0.45510866407975431</v>
      </c>
      <c r="BF30" s="3">
        <v>0.36384765720275491</v>
      </c>
      <c r="BG30" s="3">
        <v>0.30897350902908027</v>
      </c>
      <c r="BH30" s="3">
        <v>0.30999669611372282</v>
      </c>
      <c r="BI30" s="3">
        <v>0.27385407910195214</v>
      </c>
      <c r="BJ30" s="3">
        <v>0.20921506794515263</v>
      </c>
      <c r="BK30" s="3">
        <v>0.21349227147337291</v>
      </c>
      <c r="BL30" s="3">
        <v>0.10453627654013023</v>
      </c>
      <c r="BM30" s="3">
        <v>7.4751801638071283E-2</v>
      </c>
      <c r="BN30" s="3">
        <v>5.5828550208976519E-3</v>
      </c>
      <c r="BO30" s="3">
        <v>0.14136007487719593</v>
      </c>
      <c r="BP30" s="3">
        <v>-1.5874531636789282E-2</v>
      </c>
      <c r="BQ30" s="3">
        <v>-1.0183931339452364E-2</v>
      </c>
      <c r="BR30" s="3">
        <v>1.8706211231631433E-2</v>
      </c>
      <c r="BS30" s="3">
        <v>6.3156666384936958E-2</v>
      </c>
      <c r="BT30" s="3">
        <v>0.15330431157799176</v>
      </c>
      <c r="BU30" s="3">
        <v>0.20514405972121652</v>
      </c>
      <c r="BV30" s="3">
        <v>0.18807458374378611</v>
      </c>
      <c r="BW30" s="3">
        <v>0.16451229542939763</v>
      </c>
      <c r="BX30" s="3">
        <v>0.26198145525487981</v>
      </c>
      <c r="BY30" s="3">
        <v>0.28240854505491847</v>
      </c>
      <c r="BZ30" s="3">
        <v>0.33523418588744902</v>
      </c>
      <c r="CA30" s="3">
        <v>0.26409389634073127</v>
      </c>
    </row>
    <row r="31" spans="1:79" x14ac:dyDescent="0.2">
      <c r="A31" s="3" t="s">
        <v>170</v>
      </c>
      <c r="B31" s="3">
        <v>0</v>
      </c>
      <c r="C31" s="3">
        <v>6757781.7706196476</v>
      </c>
      <c r="D31" s="3">
        <v>1.8397841699236903E-4</v>
      </c>
      <c r="E31" s="3">
        <v>1.1359246835175132E-2</v>
      </c>
      <c r="F31" s="3">
        <v>0</v>
      </c>
      <c r="G31" s="3">
        <v>2117258.0852739271</v>
      </c>
      <c r="H31" s="3">
        <v>0.16697690021794115</v>
      </c>
      <c r="I31" s="3">
        <v>0</v>
      </c>
      <c r="J31" s="3">
        <v>0</v>
      </c>
      <c r="K31" s="3">
        <v>11112137</v>
      </c>
      <c r="L31" s="3">
        <v>-8.3156549606234531E-2</v>
      </c>
      <c r="M31" s="3">
        <v>0</v>
      </c>
      <c r="N31" s="3">
        <v>0</v>
      </c>
      <c r="O31" s="3">
        <v>2227613.585926597</v>
      </c>
      <c r="P31" s="3">
        <v>-8.3103521813512202E-2</v>
      </c>
      <c r="Q31" s="3">
        <v>0</v>
      </c>
      <c r="R31" s="3">
        <v>0</v>
      </c>
      <c r="S31" s="3">
        <v>1979620.0902449097</v>
      </c>
      <c r="T31" s="3">
        <v>0</v>
      </c>
      <c r="U31" s="3">
        <v>-0.16041692558211482</v>
      </c>
      <c r="V31" s="3">
        <v>0</v>
      </c>
      <c r="W31" s="3">
        <v>3238581.4751256383</v>
      </c>
      <c r="X31" s="3">
        <v>-0.13990556735549708</v>
      </c>
      <c r="Y31" s="3">
        <v>0</v>
      </c>
      <c r="Z31" s="3">
        <v>0</v>
      </c>
      <c r="AA31" s="3">
        <v>4233618.0921517536</v>
      </c>
      <c r="AB31" s="3">
        <v>1.7451768374314109</v>
      </c>
      <c r="AC31" s="3">
        <v>0</v>
      </c>
      <c r="AD31" s="3">
        <v>0</v>
      </c>
      <c r="AE31" s="3">
        <v>-0.9998929818928608</v>
      </c>
      <c r="AF31" s="3">
        <v>1.5457361066643087</v>
      </c>
      <c r="AG31" s="3">
        <v>0</v>
      </c>
      <c r="AH31" s="3">
        <v>0</v>
      </c>
      <c r="AI31" s="3">
        <v>-0.99996030772378619</v>
      </c>
      <c r="AJ31" s="3">
        <v>0</v>
      </c>
      <c r="AK31" s="3">
        <v>0.86501659496437422</v>
      </c>
      <c r="AL31" s="3">
        <v>0</v>
      </c>
      <c r="AM31" s="3">
        <v>-0.99974867533610323</v>
      </c>
      <c r="AN31" s="3">
        <v>0</v>
      </c>
      <c r="AO31" s="3">
        <v>1.4284017292995099</v>
      </c>
      <c r="AP31" s="3">
        <v>0</v>
      </c>
      <c r="AQ31" s="3">
        <v>-0.99959992145766363</v>
      </c>
      <c r="AR31" s="3">
        <v>0</v>
      </c>
      <c r="AS31" s="3">
        <v>1.2601099563320182</v>
      </c>
      <c r="AT31" s="3">
        <v>0</v>
      </c>
      <c r="AU31" s="3">
        <v>-0.9996838916461982</v>
      </c>
      <c r="AV31" s="3">
        <v>5.2977882066540705</v>
      </c>
      <c r="AW31" s="3">
        <v>-1</v>
      </c>
      <c r="AX31" s="3">
        <v>0</v>
      </c>
      <c r="AY31" s="3">
        <v>-0.99779412709482274</v>
      </c>
      <c r="AZ31" s="3">
        <v>6412.3148781185801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</row>
    <row r="32" spans="1:79" x14ac:dyDescent="0.2">
      <c r="A32" s="3" t="s">
        <v>169</v>
      </c>
      <c r="B32" s="3">
        <v>1.0208903532246536</v>
      </c>
      <c r="C32" s="3">
        <v>0.98068420864153338</v>
      </c>
      <c r="D32" s="3">
        <v>0.80028125837384212</v>
      </c>
      <c r="E32" s="3">
        <v>0.80031092412757265</v>
      </c>
      <c r="F32" s="3">
        <v>0.60019813329021909</v>
      </c>
      <c r="G32" s="3">
        <v>1.000534433798866</v>
      </c>
      <c r="H32" s="3">
        <v>-0.56239637098724227</v>
      </c>
      <c r="I32" s="3">
        <v>-0.44476748969190294</v>
      </c>
      <c r="J32" s="3">
        <v>0</v>
      </c>
      <c r="K32" s="3">
        <v>1767979.4545454546</v>
      </c>
      <c r="L32" s="3">
        <v>-0.65623524652181642</v>
      </c>
      <c r="M32" s="3">
        <v>-0.56301280364116402</v>
      </c>
      <c r="N32" s="3">
        <v>0</v>
      </c>
      <c r="O32" s="3">
        <v>1927257</v>
      </c>
      <c r="P32" s="3">
        <v>-0.60712184331686936</v>
      </c>
      <c r="Q32" s="3">
        <v>-0.50776471963009318</v>
      </c>
      <c r="R32" s="3">
        <v>0</v>
      </c>
      <c r="S32" s="3">
        <v>4194619.4117647056</v>
      </c>
      <c r="T32" s="3">
        <v>-0.58333301999431386</v>
      </c>
      <c r="U32" s="3">
        <v>-0.58529532788601135</v>
      </c>
      <c r="V32" s="3">
        <v>0</v>
      </c>
      <c r="W32" s="3">
        <v>3411841.6052654414</v>
      </c>
      <c r="X32" s="3">
        <v>-0.4444290447591292</v>
      </c>
      <c r="Y32" s="3">
        <v>-0.43823078931475246</v>
      </c>
      <c r="Z32" s="3">
        <v>0</v>
      </c>
      <c r="AA32" s="3">
        <v>1058345.7345040443</v>
      </c>
      <c r="AB32" s="3">
        <v>1.6667441100766549</v>
      </c>
      <c r="AC32" s="3">
        <v>0</v>
      </c>
      <c r="AD32" s="3">
        <v>0</v>
      </c>
      <c r="AE32" s="3">
        <v>5.2852154114208894</v>
      </c>
      <c r="AF32" s="3">
        <v>1.6670664782157529</v>
      </c>
      <c r="AG32" s="3">
        <v>0</v>
      </c>
      <c r="AH32" s="3">
        <v>0</v>
      </c>
      <c r="AI32" s="3">
        <v>0.15584658926132208</v>
      </c>
      <c r="AJ32" s="3">
        <v>1.3337934741075348</v>
      </c>
      <c r="AK32" s="3">
        <v>0</v>
      </c>
      <c r="AL32" s="3">
        <v>0</v>
      </c>
      <c r="AM32" s="3">
        <v>-0.5280571551378902</v>
      </c>
      <c r="AN32" s="3">
        <v>0</v>
      </c>
      <c r="AO32" s="3">
        <v>1.024532470632767</v>
      </c>
      <c r="AP32" s="3">
        <v>0</v>
      </c>
      <c r="AQ32" s="3">
        <v>-5.0781982109143406E-2</v>
      </c>
      <c r="AR32" s="3">
        <v>0.54812706555475776</v>
      </c>
      <c r="AS32" s="3">
        <v>0</v>
      </c>
      <c r="AT32" s="3">
        <v>0</v>
      </c>
      <c r="AU32" s="3">
        <v>3.0002193554607466</v>
      </c>
      <c r="AV32" s="3">
        <v>2.9411418612827235E-2</v>
      </c>
      <c r="AW32" s="3">
        <v>0</v>
      </c>
      <c r="AX32" s="3">
        <v>0</v>
      </c>
      <c r="AY32" s="3">
        <v>-0.99998297304067818</v>
      </c>
      <c r="AZ32" s="3">
        <v>-4.5492068736364313E-2</v>
      </c>
      <c r="BA32" s="3">
        <v>0</v>
      </c>
      <c r="BB32" s="3">
        <v>0</v>
      </c>
      <c r="BC32" s="3">
        <v>-0.99996565956366301</v>
      </c>
      <c r="BD32" s="3">
        <v>0</v>
      </c>
      <c r="BE32" s="3">
        <v>-1</v>
      </c>
      <c r="BF32" s="3">
        <v>0</v>
      </c>
      <c r="BG32" s="3">
        <v>-0.99946746800670272</v>
      </c>
      <c r="BH32" s="3">
        <v>0</v>
      </c>
      <c r="BI32" s="3">
        <v>0.19948766667126547</v>
      </c>
      <c r="BJ32" s="3">
        <v>0</v>
      </c>
      <c r="BK32" s="3">
        <v>-0.9995785177537766</v>
      </c>
      <c r="BL32" s="3">
        <v>0</v>
      </c>
      <c r="BM32" s="3">
        <v>-1</v>
      </c>
      <c r="BN32" s="3">
        <v>0</v>
      </c>
      <c r="BO32" s="3">
        <v>-0.99992097724506779</v>
      </c>
      <c r="BP32" s="3">
        <v>5.1178534576006447</v>
      </c>
      <c r="BQ32" s="3">
        <v>-1</v>
      </c>
      <c r="BR32" s="3">
        <v>0</v>
      </c>
      <c r="BS32" s="3">
        <v>128.55178100102768</v>
      </c>
      <c r="BT32" s="3">
        <v>6717.9749483047708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</row>
    <row r="33" spans="1:79" x14ac:dyDescent="0.2">
      <c r="A33" s="3" t="s">
        <v>168</v>
      </c>
      <c r="B33" s="3">
        <v>0.83708151248200291</v>
      </c>
      <c r="C33" s="3">
        <v>0.80062189927604155</v>
      </c>
      <c r="D33" s="3">
        <v>0.63653183682319425</v>
      </c>
      <c r="E33" s="3">
        <v>0.63654828385763051</v>
      </c>
      <c r="F33" s="3">
        <v>0.45469253414836991</v>
      </c>
      <c r="G33" s="3">
        <v>0.45494082597480195</v>
      </c>
      <c r="H33" s="3">
        <v>0.40033026275404127</v>
      </c>
      <c r="I33" s="3">
        <v>0.4001672970283392</v>
      </c>
      <c r="J33" s="3">
        <v>0.20012974990649388</v>
      </c>
      <c r="K33" s="3">
        <v>0.20000005553331909</v>
      </c>
      <c r="L33" s="3">
        <v>0.10004718143401592</v>
      </c>
      <c r="M33" s="3">
        <v>0.10004722231263999</v>
      </c>
      <c r="N33" s="3">
        <v>0.10005480948655039</v>
      </c>
      <c r="O33" s="3">
        <v>0.37499365611924201</v>
      </c>
      <c r="P33" s="3">
        <v>-0.65623154093372016</v>
      </c>
      <c r="Q33" s="3">
        <v>-0.56377189984361331</v>
      </c>
      <c r="R33" s="3">
        <v>0</v>
      </c>
      <c r="S33" s="3">
        <v>1620647.7954545454</v>
      </c>
      <c r="T33" s="3">
        <v>-0.68749976499573551</v>
      </c>
      <c r="U33" s="3">
        <v>-0.60275595358350709</v>
      </c>
      <c r="V33" s="3">
        <v>0</v>
      </c>
      <c r="W33" s="3">
        <v>1752051.6216216215</v>
      </c>
      <c r="X33" s="3">
        <v>-0.64285713223214624</v>
      </c>
      <c r="Y33" s="3">
        <v>-0.55254017928379418</v>
      </c>
      <c r="Z33" s="3">
        <v>0</v>
      </c>
      <c r="AA33" s="3">
        <v>3050646.0588235292</v>
      </c>
      <c r="AB33" s="3">
        <v>0.33333305052478235</v>
      </c>
      <c r="AC33" s="3">
        <v>4.5788762435151453E-2</v>
      </c>
      <c r="AD33" s="3">
        <v>0</v>
      </c>
      <c r="AE33" s="3">
        <v>1.3157559831972745</v>
      </c>
      <c r="AF33" s="3">
        <v>0.7778270087777035</v>
      </c>
      <c r="AG33" s="3">
        <v>0.41416651321659559</v>
      </c>
      <c r="AH33" s="3">
        <v>0</v>
      </c>
      <c r="AI33" s="3">
        <v>-0.24492722514703458</v>
      </c>
      <c r="AJ33" s="3">
        <v>1.3334015848188601</v>
      </c>
      <c r="AK33" s="3">
        <v>0</v>
      </c>
      <c r="AL33" s="3">
        <v>0</v>
      </c>
      <c r="AM33" s="3">
        <v>1.4283786816853434</v>
      </c>
      <c r="AN33" s="3">
        <v>1.0002998586618144</v>
      </c>
      <c r="AO33" s="3">
        <v>0</v>
      </c>
      <c r="AP33" s="3">
        <v>0</v>
      </c>
      <c r="AQ33" s="3">
        <v>-0.40644857304308274</v>
      </c>
      <c r="AR33" s="3">
        <v>0.50025426321881772</v>
      </c>
      <c r="AS33" s="3">
        <v>0</v>
      </c>
      <c r="AT33" s="3">
        <v>0</v>
      </c>
      <c r="AU33" s="3">
        <v>0.36035857122579229</v>
      </c>
      <c r="AV33" s="3">
        <v>0</v>
      </c>
      <c r="AW33" s="3">
        <v>-1</v>
      </c>
      <c r="AX33" s="3">
        <v>0</v>
      </c>
      <c r="AY33" s="3">
        <v>-0.650265398971827</v>
      </c>
      <c r="AZ33" s="3">
        <v>3.1958570453139892E-2</v>
      </c>
      <c r="BA33" s="3">
        <v>0</v>
      </c>
      <c r="BB33" s="3">
        <v>0</v>
      </c>
      <c r="BC33" s="3">
        <v>1.6131986344992364</v>
      </c>
      <c r="BD33" s="3">
        <v>2.9238560425901308E-2</v>
      </c>
      <c r="BE33" s="3">
        <v>0</v>
      </c>
      <c r="BF33" s="3">
        <v>0</v>
      </c>
      <c r="BG33" s="3">
        <v>-0.99991238789721848</v>
      </c>
      <c r="BH33" s="3">
        <v>-1</v>
      </c>
      <c r="BI33" s="3">
        <v>0</v>
      </c>
      <c r="BJ33" s="3">
        <v>0</v>
      </c>
      <c r="BK33" s="3">
        <v>-0.99997852672978604</v>
      </c>
      <c r="BL33" s="3">
        <v>0</v>
      </c>
      <c r="BM33" s="3">
        <v>-1</v>
      </c>
      <c r="BN33" s="3">
        <v>0</v>
      </c>
      <c r="BO33" s="3">
        <v>-0.99981890131586282</v>
      </c>
      <c r="BP33" s="3">
        <v>0</v>
      </c>
      <c r="BQ33" s="3">
        <v>-1</v>
      </c>
      <c r="BR33" s="3">
        <v>0</v>
      </c>
      <c r="BS33" s="3">
        <v>7.6572665404959803</v>
      </c>
      <c r="BT33" s="3">
        <v>0</v>
      </c>
      <c r="BU33" s="3">
        <v>-1</v>
      </c>
      <c r="BV33" s="3">
        <v>0</v>
      </c>
      <c r="BW33" s="3">
        <v>5.0133818119671165</v>
      </c>
      <c r="BX33" s="3">
        <v>-1</v>
      </c>
      <c r="BY33" s="3">
        <v>3.9658754766982987</v>
      </c>
      <c r="BZ33" s="3">
        <v>0</v>
      </c>
      <c r="CA33" s="3">
        <v>20.313844229941694</v>
      </c>
    </row>
    <row r="34" spans="1:79" x14ac:dyDescent="0.2">
      <c r="A34" s="3" t="s">
        <v>167</v>
      </c>
      <c r="B34" s="3">
        <v>0.28669980628180186</v>
      </c>
      <c r="C34" s="3">
        <v>-8.384095160969042E-2</v>
      </c>
      <c r="D34" s="3">
        <v>0.29220411770527427</v>
      </c>
      <c r="E34" s="3">
        <v>-2.3351674309543987E-2</v>
      </c>
      <c r="F34" s="3">
        <v>-0.10341630774466634</v>
      </c>
      <c r="G34" s="3">
        <v>9.0604850695408357E-2</v>
      </c>
      <c r="H34" s="3">
        <v>0.17341349144964238</v>
      </c>
      <c r="I34" s="3">
        <v>5.2234455238629206E-2</v>
      </c>
      <c r="J34" s="3">
        <v>2.4159176120809741E-4</v>
      </c>
      <c r="K34" s="3">
        <v>-9.3743763774651601E-2</v>
      </c>
      <c r="L34" s="3">
        <v>0.15168389866754439</v>
      </c>
      <c r="M34" s="3">
        <v>0.30666037906396809</v>
      </c>
      <c r="N34" s="3">
        <v>-0.35990237626988419</v>
      </c>
      <c r="O34" s="3">
        <v>-0.11545826648543968</v>
      </c>
      <c r="P34" s="3">
        <v>0.16486754515655036</v>
      </c>
      <c r="Q34" s="3">
        <v>5.1999782505711641E-2</v>
      </c>
      <c r="R34" s="3">
        <v>7.6239891632961604E-2</v>
      </c>
      <c r="S34" s="3">
        <v>5.9397073019899868E-2</v>
      </c>
      <c r="T34" s="3">
        <v>4.0393673223997562E-2</v>
      </c>
      <c r="U34" s="3">
        <v>7.425529571606114E-2</v>
      </c>
      <c r="V34" s="3">
        <v>0.14677695788183914</v>
      </c>
      <c r="W34" s="3">
        <v>-0.10164792068718716</v>
      </c>
      <c r="X34" s="3">
        <v>6.8589814894933931E-2</v>
      </c>
      <c r="Y34" s="3">
        <v>3.8913044727868162E-2</v>
      </c>
      <c r="Z34" s="3">
        <v>4.7621173446581837E-2</v>
      </c>
      <c r="AA34" s="3">
        <v>-3.8878108886376377E-2</v>
      </c>
      <c r="AB34" s="3">
        <v>0.23629790290271993</v>
      </c>
      <c r="AC34" s="3">
        <v>0.1019089266745753</v>
      </c>
      <c r="AD34" s="3">
        <v>-0.17385632989537594</v>
      </c>
      <c r="AE34" s="3">
        <v>-2.6354282532911333E-3</v>
      </c>
      <c r="AF34" s="3">
        <v>0.41827261939273036</v>
      </c>
      <c r="AG34" s="3">
        <v>-0.15317206476010722</v>
      </c>
      <c r="AH34" s="3">
        <v>-0.11901246158819938</v>
      </c>
      <c r="AI34" s="3">
        <v>3.0252551430767306E-2</v>
      </c>
      <c r="AJ34" s="3">
        <v>6.2845701729791037E-2</v>
      </c>
      <c r="AK34" s="3">
        <v>2.4723504734249061E-2</v>
      </c>
      <c r="AL34" s="3">
        <v>-0.15672947263687742</v>
      </c>
      <c r="AM34" s="3">
        <v>1.0162359334876439E-4</v>
      </c>
      <c r="AN34" s="3">
        <v>0.14272864487847309</v>
      </c>
      <c r="AO34" s="3">
        <v>0.16656638492101447</v>
      </c>
      <c r="AP34" s="3">
        <v>0.13312689636178615</v>
      </c>
      <c r="AQ34" s="3">
        <v>-0.11887501975555451</v>
      </c>
      <c r="AR34" s="3">
        <v>-2.492484714383152E-2</v>
      </c>
      <c r="AS34" s="3">
        <v>4.5564635685866276E-3</v>
      </c>
      <c r="AT34" s="3">
        <v>-0.13835058489251151</v>
      </c>
      <c r="AU34" s="3">
        <v>4.6396258599456872E-3</v>
      </c>
      <c r="AV34" s="3">
        <v>0.3200358027584283</v>
      </c>
      <c r="AW34" s="3">
        <v>0.16634155516681901</v>
      </c>
      <c r="AX34" s="3">
        <v>3.2319353908917561E-2</v>
      </c>
      <c r="AY34" s="3">
        <v>-9.6449681759924785E-2</v>
      </c>
      <c r="AZ34" s="3">
        <v>-5.900573150489012E-3</v>
      </c>
      <c r="BA34" s="3">
        <v>0.21574639931190914</v>
      </c>
      <c r="BB34" s="3">
        <v>0.1331709964504347</v>
      </c>
      <c r="BC34" s="3">
        <v>-4.3050314788630507E-3</v>
      </c>
      <c r="BD34" s="3">
        <v>4.7359643123559399E-2</v>
      </c>
      <c r="BE34" s="3">
        <v>0.13392090136572563</v>
      </c>
      <c r="BF34" s="3">
        <v>6.8879325852924791E-2</v>
      </c>
      <c r="BG34" s="3">
        <v>1.1956418295907443E-2</v>
      </c>
      <c r="BH34" s="3">
        <v>-3.3793105509007618E-2</v>
      </c>
      <c r="BI34" s="3">
        <v>3.4610713944406716E-3</v>
      </c>
      <c r="BJ34" s="3">
        <v>9.089343005412126E-2</v>
      </c>
      <c r="BK34" s="3">
        <v>-9.4128612936777878E-2</v>
      </c>
      <c r="BL34" s="3">
        <v>-2.0011923509547405E-2</v>
      </c>
      <c r="BM34" s="3">
        <v>0.21607918668751089</v>
      </c>
      <c r="BN34" s="3">
        <v>0.12467025879065785</v>
      </c>
      <c r="BO34" s="3">
        <v>-1.0511620920011042E-2</v>
      </c>
      <c r="BP34" s="3">
        <v>7.4789270309130115E-2</v>
      </c>
      <c r="BQ34" s="3">
        <v>1.4060309908380697</v>
      </c>
      <c r="BR34" s="3">
        <v>-0.25390075765315723</v>
      </c>
      <c r="BS34" s="3">
        <v>-0.59006281527027205</v>
      </c>
      <c r="BT34" s="3">
        <v>8.6326750345825529E-2</v>
      </c>
      <c r="BU34" s="3">
        <v>0.10112466532683138</v>
      </c>
      <c r="BV34" s="3">
        <v>-0.11141235961245409</v>
      </c>
      <c r="BW34" s="3">
        <v>9.5980534794043813E-3</v>
      </c>
      <c r="BX34" s="3">
        <v>0.10701226395691739</v>
      </c>
      <c r="BY34" s="3">
        <v>0.15380732653236343</v>
      </c>
      <c r="BZ34" s="3">
        <v>-0.14657552536524585</v>
      </c>
      <c r="CA34" s="3">
        <v>6.5153759988609561E-2</v>
      </c>
    </row>
    <row r="35" spans="1:79" x14ac:dyDescent="0.2">
      <c r="A35" s="3" t="s">
        <v>165</v>
      </c>
      <c r="B35" s="3">
        <v>9.1544883060517085E-2</v>
      </c>
      <c r="C35" s="3">
        <v>7.8695539515421659E-2</v>
      </c>
      <c r="D35" s="3">
        <v>4.9634624217347906E-2</v>
      </c>
      <c r="E35" s="3">
        <v>-1.7795143182384204E-2</v>
      </c>
      <c r="F35" s="3">
        <v>6.5980012716227152E-2</v>
      </c>
      <c r="G35" s="3">
        <v>8.5328526003579735E-2</v>
      </c>
      <c r="H35" s="3">
        <v>3.0639085413567746E-2</v>
      </c>
      <c r="I35" s="3">
        <v>3.3599964001534054E-2</v>
      </c>
      <c r="J35" s="3">
        <v>4.6219341156458538E-2</v>
      </c>
      <c r="K35" s="3">
        <v>8.6862483837414298E-3</v>
      </c>
      <c r="L35" s="3">
        <v>6.5073038281008466E-2</v>
      </c>
      <c r="M35" s="3">
        <v>2.053584887949857E-2</v>
      </c>
      <c r="N35" s="3">
        <v>1.6393578104007343E-2</v>
      </c>
      <c r="O35" s="3">
        <v>6.9165725206928111E-2</v>
      </c>
      <c r="P35" s="3">
        <v>6.8422559827306093E-2</v>
      </c>
      <c r="Q35" s="3">
        <v>8.8478155749444759E-2</v>
      </c>
      <c r="R35" s="3">
        <v>7.1772557673307688E-2</v>
      </c>
      <c r="S35" s="3">
        <v>0.11793323364686593</v>
      </c>
      <c r="T35" s="3">
        <v>7.7480503049644045E-2</v>
      </c>
      <c r="U35" s="3">
        <v>5.9455129485859085E-2</v>
      </c>
      <c r="V35" s="3">
        <v>5.7426259612718321E-2</v>
      </c>
      <c r="W35" s="3">
        <v>4.7438763140640695E-2</v>
      </c>
      <c r="X35" s="3">
        <v>7.6330461082247017E-2</v>
      </c>
      <c r="Y35" s="3">
        <v>4.4966081822223426E-2</v>
      </c>
      <c r="Z35" s="3">
        <v>3.4693261212730024E-2</v>
      </c>
      <c r="AA35" s="3">
        <v>6.1141619188088733E-2</v>
      </c>
      <c r="AB35" s="3">
        <v>-4.6937512254678841E-2</v>
      </c>
      <c r="AC35" s="3">
        <v>2.3729547914684082E-2</v>
      </c>
      <c r="AD35" s="3">
        <v>4.6604847334336445E-2</v>
      </c>
      <c r="AE35" s="3">
        <v>6.0989438963190847E-2</v>
      </c>
      <c r="AF35" s="3">
        <v>-4.0675776315376257E-2</v>
      </c>
      <c r="AG35" s="3">
        <v>2.0775130849176628E-3</v>
      </c>
      <c r="AH35" s="3">
        <v>2.8831090729073992E-2</v>
      </c>
      <c r="AI35" s="3">
        <v>8.1625734659138444E-2</v>
      </c>
      <c r="AJ35" s="3">
        <v>-7.2999863715064089E-2</v>
      </c>
      <c r="AK35" s="3">
        <v>2.675918009300015E-2</v>
      </c>
      <c r="AL35" s="3">
        <v>2.5641279550560631E-2</v>
      </c>
      <c r="AM35" s="3">
        <v>9.7522096875543349E-2</v>
      </c>
      <c r="AN35" s="3">
        <v>-4.7550677931682869E-2</v>
      </c>
      <c r="AO35" s="3">
        <v>4.5157698428753591E-2</v>
      </c>
      <c r="AP35" s="3">
        <v>4.1708908195463565E-2</v>
      </c>
      <c r="AQ35" s="3">
        <v>5.1502107121789771E-2</v>
      </c>
      <c r="AR35" s="3">
        <v>-2.02841742914017E-2</v>
      </c>
      <c r="AS35" s="3">
        <v>3.3372840920225029E-2</v>
      </c>
      <c r="AT35" s="3">
        <v>4.1503783315148715E-2</v>
      </c>
      <c r="AU35" s="3">
        <v>0.10730275087569964</v>
      </c>
      <c r="AV35" s="3">
        <v>3.6802291800596999E-3</v>
      </c>
      <c r="AW35" s="3">
        <v>3.5654181464616838E-2</v>
      </c>
      <c r="AX35" s="3">
        <v>2.8459424357303573E-2</v>
      </c>
      <c r="AY35" s="3">
        <v>7.2405582343529562E-2</v>
      </c>
      <c r="AZ35" s="3">
        <v>6.5431713624845185E-3</v>
      </c>
      <c r="BA35" s="3">
        <v>0.10197126676914471</v>
      </c>
      <c r="BB35" s="3">
        <v>0.10431859698045559</v>
      </c>
      <c r="BC35" s="3">
        <v>9.4112289786885656E-2</v>
      </c>
      <c r="BD35" s="3">
        <v>-5.9443907892324389E-3</v>
      </c>
      <c r="BE35" s="3">
        <v>6.2527069597035911E-2</v>
      </c>
      <c r="BF35" s="3">
        <v>6.7153292396454525E-2</v>
      </c>
      <c r="BG35" s="3">
        <v>6.1118978770105192E-2</v>
      </c>
      <c r="BH35" s="3">
        <v>-6.2737364737846829E-2</v>
      </c>
      <c r="BI35" s="3">
        <v>4.4911986155669222E-2</v>
      </c>
      <c r="BJ35" s="3">
        <v>4.339381265657842E-2</v>
      </c>
      <c r="BK35" s="3">
        <v>7.6963063894363096E-2</v>
      </c>
      <c r="BL35" s="3">
        <v>-1.9424231942792684E-2</v>
      </c>
      <c r="BM35" s="3">
        <v>8.6062454231347493E-2</v>
      </c>
      <c r="BN35" s="3">
        <v>5.4032526187320518E-2</v>
      </c>
      <c r="BO35" s="3">
        <v>9.7433775242923515E-2</v>
      </c>
      <c r="BP35" s="3">
        <v>-7.7689432092629809E-2</v>
      </c>
      <c r="BQ35" s="3">
        <v>6.2896442890509704E-2</v>
      </c>
      <c r="BR35" s="3">
        <v>-1.0987696554369651E-2</v>
      </c>
      <c r="BS35" s="3">
        <v>1.8868781858197799E-2</v>
      </c>
      <c r="BT35" s="3">
        <v>-8.0342143554460191E-2</v>
      </c>
      <c r="BU35" s="3">
        <v>-3.7352194758554885E-4</v>
      </c>
      <c r="BV35" s="3">
        <v>4.5161108050062515E-2</v>
      </c>
      <c r="BW35" s="3">
        <v>-2.4212385894157983E-2</v>
      </c>
      <c r="BX35" s="3">
        <v>-8.358349581521772E-2</v>
      </c>
      <c r="BY35" s="3">
        <v>4.8505899650481597E-2</v>
      </c>
      <c r="BZ35" s="3">
        <v>2.5198988962704748E-2</v>
      </c>
      <c r="CA35" s="3">
        <v>7.8184784812658753E-2</v>
      </c>
    </row>
    <row r="36" spans="1:79" x14ac:dyDescent="0.2">
      <c r="A36" s="3" t="s">
        <v>166</v>
      </c>
      <c r="B36" s="3">
        <v>8.0789786522138279E-2</v>
      </c>
      <c r="C36" s="3">
        <v>-2.0075682603881671E-3</v>
      </c>
      <c r="D36" s="3">
        <v>-5.0969668946086975E-2</v>
      </c>
      <c r="E36" s="3">
        <v>3.6832164847858354E-2</v>
      </c>
      <c r="F36" s="3">
        <v>1.9171285669027E-2</v>
      </c>
      <c r="G36" s="3">
        <v>-1.4897591270330799E-2</v>
      </c>
      <c r="H36" s="3">
        <v>7.2412116019259037E-2</v>
      </c>
      <c r="I36" s="3">
        <v>2.0092770703199394E-2</v>
      </c>
      <c r="J36" s="3">
        <v>6.4248706459158297E-2</v>
      </c>
      <c r="K36" s="3">
        <v>-4.2325037020097427E-2</v>
      </c>
      <c r="L36" s="3">
        <v>0.11845164377630907</v>
      </c>
      <c r="M36" s="3">
        <v>8.4533432096077207E-2</v>
      </c>
      <c r="N36" s="3">
        <v>-2.2975987693370673E-2</v>
      </c>
      <c r="O36" s="3">
        <v>1.2884854643721994E-2</v>
      </c>
      <c r="P36" s="3">
        <v>4.1289131810856453E-3</v>
      </c>
      <c r="Q36" s="3">
        <v>8.6545687923329423E-2</v>
      </c>
      <c r="R36" s="3">
        <v>3.633505142093077E-2</v>
      </c>
      <c r="S36" s="3">
        <v>5.964069707569869E-2</v>
      </c>
      <c r="T36" s="3">
        <v>6.9204071610496909E-2</v>
      </c>
      <c r="U36" s="3">
        <v>0.10268086769664383</v>
      </c>
      <c r="V36" s="3">
        <v>0.12532757106849921</v>
      </c>
      <c r="W36" s="3">
        <v>0.25426029303068776</v>
      </c>
      <c r="X36" s="3">
        <v>0.27651147022802486</v>
      </c>
      <c r="Y36" s="3">
        <v>9.5943635844599376E-2</v>
      </c>
      <c r="Z36" s="3">
        <v>-5.6679898579437268E-2</v>
      </c>
      <c r="AA36" s="3">
        <v>-0.14174304729353546</v>
      </c>
      <c r="AB36" s="3">
        <v>-0.1066797426662065</v>
      </c>
      <c r="AC36" s="3">
        <v>-4.1451336611300991E-3</v>
      </c>
      <c r="AD36" s="3">
        <v>5.2807606242310935E-2</v>
      </c>
      <c r="AE36" s="3">
        <v>-1.9989030211120588E-2</v>
      </c>
      <c r="AF36" s="3">
        <v>6.3661181215052168E-2</v>
      </c>
      <c r="AG36" s="3">
        <v>0.16213145859084346</v>
      </c>
      <c r="AH36" s="3">
        <v>0.15342571199244187</v>
      </c>
      <c r="AI36" s="3">
        <v>-1.7835036106305909E-4</v>
      </c>
      <c r="AJ36" s="3">
        <v>0.21116608978532803</v>
      </c>
      <c r="AK36" s="3">
        <v>0.21079002088986765</v>
      </c>
      <c r="AL36" s="3">
        <v>3.5060494390146704E-2</v>
      </c>
      <c r="AM36" s="3">
        <v>-9.6505885140724917E-2</v>
      </c>
      <c r="AN36" s="3">
        <v>-0.1124055432318229</v>
      </c>
      <c r="AO36" s="3">
        <v>6.0505828554817481E-2</v>
      </c>
      <c r="AP36" s="3">
        <v>-0.14630340793678964</v>
      </c>
      <c r="AQ36" s="3">
        <v>3.0524075059907434E-2</v>
      </c>
      <c r="AR36" s="3">
        <v>-1.8292224864083953E-2</v>
      </c>
      <c r="AS36" s="3">
        <v>2.5989778337244036E-2</v>
      </c>
      <c r="AT36" s="3">
        <v>-2.6204196689680125E-2</v>
      </c>
      <c r="AU36" s="3">
        <v>1.5320739680856735E-2</v>
      </c>
      <c r="AV36" s="3">
        <v>0.28226732345172678</v>
      </c>
      <c r="AW36" s="3">
        <v>0.17186701703669227</v>
      </c>
      <c r="AX36" s="3">
        <v>0.15965822018461179</v>
      </c>
      <c r="AY36" s="3">
        <v>1.5667047986393737E-2</v>
      </c>
      <c r="AZ36" s="3">
        <v>-4.3983016101959323E-2</v>
      </c>
      <c r="BA36" s="3">
        <v>2.065533780741468E-2</v>
      </c>
      <c r="BB36" s="3">
        <v>7.8375913614675986E-5</v>
      </c>
      <c r="BC36" s="3">
        <v>0.13779207793787762</v>
      </c>
      <c r="BD36" s="3">
        <v>8.0199533041507565E-2</v>
      </c>
      <c r="BE36" s="3">
        <v>0.108840364348332</v>
      </c>
      <c r="BF36" s="3">
        <v>0.11749112340281635</v>
      </c>
      <c r="BG36" s="3">
        <v>-3.314771437397885E-2</v>
      </c>
      <c r="BH36" s="3">
        <v>-0.1849737935919335</v>
      </c>
      <c r="BI36" s="3">
        <v>-8.3062577407241947E-3</v>
      </c>
      <c r="BJ36" s="3">
        <v>0.11903650298001471</v>
      </c>
      <c r="BK36" s="3">
        <v>6.5351156256616041E-2</v>
      </c>
      <c r="BL36" s="3">
        <v>7.5142210273785023E-2</v>
      </c>
      <c r="BM36" s="3">
        <v>9.2784056636767587E-2</v>
      </c>
      <c r="BN36" s="3">
        <v>8.5131970277998265E-2</v>
      </c>
      <c r="BO36" s="3">
        <v>9.0620738825697808E-2</v>
      </c>
      <c r="BP36" s="3">
        <v>1.0648887951934225E-2</v>
      </c>
      <c r="BQ36" s="3">
        <v>0.28418176254792926</v>
      </c>
      <c r="BR36" s="3">
        <v>-6.8182918139897556E-3</v>
      </c>
      <c r="BS36" s="3">
        <v>-0.31634434524780597</v>
      </c>
      <c r="BT36" s="3">
        <v>4.6685567293209884E-2</v>
      </c>
      <c r="BU36" s="3">
        <v>-4.9820058115593341E-2</v>
      </c>
      <c r="BV36" s="3">
        <v>-8.3365378770362639E-2</v>
      </c>
      <c r="BW36" s="3">
        <v>-2.48521473451805E-2</v>
      </c>
      <c r="BX36" s="3">
        <v>1.6361544747860762E-2</v>
      </c>
      <c r="BY36" s="3">
        <v>8.1240684671666091E-2</v>
      </c>
      <c r="BZ36" s="3">
        <v>0.11048159812443319</v>
      </c>
      <c r="CA36" s="3">
        <v>9.2393775504996972E-2</v>
      </c>
    </row>
    <row r="37" spans="1:79" x14ac:dyDescent="0.2">
      <c r="A37" s="3" t="s">
        <v>164</v>
      </c>
      <c r="B37" s="3">
        <v>9.923642448776436E-2</v>
      </c>
      <c r="C37" s="3">
        <v>7.1457098324807011E-2</v>
      </c>
      <c r="D37" s="3">
        <v>9.0731997801317826E-2</v>
      </c>
      <c r="E37" s="3">
        <v>3.2045999932891612E-3</v>
      </c>
      <c r="F37" s="3">
        <v>7.531493080433789E-2</v>
      </c>
      <c r="G37" s="3">
        <v>6.3968833018649321E-2</v>
      </c>
      <c r="H37" s="3">
        <v>5.2938349861317131E-2</v>
      </c>
      <c r="I37" s="3">
        <v>4.2140581272257074E-2</v>
      </c>
      <c r="J37" s="3">
        <v>6.1451757280569369E-2</v>
      </c>
      <c r="K37" s="3">
        <v>2.3919146688597421E-2</v>
      </c>
      <c r="L37" s="3">
        <v>5.2207673790012038E-2</v>
      </c>
      <c r="M37" s="3">
        <v>3.6389290364317824E-2</v>
      </c>
      <c r="N37" s="3">
        <v>6.0051191269935383E-2</v>
      </c>
      <c r="O37" s="3">
        <v>6.0080368095634266E-2</v>
      </c>
      <c r="P37" s="3">
        <v>9.6338451630693323E-2</v>
      </c>
      <c r="Q37" s="3">
        <v>8.144440176423666E-2</v>
      </c>
      <c r="R37" s="3">
        <v>7.8933107738830804E-2</v>
      </c>
      <c r="S37" s="3">
        <v>3.529878895327742E-2</v>
      </c>
      <c r="T37" s="3">
        <v>4.8579068915486828E-2</v>
      </c>
      <c r="U37" s="3">
        <v>2.1142711093022324E-2</v>
      </c>
      <c r="V37" s="3">
        <v>5.7323911714568035E-2</v>
      </c>
      <c r="W37" s="3">
        <v>2.6560598389599469E-2</v>
      </c>
      <c r="X37" s="3">
        <v>3.8956815988780223E-2</v>
      </c>
      <c r="Y37" s="3">
        <v>2.6347107507856675E-2</v>
      </c>
      <c r="Z37" s="3">
        <v>3.8801860619195848E-2</v>
      </c>
      <c r="AA37" s="3">
        <v>1.6938803023288478E-2</v>
      </c>
      <c r="AB37" s="3">
        <v>2.1278316997986331E-2</v>
      </c>
      <c r="AC37" s="3">
        <v>-0.10845664809066846</v>
      </c>
      <c r="AD37" s="3">
        <v>4.9613056994407025E-2</v>
      </c>
      <c r="AE37" s="3">
        <v>5.4114402534464687E-2</v>
      </c>
      <c r="AF37" s="3">
        <v>5.7153293536856054E-2</v>
      </c>
      <c r="AG37" s="3">
        <v>-7.2183107799795226E-2</v>
      </c>
      <c r="AH37" s="3">
        <v>7.5050213574055863E-2</v>
      </c>
      <c r="AI37" s="3">
        <v>4.4036085109763777E-2</v>
      </c>
      <c r="AJ37" s="3">
        <v>6.6335908052831585E-2</v>
      </c>
      <c r="AK37" s="3">
        <v>-7.8241842769708247E-2</v>
      </c>
      <c r="AL37" s="3">
        <v>7.0937620280181843E-2</v>
      </c>
      <c r="AM37" s="3">
        <v>5.9158490438556754E-2</v>
      </c>
      <c r="AN37" s="3">
        <v>7.2295524454391955E-2</v>
      </c>
      <c r="AO37" s="3">
        <v>-6.5276048357245556E-2</v>
      </c>
      <c r="AP37" s="3">
        <v>7.1932721339664135E-2</v>
      </c>
      <c r="AQ37" s="3">
        <v>3.8221225817932539E-2</v>
      </c>
      <c r="AR37" s="3">
        <v>7.9097119388156792E-2</v>
      </c>
      <c r="AS37" s="3">
        <v>-5.0985290248368627E-2</v>
      </c>
      <c r="AT37" s="3">
        <v>9.9306913973341418E-2</v>
      </c>
      <c r="AU37" s="3">
        <v>6.8790843559405929E-2</v>
      </c>
      <c r="AV37" s="3">
        <v>9.0763770802158E-2</v>
      </c>
      <c r="AW37" s="3">
        <v>-2.3445529717384058E-2</v>
      </c>
      <c r="AX37" s="3">
        <v>7.6568623141711492E-2</v>
      </c>
      <c r="AY37" s="3">
        <v>3.722852351492776E-2</v>
      </c>
      <c r="AZ37" s="3">
        <v>7.763999004014234E-2</v>
      </c>
      <c r="BA37" s="3">
        <v>-2.9246699483029978E-2</v>
      </c>
      <c r="BB37" s="3">
        <v>7.6959597976646824E-2</v>
      </c>
      <c r="BC37" s="3">
        <v>5.3826264840821418E-2</v>
      </c>
      <c r="BD37" s="3">
        <v>7.4710546859774532E-2</v>
      </c>
      <c r="BE37" s="3">
        <v>-5.0632848929217628E-2</v>
      </c>
      <c r="BF37" s="3">
        <v>5.7802413039151249E-2</v>
      </c>
      <c r="BG37" s="3">
        <v>4.3454802378766658E-2</v>
      </c>
      <c r="BH37" s="3">
        <v>5.7560306389873993E-2</v>
      </c>
      <c r="BI37" s="3">
        <v>-7.1897570425153184E-2</v>
      </c>
      <c r="BJ37" s="3">
        <v>5.8055010229833386E-2</v>
      </c>
      <c r="BK37" s="3">
        <v>6.9785069334576233E-2</v>
      </c>
      <c r="BL37" s="3">
        <v>8.8498856911372339E-2</v>
      </c>
      <c r="BM37" s="3">
        <v>-6.6563313956975012E-2</v>
      </c>
      <c r="BN37" s="3">
        <v>4.5973562649701212E-2</v>
      </c>
      <c r="BO37" s="3">
        <v>9.7779640909820276E-2</v>
      </c>
      <c r="BP37" s="3">
        <v>6.6933737735879378E-2</v>
      </c>
      <c r="BQ37" s="3">
        <v>-0.10987731848898295</v>
      </c>
      <c r="BR37" s="3">
        <v>1.4561540743707571E-2</v>
      </c>
      <c r="BS37" s="3">
        <v>4.4836325188556354E-2</v>
      </c>
      <c r="BT37" s="3">
        <v>4.0498482451955226E-2</v>
      </c>
      <c r="BU37" s="3">
        <v>-0.12536366202797247</v>
      </c>
      <c r="BV37" s="3">
        <v>6.1808974839747302E-2</v>
      </c>
      <c r="BW37" s="3">
        <v>-2.5333423646204074E-2</v>
      </c>
      <c r="BX37" s="3">
        <v>5.9823302915670458E-2</v>
      </c>
      <c r="BY37" s="3">
        <v>-0.12677049234747184</v>
      </c>
      <c r="BZ37" s="3">
        <v>0.1925526349203816</v>
      </c>
      <c r="CA37" s="3">
        <v>-5.1970585475232318E-2</v>
      </c>
    </row>
    <row r="38" spans="1:79" x14ac:dyDescent="0.2">
      <c r="A38" s="3" t="s">
        <v>163</v>
      </c>
      <c r="B38" s="3">
        <v>2.7754978546993107E-2</v>
      </c>
      <c r="C38" s="3">
        <v>3.8178837773060845E-2</v>
      </c>
      <c r="D38" s="3">
        <v>0.12064866814469595</v>
      </c>
      <c r="E38" s="3">
        <v>-0.15107680505636148</v>
      </c>
      <c r="F38" s="3">
        <v>2.9449883629321112E-2</v>
      </c>
      <c r="G38" s="3">
        <v>2.27432513935369E-2</v>
      </c>
      <c r="H38" s="3">
        <v>-1.8354054245707443E-3</v>
      </c>
      <c r="I38" s="3">
        <v>1.8989278025210107E-2</v>
      </c>
      <c r="J38" s="3">
        <v>5.2569327793265813E-2</v>
      </c>
      <c r="K38" s="3">
        <v>-1.8546148009941581E-2</v>
      </c>
      <c r="L38" s="3">
        <v>3.0836723015180575E-2</v>
      </c>
      <c r="M38" s="3">
        <v>5.8659289873743622E-2</v>
      </c>
      <c r="N38" s="3">
        <v>5.2192722510353822E-3</v>
      </c>
      <c r="O38" s="3">
        <v>-1.2097503928335323E-2</v>
      </c>
      <c r="P38" s="3">
        <v>4.1850229962499368E-3</v>
      </c>
      <c r="Q38" s="3">
        <v>0.12143603476832758</v>
      </c>
      <c r="R38" s="3">
        <v>5.9343115651022731E-2</v>
      </c>
      <c r="S38" s="3">
        <v>0.24959135068418514</v>
      </c>
      <c r="T38" s="3">
        <v>5.0614602450145679E-2</v>
      </c>
      <c r="U38" s="3">
        <v>0.3116269749814079</v>
      </c>
      <c r="V38" s="3">
        <v>0.18996683454221308</v>
      </c>
      <c r="W38" s="3">
        <v>-8.6426239786656242E-2</v>
      </c>
      <c r="X38" s="3">
        <v>0.38610221500806374</v>
      </c>
      <c r="Y38" s="3">
        <v>0.3138198016904718</v>
      </c>
      <c r="Z38" s="3">
        <v>0.16068621330738969</v>
      </c>
      <c r="AA38" s="3">
        <v>0.51516425539239019</v>
      </c>
      <c r="AB38" s="3">
        <v>-2.5288406241649727E-2</v>
      </c>
      <c r="AC38" s="3">
        <v>1.2929028935486013E-3</v>
      </c>
      <c r="AD38" s="3">
        <v>-0.28664231393588757</v>
      </c>
      <c r="AE38" s="3">
        <v>0.37960051461465505</v>
      </c>
      <c r="AF38" s="3">
        <v>0.14565834728844762</v>
      </c>
      <c r="AG38" s="3">
        <v>-0.18479840521053997</v>
      </c>
      <c r="AH38" s="3">
        <v>-0.34508236983211033</v>
      </c>
      <c r="AI38" s="3">
        <v>0.46308119705107986</v>
      </c>
      <c r="AJ38" s="3">
        <v>-5.0741992808875688E-2</v>
      </c>
      <c r="AK38" s="3">
        <v>-0.18435635214221729</v>
      </c>
      <c r="AL38" s="3">
        <v>-0.24195769937104092</v>
      </c>
      <c r="AM38" s="3">
        <v>0.3127391626760726</v>
      </c>
      <c r="AN38" s="3">
        <v>-0.13738345747828243</v>
      </c>
      <c r="AO38" s="3">
        <v>1.9321775998007849E-2</v>
      </c>
      <c r="AP38" s="3">
        <v>-0.1533859174991774</v>
      </c>
      <c r="AQ38" s="3">
        <v>0.13038898093279958</v>
      </c>
      <c r="AR38" s="3">
        <v>8.3149314211530045E-2</v>
      </c>
      <c r="AS38" s="3">
        <v>-0.10517788836048994</v>
      </c>
      <c r="AT38" s="3">
        <v>-7.157660295586625E-2</v>
      </c>
      <c r="AU38" s="3">
        <v>8.7748389290480226E-3</v>
      </c>
      <c r="AV38" s="3">
        <v>8.6631473458462695E-3</v>
      </c>
      <c r="AW38" s="3">
        <v>3.7456611346561225E-2</v>
      </c>
      <c r="AX38" s="3">
        <v>4.5048079292765705E-2</v>
      </c>
      <c r="AY38" s="3">
        <v>-8.8955269351673281E-3</v>
      </c>
      <c r="AZ38" s="3">
        <v>0.1348349461208932</v>
      </c>
      <c r="BA38" s="3">
        <v>0.23891791512601324</v>
      </c>
      <c r="BB38" s="3">
        <v>0.39433337181115086</v>
      </c>
      <c r="BC38" s="3">
        <v>8.6845669894328945E-2</v>
      </c>
      <c r="BD38" s="3">
        <v>0.57580176325362853</v>
      </c>
      <c r="BE38" s="3">
        <v>-5.2642396509010245E-2</v>
      </c>
      <c r="BF38" s="3">
        <v>0.41480243387801169</v>
      </c>
      <c r="BG38" s="3">
        <v>-0.16335208376033344</v>
      </c>
      <c r="BH38" s="3">
        <v>0.52956845951945941</v>
      </c>
      <c r="BI38" s="3">
        <v>-2.0286055066515745E-2</v>
      </c>
      <c r="BJ38" s="3">
        <v>9.970236983754556E-2</v>
      </c>
      <c r="BK38" s="3">
        <v>-0.1668294591429666</v>
      </c>
      <c r="BL38" s="3">
        <v>0.39666167490149412</v>
      </c>
      <c r="BM38" s="3">
        <v>1.5280885226011596</v>
      </c>
      <c r="BN38" s="3">
        <v>0.86490186180479256</v>
      </c>
      <c r="BO38" s="3">
        <v>-0.55000930326402597</v>
      </c>
      <c r="BP38" s="3">
        <v>2.1124693283426907</v>
      </c>
      <c r="BQ38" s="3">
        <v>-0.71078835222189896</v>
      </c>
      <c r="BR38" s="3">
        <v>-0.32126892965312304</v>
      </c>
      <c r="BS38" s="3">
        <v>2.6366804977282068</v>
      </c>
      <c r="BT38" s="3">
        <v>-0.46037335296001991</v>
      </c>
      <c r="BU38" s="3">
        <v>1.7756796352125381</v>
      </c>
      <c r="BV38" s="3">
        <v>-0.70368242297264805</v>
      </c>
      <c r="BW38" s="3">
        <v>-0.12468008223527989</v>
      </c>
      <c r="BX38" s="3">
        <v>-0.10064468827307783</v>
      </c>
      <c r="BY38" s="3">
        <v>0.11597788682472215</v>
      </c>
      <c r="BZ38" s="3">
        <v>-0.16777499081032929</v>
      </c>
      <c r="CA38" s="3">
        <v>6.5024137280378147E-2</v>
      </c>
    </row>
    <row r="39" spans="1:79" x14ac:dyDescent="0.2">
      <c r="A39" s="3" t="s">
        <v>162</v>
      </c>
      <c r="B39" s="3">
        <v>3.4932614823686398E-2</v>
      </c>
      <c r="C39" s="3">
        <v>2.7104756037381487E-2</v>
      </c>
      <c r="D39" s="3">
        <v>4.0185008028512666E-2</v>
      </c>
      <c r="E39" s="3">
        <v>8.3685867382308182E-2</v>
      </c>
      <c r="F39" s="3">
        <v>-1.1960214565278167E-2</v>
      </c>
      <c r="G39" s="3">
        <v>8.4271534238537393E-2</v>
      </c>
      <c r="H39" s="3">
        <v>9.8342650743364679E-2</v>
      </c>
      <c r="I39" s="3">
        <v>4.2264432213313274E-2</v>
      </c>
      <c r="J39" s="3">
        <v>-8.5321642531243802E-2</v>
      </c>
      <c r="K39" s="3">
        <v>-1.4231401053491547E-2</v>
      </c>
      <c r="L39" s="3">
        <v>0.22734719302724921</v>
      </c>
      <c r="M39" s="3">
        <v>6.4055971958653868E-2</v>
      </c>
      <c r="N39" s="3">
        <v>-0.12178402222548027</v>
      </c>
      <c r="O39" s="3">
        <v>3.7450194586670649E-2</v>
      </c>
      <c r="P39" s="3">
        <v>8.3945776363819335E-2</v>
      </c>
      <c r="Q39" s="3">
        <v>9.9881715043105765E-2</v>
      </c>
      <c r="R39" s="3">
        <v>0.11818527650476301</v>
      </c>
      <c r="S39" s="3">
        <v>4.4442746818457758E-2</v>
      </c>
      <c r="T39" s="3">
        <v>-2.1837585886298925E-4</v>
      </c>
      <c r="U39" s="3">
        <v>3.8046767435858304E-3</v>
      </c>
      <c r="V39" s="3">
        <v>2.7255383985002431E-2</v>
      </c>
      <c r="W39" s="3">
        <v>8.6435167846543384E-3</v>
      </c>
      <c r="X39" s="3">
        <v>0.19245168218284925</v>
      </c>
      <c r="Y39" s="3">
        <v>-3.0373805668439395E-3</v>
      </c>
      <c r="Z39" s="3">
        <v>-2.6022663442034639E-2</v>
      </c>
      <c r="AA39" s="3">
        <v>6.9410926279392743E-2</v>
      </c>
      <c r="AB39" s="3">
        <v>0.12051887356892636</v>
      </c>
      <c r="AC39" s="3">
        <v>4.7822996867707017E-2</v>
      </c>
      <c r="AD39" s="3">
        <v>-0.13811005107855967</v>
      </c>
      <c r="AE39" s="3">
        <v>8.2371589511728377E-2</v>
      </c>
      <c r="AF39" s="3">
        <v>0.10027603174070923</v>
      </c>
      <c r="AG39" s="3">
        <v>-2.6288691233474021E-2</v>
      </c>
      <c r="AH39" s="3">
        <v>-3.7168785418178411E-2</v>
      </c>
      <c r="AI39" s="3">
        <v>8.1620060289547772E-3</v>
      </c>
      <c r="AJ39" s="3">
        <v>0.10431523494006756</v>
      </c>
      <c r="AK39" s="3">
        <v>-1.8284041539855495E-2</v>
      </c>
      <c r="AL39" s="3">
        <v>-2.7477950993836594E-2</v>
      </c>
      <c r="AM39" s="3">
        <v>6.6040155263315303E-2</v>
      </c>
      <c r="AN39" s="3">
        <v>0.10771589856325953</v>
      </c>
      <c r="AO39" s="3">
        <v>8.2244704722074055E-2</v>
      </c>
      <c r="AP39" s="3">
        <v>-2.9107745708002375E-3</v>
      </c>
      <c r="AQ39" s="3">
        <v>-4.984761650005929E-2</v>
      </c>
      <c r="AR39" s="3">
        <v>-7.5756312539455159E-3</v>
      </c>
      <c r="AS39" s="3">
        <v>-1.0085533067051424E-2</v>
      </c>
      <c r="AT39" s="3">
        <v>5.2321068653636831E-2</v>
      </c>
      <c r="AU39" s="3">
        <v>4.8648535616029213E-2</v>
      </c>
      <c r="AV39" s="3">
        <v>0.11733324457726506</v>
      </c>
      <c r="AW39" s="3">
        <v>0.1278139545829545</v>
      </c>
      <c r="AX39" s="3">
        <v>5.4843044145138639E-3</v>
      </c>
      <c r="AY39" s="3">
        <v>-0.10144481482659938</v>
      </c>
      <c r="AZ39" s="3">
        <v>0.11850772797662945</v>
      </c>
      <c r="BA39" s="3">
        <v>0.12119874359038155</v>
      </c>
      <c r="BB39" s="3">
        <v>1.3917467135215047E-2</v>
      </c>
      <c r="BC39" s="3">
        <v>-1.426968838367417E-2</v>
      </c>
      <c r="BD39" s="3">
        <v>5.8446782454791679E-2</v>
      </c>
      <c r="BE39" s="3">
        <v>9.942702721118446E-2</v>
      </c>
      <c r="BF39" s="3">
        <v>4.6145375204194705E-2</v>
      </c>
      <c r="BG39" s="3">
        <v>1.5613407224674141E-2</v>
      </c>
      <c r="BH39" s="3">
        <v>1.4867923168699487E-2</v>
      </c>
      <c r="BI39" s="3">
        <v>6.6479875755120654E-2</v>
      </c>
      <c r="BJ39" s="3">
        <v>-1.3422002311703339E-2</v>
      </c>
      <c r="BK39" s="3">
        <v>4.6212500337592327E-3</v>
      </c>
      <c r="BL39" s="3">
        <v>0.11749402055701691</v>
      </c>
      <c r="BM39" s="3">
        <v>0.12172082298466108</v>
      </c>
      <c r="BN39" s="3">
        <v>-2.3941738374223989E-2</v>
      </c>
      <c r="BO39" s="3">
        <v>5.897667485361615E-2</v>
      </c>
      <c r="BP39" s="3">
        <v>0.21690208006279435</v>
      </c>
      <c r="BQ39" s="3">
        <v>0.36661077042682183</v>
      </c>
      <c r="BR39" s="3">
        <v>-0.24334357648231433</v>
      </c>
      <c r="BS39" s="3">
        <v>-0.17384021474040243</v>
      </c>
      <c r="BT39" s="3">
        <v>0.20354585803412936</v>
      </c>
      <c r="BU39" s="3">
        <v>-5.9523271890013031E-2</v>
      </c>
      <c r="BV39" s="3">
        <v>1.917103004810598E-2</v>
      </c>
      <c r="BW39" s="3">
        <v>0.11721852315740371</v>
      </c>
      <c r="BX39" s="3">
        <v>0.21590365763056324</v>
      </c>
      <c r="BY39" s="3">
        <v>-4.1584784633361946E-2</v>
      </c>
      <c r="BZ39" s="3">
        <v>-0.18485706820864389</v>
      </c>
      <c r="CA39" s="3">
        <v>0.13233622888239305</v>
      </c>
    </row>
    <row r="40" spans="1:79" x14ac:dyDescent="0.2">
      <c r="A40" s="3" t="s">
        <v>161</v>
      </c>
      <c r="B40" s="3">
        <v>0.1144406441160387</v>
      </c>
      <c r="C40" s="3">
        <v>-1.951028631848873E-2</v>
      </c>
      <c r="D40" s="3">
        <v>3.4163889202199697E-2</v>
      </c>
      <c r="E40" s="3">
        <v>-0.18890413600710343</v>
      </c>
      <c r="F40" s="3">
        <v>-1.6127422014566441E-2</v>
      </c>
      <c r="G40" s="3">
        <v>0.10697522935661191</v>
      </c>
      <c r="H40" s="3">
        <v>0.1824599284653213</v>
      </c>
      <c r="I40" s="3">
        <v>0.15529963744934955</v>
      </c>
      <c r="J40" s="3">
        <v>-9.2530055160058466E-2</v>
      </c>
      <c r="K40" s="3">
        <v>0.20715753186680189</v>
      </c>
      <c r="L40" s="3">
        <v>6.3024334632320989E-2</v>
      </c>
      <c r="M40" s="3">
        <v>2.3338708003834498E-2</v>
      </c>
      <c r="N40" s="3">
        <v>-0.19029178766899868</v>
      </c>
      <c r="O40" s="3">
        <v>0.15918177483757728</v>
      </c>
      <c r="P40" s="3">
        <v>0.25380462832817552</v>
      </c>
      <c r="Q40" s="3">
        <v>9.2555153570305623E-2</v>
      </c>
      <c r="R40" s="3">
        <v>-0.1967304875456827</v>
      </c>
      <c r="S40" s="3">
        <v>0.45033729063192451</v>
      </c>
      <c r="T40" s="3">
        <v>0.1105283012533307</v>
      </c>
      <c r="U40" s="3">
        <v>0.16211789275893951</v>
      </c>
      <c r="V40" s="3">
        <v>-3.0416537852970904E-3</v>
      </c>
      <c r="W40" s="3">
        <v>-0.25220707298366357</v>
      </c>
      <c r="X40" s="3">
        <v>0.29903081551835686</v>
      </c>
      <c r="Y40" s="3">
        <v>0.17316763308074623</v>
      </c>
      <c r="Z40" s="3">
        <v>-0.20982454066831419</v>
      </c>
      <c r="AA40" s="3">
        <v>0.25653497418682664</v>
      </c>
      <c r="AB40" s="3">
        <v>0.28340570623400374</v>
      </c>
      <c r="AC40" s="3">
        <v>3.04542180605217E-2</v>
      </c>
      <c r="AD40" s="3">
        <v>-0.21810665922099678</v>
      </c>
      <c r="AE40" s="3">
        <v>0.1475023521154942</v>
      </c>
      <c r="AF40" s="3">
        <v>-4.6776311961800522E-2</v>
      </c>
      <c r="AG40" s="3">
        <v>3.9488713927426269E-2</v>
      </c>
      <c r="AH40" s="3">
        <v>-0.17373983126707085</v>
      </c>
      <c r="AI40" s="3">
        <v>0.17457243004727729</v>
      </c>
      <c r="AJ40" s="3">
        <v>2.8833202997832742E-2</v>
      </c>
      <c r="AK40" s="3">
        <v>-6.4461180085081907E-2</v>
      </c>
      <c r="AL40" s="3">
        <v>-6.539746823654885E-2</v>
      </c>
      <c r="AM40" s="3">
        <v>1.4014368205357078E-2</v>
      </c>
      <c r="AN40" s="3">
        <v>0.16581772906734818</v>
      </c>
      <c r="AO40" s="3">
        <v>0.16046778404854417</v>
      </c>
      <c r="AP40" s="3">
        <v>-5.1913527141864001E-2</v>
      </c>
      <c r="AQ40" s="3">
        <v>-2.2162575727479948E-2</v>
      </c>
      <c r="AR40" s="3">
        <v>-4.52969956750792E-2</v>
      </c>
      <c r="AS40" s="3">
        <v>3.2299534014735676E-2</v>
      </c>
      <c r="AT40" s="3">
        <v>2.1717841451753393E-2</v>
      </c>
      <c r="AU40" s="3">
        <v>-5.0674489491280526E-2</v>
      </c>
      <c r="AV40" s="3">
        <v>-0.1065198610702791</v>
      </c>
      <c r="AW40" s="3">
        <v>0.14363038426293268</v>
      </c>
      <c r="AX40" s="3">
        <v>0.18346538621316186</v>
      </c>
      <c r="AY40" s="3">
        <v>-0.16853625949640166</v>
      </c>
      <c r="AZ40" s="3">
        <v>-0.1382583413220777</v>
      </c>
      <c r="BA40" s="3">
        <v>0.19648582026608474</v>
      </c>
      <c r="BB40" s="3">
        <v>0.10338837954907945</v>
      </c>
      <c r="BC40" s="3">
        <v>-9.1825867126256608E-2</v>
      </c>
      <c r="BD40" s="3">
        <v>4.4576656143806612E-2</v>
      </c>
      <c r="BE40" s="3">
        <v>-4.9980555590775688E-2</v>
      </c>
      <c r="BF40" s="3">
        <v>0.13158814354291176</v>
      </c>
      <c r="BG40" s="3">
        <v>0.11742409018583368</v>
      </c>
      <c r="BH40" s="3">
        <v>1.2601067961748013E-2</v>
      </c>
      <c r="BI40" s="3">
        <v>-1.0453325892189088E-2</v>
      </c>
      <c r="BJ40" s="3">
        <v>-0.13144738381272109</v>
      </c>
      <c r="BK40" s="3">
        <v>4.1273902692323158E-2</v>
      </c>
      <c r="BL40" s="3">
        <v>0.17740901000968981</v>
      </c>
      <c r="BM40" s="3">
        <v>0.16978559968245518</v>
      </c>
      <c r="BN40" s="3">
        <v>-0.18675761870855473</v>
      </c>
      <c r="BO40" s="3">
        <v>-3.9984881968494396E-2</v>
      </c>
      <c r="BP40" s="3">
        <v>0.14720500859317456</v>
      </c>
      <c r="BQ40" s="3">
        <v>0.60230183857546593</v>
      </c>
      <c r="BR40" s="3">
        <v>-0.2573264701877977</v>
      </c>
      <c r="BS40" s="3">
        <v>-0.18206282442001986</v>
      </c>
      <c r="BT40" s="3">
        <v>0.21161511794663324</v>
      </c>
      <c r="BU40" s="3">
        <v>-0.10201337779772308</v>
      </c>
      <c r="BV40" s="3">
        <v>0.20341932223701523</v>
      </c>
      <c r="BW40" s="3">
        <v>-0.12452229500014655</v>
      </c>
      <c r="BX40" s="3">
        <v>0.64662821480299015</v>
      </c>
      <c r="BY40" s="3">
        <v>-0.20257660688131077</v>
      </c>
      <c r="BZ40" s="3">
        <v>-0.51733244722314531</v>
      </c>
      <c r="CA40" s="3">
        <v>0.81272208576117722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TSM - Income Statement FY</vt:lpstr>
      <vt:lpstr>TSM - Balance Sheet FY</vt:lpstr>
      <vt:lpstr>TSM - Cash Flow FY</vt:lpstr>
      <vt:lpstr>TSM - Key Metrics FY</vt:lpstr>
      <vt:lpstr>TSM - Financial Growth FY</vt:lpstr>
      <vt:lpstr>TSM - Income Statement Q</vt:lpstr>
      <vt:lpstr>TSM - Balance Sheet Q</vt:lpstr>
      <vt:lpstr>TSM - Cash Flow Q</vt:lpstr>
      <vt:lpstr>TSM - Key Metrics Q</vt:lpstr>
      <vt:lpstr>TSM - Financial Growth 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 Bobis</dc:creator>
  <cp:lastModifiedBy>Arvin Bobis</cp:lastModifiedBy>
  <dcterms:created xsi:type="dcterms:W3CDTF">2026-06-16T06:23:52Z</dcterms:created>
  <dcterms:modified xsi:type="dcterms:W3CDTF">2026-06-16T06:24:57Z</dcterms:modified>
</cp:coreProperties>
</file>