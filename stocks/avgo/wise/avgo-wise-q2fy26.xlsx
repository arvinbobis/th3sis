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vinbobis/Programs/thesis-builder/stocks/AVGO/"/>
    </mc:Choice>
  </mc:AlternateContent>
  <xr:revisionPtr revIDLastSave="0" documentId="13_ncr:1_{ED87193F-754A-8B43-8409-4ED75BE921AB}" xr6:coauthVersionLast="47" xr6:coauthVersionMax="47" xr10:uidLastSave="{00000000-0000-0000-0000-000000000000}"/>
  <bookViews>
    <workbookView xWindow="3080" yWindow="2160" windowWidth="28040" windowHeight="17180" firstSheet="6" activeTab="9" xr2:uid="{83E17841-51CD-7A44-8100-F94A61FF0AAB}"/>
  </bookViews>
  <sheets>
    <sheet name="AVGO - Income Statement FY" sheetId="2" r:id="rId1"/>
    <sheet name="AVGO - Balance Sheet FY" sheetId="3" r:id="rId2"/>
    <sheet name="AVGO - Cash Flow FY" sheetId="4" r:id="rId3"/>
    <sheet name="AVGO - Key Metrics FY" sheetId="5" r:id="rId4"/>
    <sheet name="AVGO - Financial Growth FY" sheetId="6" r:id="rId5"/>
    <sheet name="AVGO - Income Statement Q" sheetId="8" r:id="rId6"/>
    <sheet name="AVGO - Balance Sheet Q" sheetId="9" r:id="rId7"/>
    <sheet name="AVGO - Cash Flow Q" sheetId="10" r:id="rId8"/>
    <sheet name="AVGO - Key Metrics Q" sheetId="11" r:id="rId9"/>
    <sheet name="AVGO - Financial Growth Q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2" l="1"/>
  <c r="B3" i="11"/>
  <c r="B3" i="10"/>
  <c r="B3" i="9"/>
  <c r="B3" i="6"/>
  <c r="B3" i="5"/>
  <c r="B3" i="4"/>
  <c r="B3" i="3"/>
</calcChain>
</file>

<file path=xl/sharedStrings.xml><?xml version="1.0" encoding="utf-8"?>
<sst xmlns="http://schemas.openxmlformats.org/spreadsheetml/2006/main" count="797" uniqueCount="199">
  <si>
    <t>Income Statement</t>
  </si>
  <si>
    <t>Company</t>
  </si>
  <si>
    <t>AVGO (NASDAQ)</t>
  </si>
  <si>
    <t>Currency</t>
  </si>
  <si>
    <t>USD</t>
  </si>
  <si>
    <t>Weighted Average Shs Out Dil</t>
  </si>
  <si>
    <t>Weighted Average Shs Out</t>
  </si>
  <si>
    <t>Epsdiluted</t>
  </si>
  <si>
    <t>Eps</t>
  </si>
  <si>
    <t>Net Income Ratio</t>
  </si>
  <si>
    <t>Net Income</t>
  </si>
  <si>
    <t>Income Tax Expense</t>
  </si>
  <si>
    <t>Income Before Tax Ratio</t>
  </si>
  <si>
    <t>Income Before Tax</t>
  </si>
  <si>
    <t>Total Other Income Expenses Net</t>
  </si>
  <si>
    <t>Operating Income Ratio</t>
  </si>
  <si>
    <t>Operating Income</t>
  </si>
  <si>
    <t>Ebitdaratio</t>
  </si>
  <si>
    <t>Ebitda</t>
  </si>
  <si>
    <t>Depreciation And Amortization</t>
  </si>
  <si>
    <t>Interest Expense</t>
  </si>
  <si>
    <t>Cost And Expenses</t>
  </si>
  <si>
    <t>Operating Expenses</t>
  </si>
  <si>
    <t>Other Expenses</t>
  </si>
  <si>
    <t>Selling General And Administrative Expenses</t>
  </si>
  <si>
    <t xml:space="preserve">    Selling And Marketing Expenses</t>
  </si>
  <si>
    <t xml:space="preserve">    General And Administrative Expenses</t>
  </si>
  <si>
    <t>Research And Development Expenses</t>
  </si>
  <si>
    <t>Gross Profit Ratio</t>
  </si>
  <si>
    <t>Gross Profit</t>
  </si>
  <si>
    <t>Cost Of Revenue</t>
  </si>
  <si>
    <t>Revenue</t>
  </si>
  <si>
    <t>Period</t>
  </si>
  <si>
    <t>FY</t>
  </si>
  <si>
    <t>Date</t>
  </si>
  <si>
    <t>Balance Sheet</t>
  </si>
  <si>
    <t>Net Debt</t>
  </si>
  <si>
    <t>Total Debt</t>
  </si>
  <si>
    <t>Total Investments</t>
  </si>
  <si>
    <t>Total Liabilities And Stockholders Equity</t>
  </si>
  <si>
    <t>Total Stockholders Equity</t>
  </si>
  <si>
    <t>Othertotal Stockholders Equity</t>
  </si>
  <si>
    <t>Accumulated Other Comprehensive Income Loss</t>
  </si>
  <si>
    <t>Retained Earnings</t>
  </si>
  <si>
    <t>Common Stock</t>
  </si>
  <si>
    <t>Total Liabilities</t>
  </si>
  <si>
    <t>Other Liabilities</t>
  </si>
  <si>
    <t>Total Non Current Liabilities</t>
  </si>
  <si>
    <t>Other Non Current Liabilities</t>
  </si>
  <si>
    <t>Deferred Tax Liabilities Non Current</t>
  </si>
  <si>
    <t>Deferred Revenue Non Current</t>
  </si>
  <si>
    <t>Long Term Debt</t>
  </si>
  <si>
    <t>Total Current Liabilities</t>
  </si>
  <si>
    <t>Other Current Liabilities</t>
  </si>
  <si>
    <t>Deferred Revenue</t>
  </si>
  <si>
    <t>Tax Payables</t>
  </si>
  <si>
    <t>Short Term Debt</t>
  </si>
  <si>
    <t>Account Payables</t>
  </si>
  <si>
    <t>Total Assets</t>
  </si>
  <si>
    <t>Other Assets</t>
  </si>
  <si>
    <t>Total Non Current Assets</t>
  </si>
  <si>
    <t>Other Non Current Assets</t>
  </si>
  <si>
    <t>Tax Assets</t>
  </si>
  <si>
    <t>Long Term Investments</t>
  </si>
  <si>
    <t>Goodwill And Intangible Assets</t>
  </si>
  <si>
    <t>Intangible Assets</t>
  </si>
  <si>
    <t>Goodwill</t>
  </si>
  <si>
    <t>Property Plant Equipment Net</t>
  </si>
  <si>
    <t>Total Current Assets</t>
  </si>
  <si>
    <t>Other Current Assets</t>
  </si>
  <si>
    <t>Inventory</t>
  </si>
  <si>
    <t>Net Receivables</t>
  </si>
  <si>
    <t>Cash And Short Term Investments</t>
  </si>
  <si>
    <t>Short Term Investments</t>
  </si>
  <si>
    <t>Cash And Cash Equivalents</t>
  </si>
  <si>
    <t>Cash Flow</t>
  </si>
  <si>
    <t>Free Cash Flow</t>
  </si>
  <si>
    <t>Capital Expenditure</t>
  </si>
  <si>
    <t>Operating Cash Flow</t>
  </si>
  <si>
    <t>Cash At Beginning Of Period</t>
  </si>
  <si>
    <t>Cash At End Of Period</t>
  </si>
  <si>
    <t>Net Change In Cash</t>
  </si>
  <si>
    <t>Effect Of Forex Changes On Cash</t>
  </si>
  <si>
    <t>Net Cash Used Provided By Financing Activities</t>
  </si>
  <si>
    <t>Other Financing Activities</t>
  </si>
  <si>
    <t>Dividends Paid</t>
  </si>
  <si>
    <t>Common Stock Repurchased</t>
  </si>
  <si>
    <t>Common Stock Issued</t>
  </si>
  <si>
    <t>Debt Repayment</t>
  </si>
  <si>
    <t>Net Cash Used For Investing Activities</t>
  </si>
  <si>
    <t>Other Investing Activities</t>
  </si>
  <si>
    <t>Sales Maturities Of Investments</t>
  </si>
  <si>
    <t>Purchases Of Investments</t>
  </si>
  <si>
    <t>Acquisitions Net</t>
  </si>
  <si>
    <t>Investments In Property Plant And Equipment</t>
  </si>
  <si>
    <t>Net Cash Provided By Operating Activities</t>
  </si>
  <si>
    <t>Other Non Cash Items</t>
  </si>
  <si>
    <t>Other Working Capital</t>
  </si>
  <si>
    <t>Accounts Payables</t>
  </si>
  <si>
    <t>Accounts Receivables</t>
  </si>
  <si>
    <t>Change In Working Capital</t>
  </si>
  <si>
    <t>Stock Based Compensation</t>
  </si>
  <si>
    <t>Deferred Income Tax</t>
  </si>
  <si>
    <t>Key Metrics</t>
  </si>
  <si>
    <t>Capex Per Share</t>
  </si>
  <si>
    <t>Roe</t>
  </si>
  <si>
    <t>Inventory Turnover</t>
  </si>
  <si>
    <t>Payables Turnover</t>
  </si>
  <si>
    <t>Receivables Turnover</t>
  </si>
  <si>
    <t>Days Of Inventory On Hand</t>
  </si>
  <si>
    <t>Days Payables Outstanding</t>
  </si>
  <si>
    <t>Days Sales Outstanding</t>
  </si>
  <si>
    <t>Average Inventory</t>
  </si>
  <si>
    <t>Average Payables</t>
  </si>
  <si>
    <t>Average Receivables</t>
  </si>
  <si>
    <t>Net Current Asset Value</t>
  </si>
  <si>
    <t>Tangible Asset Value</t>
  </si>
  <si>
    <t>Working Capital</t>
  </si>
  <si>
    <t>Graham Net Net</t>
  </si>
  <si>
    <t>Return On Tangible Assets</t>
  </si>
  <si>
    <t>Roic</t>
  </si>
  <si>
    <t>Graham Number</t>
  </si>
  <si>
    <t>Stock Based Compensation To Revenue</t>
  </si>
  <si>
    <t>Capex To Depreciation</t>
  </si>
  <si>
    <t>Capex To Revenue</t>
  </si>
  <si>
    <t>Capex To Operating Cash Flow</t>
  </si>
  <si>
    <t>Intangibles To Total Assets</t>
  </si>
  <si>
    <t>Research And Development To Revenue</t>
  </si>
  <si>
    <t>Sales General And Administrative To Revenue</t>
  </si>
  <si>
    <t>Payout Ratio</t>
  </si>
  <si>
    <t>Dividend Yield</t>
  </si>
  <si>
    <t>Income Quality</t>
  </si>
  <si>
    <t>Interest Coverage</t>
  </si>
  <si>
    <t>Current Ratio</t>
  </si>
  <si>
    <t>Net Debt To EBITDA</t>
  </si>
  <si>
    <t>Debt To Assets</t>
  </si>
  <si>
    <t>Debt To Equity</t>
  </si>
  <si>
    <t>Free Cash Flow Yield</t>
  </si>
  <si>
    <t>Earnings Yield</t>
  </si>
  <si>
    <t>Ev To Free Cash Flow</t>
  </si>
  <si>
    <t>Ev To Operating Cash Flow</t>
  </si>
  <si>
    <t>Enterprise Value Over EBITDA</t>
  </si>
  <si>
    <t>Ev To Sales</t>
  </si>
  <si>
    <t>Ptb Ratio</t>
  </si>
  <si>
    <t>Pb Ratio</t>
  </si>
  <si>
    <t>Pfcf Ratio</t>
  </si>
  <si>
    <t>Pocfratio</t>
  </si>
  <si>
    <t>Price To Sales Ratio</t>
  </si>
  <si>
    <t>Pe Ratio</t>
  </si>
  <si>
    <t>Enterprise Value</t>
  </si>
  <si>
    <t>Market Cap</t>
  </si>
  <si>
    <t>Interest Debt Per Share</t>
  </si>
  <si>
    <t>Shareholders Equity Per Share</t>
  </si>
  <si>
    <t>Tangible Book Value Per Share</t>
  </si>
  <si>
    <t>Book Value Per Share</t>
  </si>
  <si>
    <t>Cash Per Share</t>
  </si>
  <si>
    <t>Free Cash Flow Per Share</t>
  </si>
  <si>
    <t>Operating Cash Flow Per Share</t>
  </si>
  <si>
    <t>Net Income Per Share</t>
  </si>
  <si>
    <t>Revenue Per Share</t>
  </si>
  <si>
    <t>Financial Growth</t>
  </si>
  <si>
    <t>Sgaexpenses Growth</t>
  </si>
  <si>
    <t>Rdexpense Growth</t>
  </si>
  <si>
    <t>Debt Growth</t>
  </si>
  <si>
    <t>Book Valueper Share Growth</t>
  </si>
  <si>
    <t>Asset Growth</t>
  </si>
  <si>
    <t>Inventory Growth</t>
  </si>
  <si>
    <t>Receivables Growth</t>
  </si>
  <si>
    <t>Three YDividendper Share Growth Per Share</t>
  </si>
  <si>
    <t>Five YDividendper Share Growth Per Share</t>
  </si>
  <si>
    <t>Ten YDividendper Share Growth Per Share</t>
  </si>
  <si>
    <t>Three YShareholders Equity Growth Per Share</t>
  </si>
  <si>
    <t>Five YShareholders Equity Growth Per Share</t>
  </si>
  <si>
    <t>Ten YShareholders Equity Growth Per Share</t>
  </si>
  <si>
    <t>Three YNet Income Growth Per Share</t>
  </si>
  <si>
    <t>Five YNet Income Growth Per Share</t>
  </si>
  <si>
    <t>Ten YNet Income Growth Per Share</t>
  </si>
  <si>
    <t>Three YOperating CFGrowth Per Share</t>
  </si>
  <si>
    <t>Five YOperating CFGrowth Per Share</t>
  </si>
  <si>
    <t>Ten YOperating CFGrowth Per Share</t>
  </si>
  <si>
    <t>Three YRevenue Growth Per Share</t>
  </si>
  <si>
    <t>Five YRevenue Growth Per Share</t>
  </si>
  <si>
    <t>Ten YRevenue Growth Per Share</t>
  </si>
  <si>
    <t>Free Cash Flow Growth</t>
  </si>
  <si>
    <t>Operating Cash Flow Growth</t>
  </si>
  <si>
    <t>Dividendsper Share Growth</t>
  </si>
  <si>
    <t>Weighted Average Shares Diluted Growth</t>
  </si>
  <si>
    <t>Weighted Average Shares Growth</t>
  </si>
  <si>
    <t>Epsdiluted Growth</t>
  </si>
  <si>
    <t>Epsgrowth</t>
  </si>
  <si>
    <t>Net Income Growth</t>
  </si>
  <si>
    <t>Operating Income Growth</t>
  </si>
  <si>
    <t>Ebitgrowth</t>
  </si>
  <si>
    <t>Gross Profit Growth</t>
  </si>
  <si>
    <t>Revenue Growth</t>
  </si>
  <si>
    <t>Q2</t>
  </si>
  <si>
    <t>Q1</t>
  </si>
  <si>
    <t>Q4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</si>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</sst>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364165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F8F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39" fontId="0" fillId="0" borderId="0" xfId="0" applyNumberFormat="1"/>
    <xf numFmtId="164" fontId="0" fillId="0" borderId="0" xfId="0" applyNumberFormat="1"/>
    <xf numFmtId="10" fontId="0" fillId="0" borderId="0" xfId="0" applyNumberFormat="1"/>
    <xf numFmtId="39" fontId="0" fillId="0" borderId="1" xfId="0" applyNumberFormat="1" applyBorder="1"/>
    <xf numFmtId="39" fontId="0" fillId="0" borderId="2" xfId="0" applyNumberFormat="1" applyBorder="1"/>
    <xf numFmtId="39" fontId="1" fillId="0" borderId="0" xfId="0" applyNumberFormat="1" applyFont="1"/>
    <xf numFmtId="10" fontId="0" fillId="0" borderId="1" xfId="0" applyNumberFormat="1" applyBorder="1"/>
    <xf numFmtId="14" fontId="0" fillId="0" borderId="1" xfId="0" applyNumberFormat="1" applyBorder="1"/>
    <xf numFmtId="0" fontId="2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827423F-BAD3-4949-BFC1-A0D388F4E929}">
  <we:reference id="wa200002252" version="1.0.0.3" store="en-US" storeType="OMEX"/>
  <we:alternateReferences>
    <we:reference id="WA200002252" version="1.0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_xldudf_WISE</we:customFunctionIds>
        <we:customFunctionIds>_xldudf_WISEPRICE</we:customFunctionIds>
        <we:customFunctionIds>_xldudf_WISEFUNDS</we:customFunctionIds>
        <we:customFunctionIds>_xldudf_WISEOPTIONS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ebextensions/webextension2.xml><?xml version="1.0" encoding="utf-8"?>
<we:webextension xmlns:we="http://schemas.microsoft.com/office/webextensions/webextension/2010/11" id="{F0180EA1-B80A-EB42-904F-B9FFE315AE8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933e739-673c-409e-957b-5571fe7da68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291C-E332-874C-BBFE-4D2199D057A9}">
  <dimension ref="A1:T38"/>
  <sheetViews>
    <sheetView workbookViewId="0"/>
  </sheetViews>
  <sheetFormatPr baseColWidth="10" defaultRowHeight="16" x14ac:dyDescent="0.2"/>
  <cols>
    <col min="1" max="1" width="37.33203125" bestFit="1" customWidth="1"/>
    <col min="2" max="11" width="17" bestFit="1" customWidth="1"/>
    <col min="12" max="20" width="15.83203125" bestFit="1" customWidth="1"/>
  </cols>
  <sheetData>
    <row r="1" spans="1:20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x14ac:dyDescent="0.2">
      <c r="A2" t="s">
        <v>1</v>
      </c>
      <c r="B2" t="s">
        <v>2</v>
      </c>
    </row>
    <row r="3" spans="1:20" x14ac:dyDescent="0.2">
      <c r="A3" t="s">
        <v>3</v>
      </c>
      <c r="B3" t="s">
        <v>4</v>
      </c>
    </row>
    <row r="4" spans="1:20" x14ac:dyDescent="0.2">
      <c r="A4" t="s">
        <v>32</v>
      </c>
      <c r="B4" s="10" t="s">
        <v>33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x14ac:dyDescent="0.2">
      <c r="A5" t="s">
        <v>34</v>
      </c>
      <c r="B5" s="8">
        <v>45963</v>
      </c>
      <c r="C5" s="8">
        <v>45599</v>
      </c>
      <c r="D5" s="8">
        <v>45228</v>
      </c>
      <c r="E5" s="8">
        <v>44864</v>
      </c>
      <c r="F5" s="8">
        <v>44500</v>
      </c>
      <c r="G5" s="8">
        <v>44136</v>
      </c>
      <c r="H5" s="8">
        <v>43772</v>
      </c>
      <c r="I5" s="8">
        <v>43408</v>
      </c>
      <c r="J5" s="8">
        <v>43039</v>
      </c>
      <c r="K5" s="8">
        <v>42674</v>
      </c>
      <c r="L5" s="8">
        <v>42308</v>
      </c>
      <c r="M5" s="8">
        <v>41943</v>
      </c>
      <c r="N5" s="8">
        <v>41578</v>
      </c>
      <c r="O5" s="8">
        <v>41213</v>
      </c>
      <c r="P5" s="8">
        <v>40847</v>
      </c>
      <c r="Q5" s="8">
        <v>40482</v>
      </c>
      <c r="R5" s="8">
        <v>40117</v>
      </c>
      <c r="S5" s="8">
        <v>39752</v>
      </c>
      <c r="T5" s="8">
        <v>39386</v>
      </c>
    </row>
    <row r="7" spans="1:20" x14ac:dyDescent="0.2">
      <c r="A7" s="1" t="s">
        <v>31</v>
      </c>
      <c r="B7" s="1">
        <v>63887000000</v>
      </c>
      <c r="C7" s="1">
        <v>51574000000</v>
      </c>
      <c r="D7" s="1">
        <v>35819000000</v>
      </c>
      <c r="E7" s="1">
        <v>33203000000</v>
      </c>
      <c r="F7" s="1">
        <v>27450000000</v>
      </c>
      <c r="G7" s="1">
        <v>23888000000</v>
      </c>
      <c r="H7" s="1">
        <v>22597000000</v>
      </c>
      <c r="I7" s="1">
        <v>20848000000</v>
      </c>
      <c r="J7" s="1">
        <v>17636000000</v>
      </c>
      <c r="K7" s="1">
        <v>13240000000</v>
      </c>
      <c r="L7" s="1">
        <v>6824000000</v>
      </c>
      <c r="M7" s="1">
        <v>4269000000</v>
      </c>
      <c r="N7" s="1">
        <v>2520000000</v>
      </c>
      <c r="O7" s="1">
        <v>2364000000</v>
      </c>
      <c r="P7" s="1">
        <v>2336000000</v>
      </c>
      <c r="Q7" s="1">
        <v>2093000000</v>
      </c>
      <c r="R7" s="1">
        <v>1484000000</v>
      </c>
      <c r="S7" s="1">
        <v>1699000000</v>
      </c>
      <c r="T7" s="1">
        <v>1527000000</v>
      </c>
    </row>
    <row r="9" spans="1:20" x14ac:dyDescent="0.2">
      <c r="A9" s="1" t="s">
        <v>30</v>
      </c>
      <c r="B9" s="1">
        <v>20593000000</v>
      </c>
      <c r="C9" s="1">
        <v>19065000000</v>
      </c>
      <c r="D9" s="1">
        <v>11129000000</v>
      </c>
      <c r="E9" s="1">
        <v>11108000000</v>
      </c>
      <c r="F9" s="1">
        <v>10606000000</v>
      </c>
      <c r="G9" s="1">
        <v>10372000000</v>
      </c>
      <c r="H9" s="1">
        <v>10114000000</v>
      </c>
      <c r="I9" s="1">
        <v>10115000000</v>
      </c>
      <c r="J9" s="1">
        <v>9127000000</v>
      </c>
      <c r="K9" s="1">
        <v>7300000000</v>
      </c>
      <c r="L9" s="1">
        <v>3271000000</v>
      </c>
      <c r="M9" s="1">
        <v>2392000000</v>
      </c>
      <c r="N9" s="1">
        <v>1322000000</v>
      </c>
      <c r="O9" s="1">
        <v>1222000000</v>
      </c>
      <c r="P9" s="1">
        <v>1189000000</v>
      </c>
      <c r="Q9" s="1">
        <v>1127000000</v>
      </c>
      <c r="R9" s="1">
        <v>924000000</v>
      </c>
      <c r="S9" s="1">
        <v>1044000000</v>
      </c>
      <c r="T9" s="1">
        <v>1165000000</v>
      </c>
    </row>
    <row r="10" spans="1:20" x14ac:dyDescent="0.2">
      <c r="A10" s="6" t="s">
        <v>29</v>
      </c>
      <c r="B10" s="4">
        <v>43294000000</v>
      </c>
      <c r="C10" s="4">
        <v>32509000000</v>
      </c>
      <c r="D10" s="4">
        <v>24690000000</v>
      </c>
      <c r="E10" s="4">
        <v>22095000000</v>
      </c>
      <c r="F10" s="4">
        <v>16844000000</v>
      </c>
      <c r="G10" s="4">
        <v>13516000000</v>
      </c>
      <c r="H10" s="4">
        <v>12483000000</v>
      </c>
      <c r="I10" s="4">
        <v>10733000000</v>
      </c>
      <c r="J10" s="4">
        <v>8509000000</v>
      </c>
      <c r="K10" s="4">
        <v>5940000000</v>
      </c>
      <c r="L10" s="4">
        <v>3553000000</v>
      </c>
      <c r="M10" s="4">
        <v>1877000000</v>
      </c>
      <c r="N10" s="4">
        <v>1198000000</v>
      </c>
      <c r="O10" s="4">
        <v>1142000000</v>
      </c>
      <c r="P10" s="4">
        <v>1147000000</v>
      </c>
      <c r="Q10" s="4">
        <v>966000000</v>
      </c>
      <c r="R10" s="4">
        <v>560000000</v>
      </c>
      <c r="S10" s="4">
        <v>655000000</v>
      </c>
      <c r="T10" s="4">
        <v>362000000</v>
      </c>
    </row>
    <row r="11" spans="1:20" x14ac:dyDescent="0.2">
      <c r="A11" s="3" t="s">
        <v>28</v>
      </c>
      <c r="B11" s="3">
        <v>0.6776652527</v>
      </c>
      <c r="C11" s="3">
        <v>0.6303369915</v>
      </c>
      <c r="D11" s="3">
        <v>0.68929897539999996</v>
      </c>
      <c r="E11" s="3">
        <v>0.66545191699999995</v>
      </c>
      <c r="F11" s="3">
        <v>0.61362477230000001</v>
      </c>
      <c r="G11" s="3">
        <v>0.56580709979999999</v>
      </c>
      <c r="H11" s="3">
        <v>0.55241846260000005</v>
      </c>
      <c r="I11" s="3">
        <v>0.51482156560000003</v>
      </c>
      <c r="J11" s="3">
        <v>0.4824790202</v>
      </c>
      <c r="K11" s="3">
        <v>0.44864048340000001</v>
      </c>
      <c r="L11" s="3">
        <v>0.52066236809999999</v>
      </c>
      <c r="M11" s="3">
        <v>0.4396814242</v>
      </c>
      <c r="N11" s="3">
        <v>0.4753968254</v>
      </c>
      <c r="O11" s="3">
        <v>0.4830795262</v>
      </c>
      <c r="P11" s="3">
        <v>0.49101027400000002</v>
      </c>
      <c r="Q11" s="3">
        <v>0.4615384615</v>
      </c>
      <c r="R11" s="3">
        <v>0.37735849059999999</v>
      </c>
      <c r="S11" s="3">
        <v>0.3855208946</v>
      </c>
      <c r="T11" s="3">
        <v>0.23706614279999999</v>
      </c>
    </row>
    <row r="13" spans="1:20" x14ac:dyDescent="0.2">
      <c r="A13" s="1" t="s">
        <v>27</v>
      </c>
      <c r="B13" s="1">
        <v>10977000000</v>
      </c>
      <c r="C13" s="1">
        <v>9310000000</v>
      </c>
      <c r="D13" s="1">
        <v>5253000000</v>
      </c>
      <c r="E13" s="1">
        <v>4919000000</v>
      </c>
      <c r="F13" s="1">
        <v>4854000000</v>
      </c>
      <c r="G13" s="1">
        <v>4968000000</v>
      </c>
      <c r="H13" s="1">
        <v>4696000000</v>
      </c>
      <c r="I13" s="1">
        <v>3768000000</v>
      </c>
      <c r="J13" s="1">
        <v>3292000000</v>
      </c>
      <c r="K13" s="1">
        <v>2674000000</v>
      </c>
      <c r="L13" s="1">
        <v>1049000000</v>
      </c>
      <c r="M13" s="1">
        <v>695000000</v>
      </c>
      <c r="N13" s="1">
        <v>398000000</v>
      </c>
      <c r="O13" s="1">
        <v>335000000</v>
      </c>
      <c r="P13" s="1">
        <v>317000000</v>
      </c>
      <c r="Q13" s="1">
        <v>280000000</v>
      </c>
      <c r="R13" s="1">
        <v>245000000</v>
      </c>
      <c r="S13" s="1">
        <v>265000000</v>
      </c>
      <c r="T13" s="1">
        <v>205000000</v>
      </c>
    </row>
    <row r="14" spans="1:20" x14ac:dyDescent="0.2">
      <c r="A14" s="1" t="s">
        <v>24</v>
      </c>
      <c r="B14" s="1">
        <v>4211000000</v>
      </c>
      <c r="C14" s="1">
        <v>4959000000</v>
      </c>
      <c r="D14" s="1">
        <v>1592000000</v>
      </c>
      <c r="E14" s="1">
        <v>1382000000</v>
      </c>
      <c r="F14" s="1">
        <v>1347000000</v>
      </c>
      <c r="G14" s="1">
        <v>1935000000</v>
      </c>
      <c r="H14" s="1">
        <v>1709000000</v>
      </c>
      <c r="I14" s="1">
        <v>1056000000</v>
      </c>
      <c r="J14" s="1">
        <v>789000000</v>
      </c>
      <c r="K14" s="1">
        <v>806000000</v>
      </c>
      <c r="L14" s="1">
        <v>486000000</v>
      </c>
      <c r="M14" s="1">
        <v>407000000</v>
      </c>
      <c r="N14" s="1">
        <v>222000000</v>
      </c>
      <c r="O14" s="1">
        <v>199000000</v>
      </c>
      <c r="P14" s="1">
        <v>220000000</v>
      </c>
      <c r="Q14" s="1">
        <v>196000000</v>
      </c>
      <c r="R14" s="1">
        <v>169000000</v>
      </c>
      <c r="S14" s="1">
        <v>196000000</v>
      </c>
      <c r="T14" s="1">
        <v>193000000</v>
      </c>
    </row>
    <row r="15" spans="1:20" x14ac:dyDescent="0.2">
      <c r="A15" s="1" t="s">
        <v>26</v>
      </c>
      <c r="B15" s="1">
        <v>0</v>
      </c>
      <c r="C15" s="1">
        <v>4959000000</v>
      </c>
      <c r="D15" s="1">
        <v>1592000000</v>
      </c>
      <c r="E15" s="1">
        <v>1382000000</v>
      </c>
      <c r="F15" s="1">
        <v>1347000000</v>
      </c>
      <c r="G15" s="1">
        <v>1935000000</v>
      </c>
      <c r="H15" s="1">
        <v>1709000000</v>
      </c>
      <c r="I15" s="1">
        <v>1056000000</v>
      </c>
      <c r="J15" s="1">
        <v>787000000</v>
      </c>
      <c r="K15" s="1">
        <v>806000000</v>
      </c>
      <c r="L15" s="1">
        <v>486000000</v>
      </c>
      <c r="M15" s="1">
        <v>407000000</v>
      </c>
      <c r="N15" s="1">
        <v>222000000</v>
      </c>
      <c r="O15" s="1">
        <v>199000000</v>
      </c>
      <c r="P15" s="1">
        <v>220000000</v>
      </c>
      <c r="Q15" s="1">
        <v>196000000</v>
      </c>
      <c r="R15" s="1">
        <v>169000000</v>
      </c>
      <c r="S15" s="1">
        <v>196000000</v>
      </c>
      <c r="T15" s="1">
        <v>193000000</v>
      </c>
    </row>
    <row r="16" spans="1:20" x14ac:dyDescent="0.2">
      <c r="A16" s="1" t="s">
        <v>25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2000000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</row>
    <row r="17" spans="1:20" x14ac:dyDescent="0.2">
      <c r="A17" s="1" t="s">
        <v>23</v>
      </c>
      <c r="B17" s="1">
        <v>2622000000</v>
      </c>
      <c r="C17" s="1">
        <v>4777000000</v>
      </c>
      <c r="D17" s="1">
        <v>1638000000</v>
      </c>
      <c r="E17" s="1">
        <v>1512000000</v>
      </c>
      <c r="F17" s="1">
        <v>2124000000</v>
      </c>
      <c r="G17" s="1">
        <v>2599000000</v>
      </c>
      <c r="H17" s="1">
        <v>2634000000</v>
      </c>
      <c r="I17" s="1">
        <v>774000000</v>
      </c>
      <c r="J17" s="1">
        <v>2057000000</v>
      </c>
      <c r="K17" s="1">
        <v>2869000000</v>
      </c>
      <c r="L17" s="1">
        <v>386000000</v>
      </c>
      <c r="M17" s="1">
        <v>337000000</v>
      </c>
      <c r="N17" s="1">
        <v>26000000</v>
      </c>
      <c r="O17" s="1">
        <v>21000000</v>
      </c>
      <c r="P17" s="1">
        <v>22000000</v>
      </c>
      <c r="Q17" s="1">
        <v>21000000</v>
      </c>
      <c r="R17" s="1">
        <v>98000000</v>
      </c>
      <c r="S17" s="1">
        <v>34000000</v>
      </c>
      <c r="T17" s="1">
        <v>69000000</v>
      </c>
    </row>
    <row r="18" spans="1:20" x14ac:dyDescent="0.2">
      <c r="A18" s="6" t="s">
        <v>22</v>
      </c>
      <c r="B18" s="4">
        <v>17810000000</v>
      </c>
      <c r="C18" s="4">
        <v>19046000000</v>
      </c>
      <c r="D18" s="4">
        <v>8483000000</v>
      </c>
      <c r="E18" s="4">
        <v>7813000000</v>
      </c>
      <c r="F18" s="4">
        <v>8325000000</v>
      </c>
      <c r="G18" s="4">
        <v>9502000000</v>
      </c>
      <c r="H18" s="4">
        <v>9039000000</v>
      </c>
      <c r="I18" s="4">
        <v>5598000000</v>
      </c>
      <c r="J18" s="4">
        <v>6138000000</v>
      </c>
      <c r="K18" s="4">
        <v>6349000000</v>
      </c>
      <c r="L18" s="4">
        <v>1921000000</v>
      </c>
      <c r="M18" s="4">
        <v>1439000000</v>
      </c>
      <c r="N18" s="4">
        <v>646000000</v>
      </c>
      <c r="O18" s="4">
        <v>555000000</v>
      </c>
      <c r="P18" s="4">
        <v>559000000</v>
      </c>
      <c r="Q18" s="4">
        <v>497000000</v>
      </c>
      <c r="R18" s="4">
        <v>512000000</v>
      </c>
      <c r="S18" s="4">
        <v>495000000</v>
      </c>
      <c r="T18" s="4">
        <v>467000000</v>
      </c>
    </row>
    <row r="20" spans="1:20" x14ac:dyDescent="0.2">
      <c r="A20" s="1" t="s">
        <v>21</v>
      </c>
      <c r="B20" s="1">
        <v>38403000000</v>
      </c>
      <c r="C20" s="1">
        <v>38111000000</v>
      </c>
      <c r="D20" s="1">
        <v>19635000000</v>
      </c>
      <c r="E20" s="1">
        <v>18921000000</v>
      </c>
      <c r="F20" s="1">
        <v>18931000000</v>
      </c>
      <c r="G20" s="1">
        <v>19874000000</v>
      </c>
      <c r="H20" s="1">
        <v>19153000000</v>
      </c>
      <c r="I20" s="1">
        <v>15713000000</v>
      </c>
      <c r="J20" s="1">
        <v>15265000000</v>
      </c>
      <c r="K20" s="1">
        <v>13649000000</v>
      </c>
      <c r="L20" s="1">
        <v>5192000000</v>
      </c>
      <c r="M20" s="1">
        <v>3831000000</v>
      </c>
      <c r="N20" s="1">
        <v>1954000000</v>
      </c>
      <c r="O20" s="1">
        <v>1777000000</v>
      </c>
      <c r="P20" s="1">
        <v>1748000000</v>
      </c>
      <c r="Q20" s="1">
        <v>1624000000</v>
      </c>
      <c r="R20" s="1">
        <v>1402000000</v>
      </c>
      <c r="S20" s="1">
        <v>1533000000</v>
      </c>
      <c r="T20" s="1">
        <v>1632000000</v>
      </c>
    </row>
    <row r="21" spans="1:20" x14ac:dyDescent="0.2">
      <c r="A21" s="1" t="s">
        <v>18</v>
      </c>
      <c r="B21" s="1">
        <v>34714000000</v>
      </c>
      <c r="C21" s="1">
        <v>23879000000</v>
      </c>
      <c r="D21" s="1">
        <v>20554000000</v>
      </c>
      <c r="E21" s="1">
        <v>19155000000</v>
      </c>
      <c r="F21" s="1">
        <v>14691000000</v>
      </c>
      <c r="G21" s="1">
        <v>11125000000</v>
      </c>
      <c r="H21" s="1">
        <v>9451000000</v>
      </c>
      <c r="I21" s="1">
        <v>9233000000</v>
      </c>
      <c r="J21" s="1">
        <v>7005000000</v>
      </c>
      <c r="K21" s="1">
        <v>2516000000</v>
      </c>
      <c r="L21" s="1">
        <v>2620000000</v>
      </c>
      <c r="M21" s="1">
        <v>1077000000</v>
      </c>
      <c r="N21" s="1">
        <v>757000000</v>
      </c>
      <c r="O21" s="1">
        <v>742000000</v>
      </c>
      <c r="P21" s="1">
        <v>722000000</v>
      </c>
      <c r="Q21" s="1">
        <v>599000000</v>
      </c>
      <c r="R21" s="1">
        <v>201000000</v>
      </c>
      <c r="S21" s="1">
        <v>305000000</v>
      </c>
      <c r="T21" s="1">
        <v>73000000</v>
      </c>
    </row>
    <row r="22" spans="1:20" x14ac:dyDescent="0.2">
      <c r="A22" s="3" t="s">
        <v>17</v>
      </c>
      <c r="B22" s="3">
        <v>0.54336562990000004</v>
      </c>
      <c r="C22" s="3">
        <v>0.46300461469999998</v>
      </c>
      <c r="D22" s="3">
        <v>0.57382953179999996</v>
      </c>
      <c r="E22" s="3">
        <v>0.57690570129999996</v>
      </c>
      <c r="F22" s="3">
        <v>0.53519125680000001</v>
      </c>
      <c r="G22" s="3">
        <v>0.46571500329999999</v>
      </c>
      <c r="H22" s="3">
        <v>0.41824135950000002</v>
      </c>
      <c r="I22" s="3">
        <v>0.44287221799999998</v>
      </c>
      <c r="J22" s="3">
        <v>0.39719891130000001</v>
      </c>
      <c r="K22" s="3">
        <v>0.19003021149999999</v>
      </c>
      <c r="L22" s="3">
        <v>0.38393903870000001</v>
      </c>
      <c r="M22" s="3">
        <v>0.25228390719999999</v>
      </c>
      <c r="N22" s="3">
        <v>0.30039682540000001</v>
      </c>
      <c r="O22" s="3">
        <v>0.3138747885</v>
      </c>
      <c r="P22" s="3">
        <v>0.30907534250000002</v>
      </c>
      <c r="Q22" s="3">
        <v>0.28619206879999998</v>
      </c>
      <c r="R22" s="3">
        <v>0.1354447439</v>
      </c>
      <c r="S22" s="3">
        <v>0.1795173632</v>
      </c>
      <c r="T22" s="3">
        <v>4.7806155900000001E-2</v>
      </c>
    </row>
    <row r="23" spans="1:20" x14ac:dyDescent="0.2">
      <c r="A23" s="1" t="s">
        <v>20</v>
      </c>
      <c r="B23" s="1">
        <v>3210000000</v>
      </c>
      <c r="C23" s="1">
        <v>3953000000</v>
      </c>
      <c r="D23" s="1">
        <v>1622000000</v>
      </c>
      <c r="E23" s="1">
        <v>1737000000</v>
      </c>
      <c r="F23" s="1">
        <v>1885000000</v>
      </c>
      <c r="G23" s="1">
        <v>1777000000</v>
      </c>
      <c r="H23" s="1">
        <v>1444000000</v>
      </c>
      <c r="I23" s="1">
        <v>628000000</v>
      </c>
      <c r="J23" s="1">
        <v>454000000</v>
      </c>
      <c r="K23" s="1">
        <v>585000000</v>
      </c>
      <c r="L23" s="1">
        <v>191000000</v>
      </c>
      <c r="M23" s="1">
        <v>110000000</v>
      </c>
      <c r="N23" s="1">
        <v>2000000</v>
      </c>
      <c r="O23" s="1">
        <v>1000000</v>
      </c>
      <c r="P23" s="1">
        <v>4000000</v>
      </c>
      <c r="Q23" s="1">
        <v>34000000</v>
      </c>
      <c r="R23" s="1">
        <v>77000000</v>
      </c>
      <c r="S23" s="1">
        <v>86000000</v>
      </c>
      <c r="T23" s="1">
        <v>109000000</v>
      </c>
    </row>
    <row r="24" spans="1:20" x14ac:dyDescent="0.2">
      <c r="A24" s="1" t="s">
        <v>19</v>
      </c>
      <c r="B24" s="1">
        <v>8775000000</v>
      </c>
      <c r="C24" s="1">
        <v>10010000000</v>
      </c>
      <c r="D24" s="1">
        <v>3835000000</v>
      </c>
      <c r="E24" s="1">
        <v>4984000000</v>
      </c>
      <c r="F24" s="1">
        <v>6041000000</v>
      </c>
      <c r="G24" s="1">
        <v>6905000000</v>
      </c>
      <c r="H24" s="1">
        <v>5781000000</v>
      </c>
      <c r="I24" s="1">
        <v>4060000000</v>
      </c>
      <c r="J24" s="1">
        <v>4726000000</v>
      </c>
      <c r="K24" s="1">
        <v>3038000000</v>
      </c>
      <c r="L24" s="1">
        <v>962000000</v>
      </c>
      <c r="M24" s="1">
        <v>625000000</v>
      </c>
      <c r="N24" s="1">
        <v>187000000</v>
      </c>
      <c r="O24" s="1">
        <v>155000000</v>
      </c>
      <c r="P24" s="1">
        <v>157000000</v>
      </c>
      <c r="Q24" s="1">
        <v>159000000</v>
      </c>
      <c r="R24" s="1">
        <v>160000000</v>
      </c>
      <c r="S24" s="1">
        <v>159000000</v>
      </c>
      <c r="T24" s="1">
        <v>176000000</v>
      </c>
    </row>
    <row r="25" spans="1:20" x14ac:dyDescent="0.2">
      <c r="A25" s="6" t="s">
        <v>16</v>
      </c>
      <c r="B25" s="5">
        <v>25484000000</v>
      </c>
      <c r="C25" s="5">
        <v>13463000000</v>
      </c>
      <c r="D25" s="5">
        <v>16207000000</v>
      </c>
      <c r="E25" s="5">
        <v>14225000000</v>
      </c>
      <c r="F25" s="5">
        <v>8519000000</v>
      </c>
      <c r="G25" s="5">
        <v>4014000000</v>
      </c>
      <c r="H25" s="5">
        <v>3444000000</v>
      </c>
      <c r="I25" s="5">
        <v>5135000000</v>
      </c>
      <c r="J25" s="5">
        <v>2371000000</v>
      </c>
      <c r="K25" s="5">
        <v>-409000000</v>
      </c>
      <c r="L25" s="5">
        <v>1632000000</v>
      </c>
      <c r="M25" s="5">
        <v>438000000</v>
      </c>
      <c r="N25" s="5">
        <v>552000000</v>
      </c>
      <c r="O25" s="5">
        <v>582000000</v>
      </c>
      <c r="P25" s="5">
        <v>584000000</v>
      </c>
      <c r="Q25" s="5">
        <v>470000000</v>
      </c>
      <c r="R25" s="5">
        <v>48000000</v>
      </c>
      <c r="S25" s="5">
        <v>160000000</v>
      </c>
      <c r="T25" s="5">
        <v>-105000000</v>
      </c>
    </row>
    <row r="26" spans="1:20" x14ac:dyDescent="0.2">
      <c r="A26" s="3" t="s">
        <v>15</v>
      </c>
      <c r="B26" s="7">
        <v>0.39889179330000002</v>
      </c>
      <c r="C26" s="7">
        <v>0.26104238569999999</v>
      </c>
      <c r="D26" s="7">
        <v>0.45246935980000003</v>
      </c>
      <c r="E26" s="7">
        <v>0.42842514230000001</v>
      </c>
      <c r="F26" s="7">
        <v>0.31034608380000001</v>
      </c>
      <c r="G26" s="7">
        <v>0.16803415939999999</v>
      </c>
      <c r="H26" s="7">
        <v>0.15240961189999999</v>
      </c>
      <c r="I26" s="7">
        <v>0.2463066002</v>
      </c>
      <c r="J26" s="7">
        <v>0.13444091629999999</v>
      </c>
      <c r="K26" s="7">
        <v>-3.08912387E-2</v>
      </c>
      <c r="L26" s="7">
        <v>0.23915592029999999</v>
      </c>
      <c r="M26" s="7">
        <v>0.10260014050000001</v>
      </c>
      <c r="N26" s="7">
        <v>0.219047619</v>
      </c>
      <c r="O26" s="7">
        <v>0.2461928934</v>
      </c>
      <c r="P26" s="7">
        <v>0.25</v>
      </c>
      <c r="Q26" s="7">
        <v>0.2245580506</v>
      </c>
      <c r="R26" s="7">
        <v>3.2345013499999999E-2</v>
      </c>
      <c r="S26" s="7">
        <v>9.4173042999999998E-2</v>
      </c>
      <c r="T26" s="7">
        <v>-6.8762278999999996E-2</v>
      </c>
    </row>
    <row r="28" spans="1:20" x14ac:dyDescent="0.2">
      <c r="A28" s="1" t="s">
        <v>14</v>
      </c>
      <c r="B28" s="1">
        <v>-2755000000</v>
      </c>
      <c r="C28" s="1">
        <v>-3547000000</v>
      </c>
      <c r="D28" s="1">
        <v>-1110000000</v>
      </c>
      <c r="E28" s="1">
        <v>-1791000000</v>
      </c>
      <c r="F28" s="1">
        <v>-1754000000</v>
      </c>
      <c r="G28" s="1">
        <v>-1571000000</v>
      </c>
      <c r="H28" s="1">
        <v>-1218000000</v>
      </c>
      <c r="I28" s="1">
        <v>-590000000</v>
      </c>
      <c r="J28" s="1">
        <v>-546000000</v>
      </c>
      <c r="K28" s="1">
        <v>-698000000</v>
      </c>
      <c r="L28" s="1">
        <v>-165000000</v>
      </c>
      <c r="M28" s="1">
        <v>-96000000</v>
      </c>
      <c r="N28" s="1">
        <v>16000000</v>
      </c>
      <c r="O28" s="1">
        <v>3000000</v>
      </c>
      <c r="P28" s="1">
        <v>-23000000</v>
      </c>
      <c r="Q28" s="1">
        <v>-64000000</v>
      </c>
      <c r="R28" s="1">
        <v>-84000000</v>
      </c>
      <c r="S28" s="1">
        <v>-100000000</v>
      </c>
      <c r="T28" s="1">
        <v>-107000000</v>
      </c>
    </row>
    <row r="29" spans="1:20" x14ac:dyDescent="0.2">
      <c r="A29" s="1" t="s">
        <v>13</v>
      </c>
      <c r="B29" s="1">
        <v>22729000000</v>
      </c>
      <c r="C29" s="1">
        <v>9916000000</v>
      </c>
      <c r="D29" s="1">
        <v>15097000000</v>
      </c>
      <c r="E29" s="1">
        <v>12434000000</v>
      </c>
      <c r="F29" s="1">
        <v>6765000000</v>
      </c>
      <c r="G29" s="1">
        <v>2443000000</v>
      </c>
      <c r="H29" s="1">
        <v>2226000000</v>
      </c>
      <c r="I29" s="1">
        <v>4545000000</v>
      </c>
      <c r="J29" s="1">
        <v>1825000000</v>
      </c>
      <c r="K29" s="1">
        <v>-1107000000</v>
      </c>
      <c r="L29" s="1">
        <v>1467000000</v>
      </c>
      <c r="M29" s="1">
        <v>342000000</v>
      </c>
      <c r="N29" s="1">
        <v>568000000</v>
      </c>
      <c r="O29" s="1">
        <v>585000000</v>
      </c>
      <c r="P29" s="1">
        <v>561000000</v>
      </c>
      <c r="Q29" s="1">
        <v>406000000</v>
      </c>
      <c r="R29" s="1">
        <v>-36000000</v>
      </c>
      <c r="S29" s="1">
        <v>60000000</v>
      </c>
      <c r="T29" s="1">
        <v>-212000000</v>
      </c>
    </row>
    <row r="30" spans="1:20" x14ac:dyDescent="0.2">
      <c r="A30" s="2" t="s">
        <v>12</v>
      </c>
      <c r="B30" s="2">
        <v>0.3557687793</v>
      </c>
      <c r="C30" s="2">
        <v>0.19226742159999999</v>
      </c>
      <c r="D30" s="2">
        <v>0.42148022000000002</v>
      </c>
      <c r="E30" s="2">
        <v>0.37448423339999998</v>
      </c>
      <c r="F30" s="2">
        <v>0.24644808739999999</v>
      </c>
      <c r="G30" s="2">
        <v>0.10226892160000001</v>
      </c>
      <c r="H30" s="2">
        <v>9.8508651599999997E-2</v>
      </c>
      <c r="I30" s="2">
        <v>0.21800652340000001</v>
      </c>
      <c r="J30" s="2">
        <v>0.1034815151</v>
      </c>
      <c r="K30" s="2">
        <v>-8.3610271900000005E-2</v>
      </c>
      <c r="L30" s="2">
        <v>0.21497655330000001</v>
      </c>
      <c r="M30" s="2">
        <v>8.0112438499999994E-2</v>
      </c>
      <c r="N30" s="2">
        <v>0.2253968254</v>
      </c>
      <c r="O30" s="2">
        <v>0.24746192889999999</v>
      </c>
      <c r="P30" s="2">
        <v>0.2401541096</v>
      </c>
      <c r="Q30" s="2">
        <v>0.1939799331</v>
      </c>
      <c r="R30" s="2">
        <v>-2.4258760099999999E-2</v>
      </c>
      <c r="S30" s="2">
        <v>3.5314891100000002E-2</v>
      </c>
      <c r="T30" s="2">
        <v>-0.13883431569999999</v>
      </c>
    </row>
    <row r="31" spans="1:20" x14ac:dyDescent="0.2">
      <c r="A31" s="1" t="s">
        <v>11</v>
      </c>
      <c r="B31" s="1">
        <v>-397000000</v>
      </c>
      <c r="C31" s="1">
        <v>3748000000</v>
      </c>
      <c r="D31" s="1">
        <v>1015000000</v>
      </c>
      <c r="E31" s="1">
        <v>939000000</v>
      </c>
      <c r="F31" s="1">
        <v>29000000</v>
      </c>
      <c r="G31" s="1">
        <v>-518000000</v>
      </c>
      <c r="H31" s="1">
        <v>-510000000</v>
      </c>
      <c r="I31" s="1">
        <v>-8084000000</v>
      </c>
      <c r="J31" s="1">
        <v>35000000</v>
      </c>
      <c r="K31" s="1">
        <v>642000000</v>
      </c>
      <c r="L31" s="1">
        <v>76000000</v>
      </c>
      <c r="M31" s="1">
        <v>33000000</v>
      </c>
      <c r="N31" s="1">
        <v>16000000</v>
      </c>
      <c r="O31" s="1">
        <v>22000000</v>
      </c>
      <c r="P31" s="1">
        <v>9000000</v>
      </c>
      <c r="Q31" s="1">
        <v>-9000000</v>
      </c>
      <c r="R31" s="1">
        <v>8000000</v>
      </c>
      <c r="S31" s="1">
        <v>3000000</v>
      </c>
      <c r="T31" s="1">
        <v>8000000</v>
      </c>
    </row>
    <row r="32" spans="1:20" x14ac:dyDescent="0.2">
      <c r="A32" s="6" t="s">
        <v>10</v>
      </c>
      <c r="B32" s="5">
        <v>23126000000</v>
      </c>
      <c r="C32" s="5">
        <v>5895000000</v>
      </c>
      <c r="D32" s="5">
        <v>14082000000</v>
      </c>
      <c r="E32" s="5">
        <v>11495000000</v>
      </c>
      <c r="F32" s="5">
        <v>6736000000</v>
      </c>
      <c r="G32" s="5">
        <v>2960000000</v>
      </c>
      <c r="H32" s="5">
        <v>2724000000</v>
      </c>
      <c r="I32" s="5">
        <v>12259000000</v>
      </c>
      <c r="J32" s="5">
        <v>1692000000</v>
      </c>
      <c r="K32" s="5">
        <v>-1739000000</v>
      </c>
      <c r="L32" s="5">
        <v>1364000000</v>
      </c>
      <c r="M32" s="5">
        <v>263000000</v>
      </c>
      <c r="N32" s="5">
        <v>552000000</v>
      </c>
      <c r="O32" s="5">
        <v>563000000</v>
      </c>
      <c r="P32" s="5">
        <v>552000000</v>
      </c>
      <c r="Q32" s="5">
        <v>415000000</v>
      </c>
      <c r="R32" s="5">
        <v>-44000000</v>
      </c>
      <c r="S32" s="5">
        <v>83000000</v>
      </c>
      <c r="T32" s="5">
        <v>-159000000</v>
      </c>
    </row>
    <row r="34" spans="1:20" x14ac:dyDescent="0.2">
      <c r="A34" s="3" t="s">
        <v>9</v>
      </c>
      <c r="B34" s="3">
        <v>0.36198287600000001</v>
      </c>
      <c r="C34" s="3">
        <v>0.11430178000000001</v>
      </c>
      <c r="D34" s="3">
        <v>0.39314330380000001</v>
      </c>
      <c r="E34" s="3">
        <v>0.3462036563</v>
      </c>
      <c r="F34" s="3">
        <v>0.24539162110000001</v>
      </c>
      <c r="G34" s="3">
        <v>0.1239115874</v>
      </c>
      <c r="H34" s="3">
        <v>0.1205469753</v>
      </c>
      <c r="I34" s="3">
        <v>0.58801803529999996</v>
      </c>
      <c r="J34" s="3">
        <v>9.5940122500000002E-2</v>
      </c>
      <c r="K34" s="3">
        <v>-0.13134441090000001</v>
      </c>
      <c r="L34" s="3">
        <v>0.19988276669999999</v>
      </c>
      <c r="M34" s="3">
        <v>6.1606933699999998E-2</v>
      </c>
      <c r="N34" s="3">
        <v>0.219047619</v>
      </c>
      <c r="O34" s="3">
        <v>0.23815566839999999</v>
      </c>
      <c r="P34" s="3">
        <v>0.2363013699</v>
      </c>
      <c r="Q34" s="3">
        <v>0.19827998090000001</v>
      </c>
      <c r="R34" s="3">
        <v>-2.96495957E-2</v>
      </c>
      <c r="S34" s="3">
        <v>4.8852265999999998E-2</v>
      </c>
      <c r="T34" s="3">
        <v>-0.1041257367</v>
      </c>
    </row>
    <row r="35" spans="1:20" x14ac:dyDescent="0.2">
      <c r="A35" s="2" t="s">
        <v>8</v>
      </c>
      <c r="B35" s="2">
        <v>4.91</v>
      </c>
      <c r="C35" s="2">
        <v>1.27</v>
      </c>
      <c r="D35" s="2">
        <v>3.39</v>
      </c>
      <c r="E35" s="2">
        <v>2.74</v>
      </c>
      <c r="F35" s="2">
        <v>1.57</v>
      </c>
      <c r="G35" s="2">
        <v>0.66</v>
      </c>
      <c r="H35" s="2">
        <v>0.68</v>
      </c>
      <c r="I35" s="2">
        <v>2.93</v>
      </c>
      <c r="J35" s="2">
        <v>0.42</v>
      </c>
      <c r="K35" s="2">
        <v>-0.48</v>
      </c>
      <c r="L35" s="2">
        <v>0.52</v>
      </c>
      <c r="M35" s="2">
        <v>0.11</v>
      </c>
      <c r="N35" s="2">
        <v>0.22</v>
      </c>
      <c r="O35" s="2">
        <v>0.23</v>
      </c>
      <c r="P35" s="2">
        <v>0.23</v>
      </c>
      <c r="Q35" s="2">
        <v>0.17</v>
      </c>
      <c r="R35" s="2">
        <v>-2.01E-2</v>
      </c>
      <c r="S35" s="2">
        <v>3.9E-2</v>
      </c>
      <c r="T35" s="2">
        <v>-7.3999999999999996E-2</v>
      </c>
    </row>
    <row r="36" spans="1:20" x14ac:dyDescent="0.2">
      <c r="A36" s="2" t="s">
        <v>7</v>
      </c>
      <c r="B36" s="2">
        <v>4.7699999999999996</v>
      </c>
      <c r="C36" s="2">
        <v>1.23</v>
      </c>
      <c r="D36" s="2">
        <v>3.3</v>
      </c>
      <c r="E36" s="2">
        <v>2.65</v>
      </c>
      <c r="F36" s="2">
        <v>1.5</v>
      </c>
      <c r="G36" s="2">
        <v>0.63</v>
      </c>
      <c r="H36" s="2">
        <v>0.64</v>
      </c>
      <c r="I36" s="2">
        <v>2.84</v>
      </c>
      <c r="J36" s="2">
        <v>0.42</v>
      </c>
      <c r="K36" s="2">
        <v>-0.44</v>
      </c>
      <c r="L36" s="2">
        <v>0.49</v>
      </c>
      <c r="M36" s="2">
        <v>9.9000000000000005E-2</v>
      </c>
      <c r="N36" s="2">
        <v>0.22</v>
      </c>
      <c r="O36" s="2">
        <v>0.23</v>
      </c>
      <c r="P36" s="2">
        <v>0.22</v>
      </c>
      <c r="Q36" s="2">
        <v>0.17</v>
      </c>
      <c r="R36" s="2">
        <v>-2.01E-2</v>
      </c>
      <c r="S36" s="2">
        <v>3.7999999999999999E-2</v>
      </c>
      <c r="T36" s="2">
        <v>-7.3999999999999996E-2</v>
      </c>
    </row>
    <row r="37" spans="1:20" x14ac:dyDescent="0.2">
      <c r="A37" s="1" t="s">
        <v>6</v>
      </c>
      <c r="B37" s="1">
        <v>4712000000</v>
      </c>
      <c r="C37" s="1">
        <v>4624000000</v>
      </c>
      <c r="D37" s="1">
        <v>4150000000</v>
      </c>
      <c r="E37" s="1">
        <v>4090000000</v>
      </c>
      <c r="F37" s="1">
        <v>4100000000</v>
      </c>
      <c r="G37" s="1">
        <v>4020000000</v>
      </c>
      <c r="H37" s="1">
        <v>3980000000</v>
      </c>
      <c r="I37" s="1">
        <v>4180000000</v>
      </c>
      <c r="J37" s="1">
        <v>4050000000</v>
      </c>
      <c r="K37" s="1">
        <v>3660000000</v>
      </c>
      <c r="L37" s="1">
        <v>2640000000</v>
      </c>
      <c r="M37" s="1">
        <v>2510000000</v>
      </c>
      <c r="N37" s="1">
        <v>2520000000</v>
      </c>
      <c r="O37" s="1">
        <v>2450000000</v>
      </c>
      <c r="P37" s="1">
        <v>2450000000</v>
      </c>
      <c r="Q37" s="1">
        <v>2380000000</v>
      </c>
      <c r="R37" s="1">
        <v>2190000000</v>
      </c>
      <c r="S37" s="1">
        <v>2140000000</v>
      </c>
      <c r="T37" s="1">
        <v>2140000000</v>
      </c>
    </row>
    <row r="38" spans="1:20" x14ac:dyDescent="0.2">
      <c r="A38" s="1" t="s">
        <v>5</v>
      </c>
      <c r="B38" s="1">
        <v>4853000000</v>
      </c>
      <c r="C38" s="1">
        <v>4778000000</v>
      </c>
      <c r="D38" s="1">
        <v>4270000000</v>
      </c>
      <c r="E38" s="1">
        <v>4230000000</v>
      </c>
      <c r="F38" s="1">
        <v>4290000000</v>
      </c>
      <c r="G38" s="1">
        <v>4210000000</v>
      </c>
      <c r="H38" s="1">
        <v>4190000000</v>
      </c>
      <c r="I38" s="1">
        <v>4310000000</v>
      </c>
      <c r="J38" s="1">
        <v>4090000000</v>
      </c>
      <c r="K38" s="1">
        <v>3830000000</v>
      </c>
      <c r="L38" s="1">
        <v>2810000000</v>
      </c>
      <c r="M38" s="1">
        <v>2670000000</v>
      </c>
      <c r="N38" s="1">
        <v>2520000000</v>
      </c>
      <c r="O38" s="1">
        <v>2500000000</v>
      </c>
      <c r="P38" s="1">
        <v>2520000000</v>
      </c>
      <c r="Q38" s="1">
        <v>2460000000</v>
      </c>
      <c r="R38" s="1">
        <v>2190000000</v>
      </c>
      <c r="S38" s="1">
        <v>2190000000</v>
      </c>
      <c r="T38" s="1">
        <v>2140000000</v>
      </c>
    </row>
  </sheetData>
  <mergeCells count="1">
    <mergeCell ref="B4:T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1AA1-0B0B-B241-B42F-D94841B42C1E}">
  <dimension ref="A1:T52"/>
  <sheetViews>
    <sheetView workbookViewId="0"/>
  </sheetViews>
  <sheetFormatPr baseColWidth="10" defaultRowHeight="16" x14ac:dyDescent="0.2"/>
  <cols>
    <col min="1" max="1" width="40.83203125" bestFit="1" customWidth="1"/>
    <col min="2" max="3" width="18" bestFit="1" customWidth="1"/>
    <col min="4" max="13" width="17" bestFit="1" customWidth="1"/>
    <col min="14" max="14" width="15.83203125" bestFit="1" customWidth="1"/>
    <col min="15" max="15" width="16.6640625" bestFit="1" customWidth="1"/>
    <col min="16" max="20" width="15.83203125" bestFit="1" customWidth="1"/>
  </cols>
  <sheetData>
    <row r="1" spans="1:20" x14ac:dyDescent="0.2">
      <c r="A1" s="9" t="s">
        <v>35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x14ac:dyDescent="0.2">
      <c r="A2" t="s">
        <v>1</v>
      </c>
      <c r="B2" t="s">
        <v>2</v>
      </c>
    </row>
    <row r="3" spans="1:20" x14ac:dyDescent="0.2">
      <c r="A3" t="s">
        <v>3</v>
      </c>
      <c r="B3" t="str">
        <f>'AVGO - Income Statement FY'!B3</f>
        <v>USD</v>
      </c>
    </row>
    <row r="4" spans="1:20" x14ac:dyDescent="0.2">
      <c r="A4" t="s">
        <v>32</v>
      </c>
      <c r="B4" s="10" t="s">
        <v>33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x14ac:dyDescent="0.2">
      <c r="A5" t="s">
        <v>34</v>
      </c>
      <c r="B5" s="8">
        <v>45963</v>
      </c>
      <c r="C5" s="8">
        <v>45599</v>
      </c>
      <c r="D5" s="8">
        <v>45228</v>
      </c>
      <c r="E5" s="8">
        <v>44864</v>
      </c>
      <c r="F5" s="8">
        <v>44500</v>
      </c>
      <c r="G5" s="8">
        <v>44136</v>
      </c>
      <c r="H5" s="8">
        <v>43772</v>
      </c>
      <c r="I5" s="8">
        <v>43408</v>
      </c>
      <c r="J5" s="8">
        <v>43039</v>
      </c>
      <c r="K5" s="8">
        <v>42674</v>
      </c>
      <c r="L5" s="8">
        <v>42308</v>
      </c>
      <c r="M5" s="8">
        <v>41943</v>
      </c>
      <c r="N5" s="8">
        <v>41578</v>
      </c>
      <c r="O5" s="8">
        <v>41213</v>
      </c>
      <c r="P5" s="8">
        <v>40847</v>
      </c>
      <c r="Q5" s="8">
        <v>40482</v>
      </c>
      <c r="R5" s="8">
        <v>40117</v>
      </c>
      <c r="S5" s="8">
        <v>39752</v>
      </c>
      <c r="T5" s="8">
        <v>39386</v>
      </c>
    </row>
    <row r="7" spans="1:20" x14ac:dyDescent="0.2">
      <c r="A7" s="1" t="s">
        <v>74</v>
      </c>
      <c r="B7" s="1">
        <v>16178000000</v>
      </c>
      <c r="C7" s="1">
        <v>9348000000</v>
      </c>
      <c r="D7" s="1">
        <v>14189000000</v>
      </c>
      <c r="E7" s="1">
        <v>12416000000</v>
      </c>
      <c r="F7" s="1">
        <v>12163000000</v>
      </c>
      <c r="G7" s="1">
        <v>7618000000</v>
      </c>
      <c r="H7" s="1">
        <v>5055000000</v>
      </c>
      <c r="I7" s="1">
        <v>4292000000</v>
      </c>
      <c r="J7" s="1">
        <v>11204000000</v>
      </c>
      <c r="K7" s="1">
        <v>3097000000</v>
      </c>
      <c r="L7" s="1">
        <v>1822000000</v>
      </c>
      <c r="M7" s="1">
        <v>1604000000</v>
      </c>
      <c r="N7" s="1">
        <v>985000000</v>
      </c>
      <c r="O7" s="1">
        <v>1084000000</v>
      </c>
      <c r="P7" s="1">
        <v>829000000</v>
      </c>
      <c r="Q7" s="1">
        <v>561000000</v>
      </c>
      <c r="R7" s="1">
        <v>472000000</v>
      </c>
      <c r="S7" s="1">
        <v>213000000</v>
      </c>
      <c r="T7" s="1">
        <v>309000000</v>
      </c>
    </row>
    <row r="8" spans="1:20" x14ac:dyDescent="0.2">
      <c r="A8" s="1" t="s">
        <v>73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24000000</v>
      </c>
      <c r="N8" s="1">
        <v>14000000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</row>
    <row r="9" spans="1:20" x14ac:dyDescent="0.2">
      <c r="A9" s="1" t="s">
        <v>72</v>
      </c>
      <c r="B9" s="1">
        <v>16178000000</v>
      </c>
      <c r="C9" s="1">
        <v>9348000000</v>
      </c>
      <c r="D9" s="1">
        <v>14189000000</v>
      </c>
      <c r="E9" s="1">
        <v>12416000000</v>
      </c>
      <c r="F9" s="1">
        <v>12163000000</v>
      </c>
      <c r="G9" s="1">
        <v>7618000000</v>
      </c>
      <c r="H9" s="1">
        <v>5055000000</v>
      </c>
      <c r="I9" s="1">
        <v>4292000000</v>
      </c>
      <c r="J9" s="1">
        <v>11204000000</v>
      </c>
      <c r="K9" s="1">
        <v>3097000000</v>
      </c>
      <c r="L9" s="1">
        <v>1822000000</v>
      </c>
      <c r="M9" s="1">
        <v>1628000000</v>
      </c>
      <c r="N9" s="1">
        <v>999000000</v>
      </c>
      <c r="O9" s="1">
        <v>1084000000</v>
      </c>
      <c r="P9" s="1">
        <v>829000000</v>
      </c>
      <c r="Q9" s="1">
        <v>561000000</v>
      </c>
      <c r="R9" s="1">
        <v>472000000</v>
      </c>
      <c r="S9" s="1">
        <v>213000000</v>
      </c>
      <c r="T9" s="1">
        <v>309000000</v>
      </c>
    </row>
    <row r="10" spans="1:20" x14ac:dyDescent="0.2">
      <c r="A10" s="1" t="s">
        <v>71</v>
      </c>
      <c r="B10" s="1">
        <v>12150000000</v>
      </c>
      <c r="C10" s="1">
        <v>6332000000</v>
      </c>
      <c r="D10" s="1">
        <v>3154000000</v>
      </c>
      <c r="E10" s="1">
        <v>2958000000</v>
      </c>
      <c r="F10" s="1">
        <v>2071000000</v>
      </c>
      <c r="G10" s="1">
        <v>2297000000</v>
      </c>
      <c r="H10" s="1">
        <v>3259000000</v>
      </c>
      <c r="I10" s="1">
        <v>3325000000</v>
      </c>
      <c r="J10" s="1">
        <v>2448000000</v>
      </c>
      <c r="K10" s="1">
        <v>2181000000</v>
      </c>
      <c r="L10" s="1">
        <v>1019000000</v>
      </c>
      <c r="M10" s="1">
        <v>782000000</v>
      </c>
      <c r="N10" s="1">
        <v>418000000</v>
      </c>
      <c r="O10" s="1">
        <v>359000000</v>
      </c>
      <c r="P10" s="1">
        <v>331000000</v>
      </c>
      <c r="Q10" s="1">
        <v>290000000</v>
      </c>
      <c r="R10" s="1">
        <v>191000000</v>
      </c>
      <c r="S10" s="1">
        <v>184000000</v>
      </c>
      <c r="T10" s="1">
        <v>218000000</v>
      </c>
    </row>
    <row r="11" spans="1:20" x14ac:dyDescent="0.2">
      <c r="A11" s="1" t="s">
        <v>70</v>
      </c>
      <c r="B11" s="1">
        <v>2270000000</v>
      </c>
      <c r="C11" s="1">
        <v>1760000000</v>
      </c>
      <c r="D11" s="1">
        <v>1898000000</v>
      </c>
      <c r="E11" s="1">
        <v>1925000000</v>
      </c>
      <c r="F11" s="1">
        <v>1297000000</v>
      </c>
      <c r="G11" s="1">
        <v>1003000000</v>
      </c>
      <c r="H11" s="1">
        <v>874000000</v>
      </c>
      <c r="I11" s="1">
        <v>1124000000</v>
      </c>
      <c r="J11" s="1">
        <v>1447000000</v>
      </c>
      <c r="K11" s="1">
        <v>1400000000</v>
      </c>
      <c r="L11" s="1">
        <v>524000000</v>
      </c>
      <c r="M11" s="1">
        <v>519000000</v>
      </c>
      <c r="N11" s="1">
        <v>285000000</v>
      </c>
      <c r="O11" s="1">
        <v>194000000</v>
      </c>
      <c r="P11" s="1">
        <v>194000000</v>
      </c>
      <c r="Q11" s="1">
        <v>189000000</v>
      </c>
      <c r="R11" s="1">
        <v>162000000</v>
      </c>
      <c r="S11" s="1">
        <v>188000000</v>
      </c>
      <c r="T11" s="1">
        <v>140000000</v>
      </c>
    </row>
    <row r="12" spans="1:20" x14ac:dyDescent="0.2">
      <c r="A12" s="1" t="s">
        <v>69</v>
      </c>
      <c r="B12" s="1">
        <v>975000000</v>
      </c>
      <c r="C12" s="1">
        <v>2155000000</v>
      </c>
      <c r="D12" s="1">
        <v>1606000000</v>
      </c>
      <c r="E12" s="1">
        <v>1205000000</v>
      </c>
      <c r="F12" s="1">
        <v>1055000000</v>
      </c>
      <c r="G12" s="1">
        <v>977000000</v>
      </c>
      <c r="H12" s="1">
        <v>729000000</v>
      </c>
      <c r="I12" s="1">
        <v>366000000</v>
      </c>
      <c r="J12" s="1">
        <v>724000000</v>
      </c>
      <c r="K12" s="1">
        <v>447000000</v>
      </c>
      <c r="L12" s="1">
        <v>410000000</v>
      </c>
      <c r="M12" s="1">
        <v>895000000</v>
      </c>
      <c r="N12" s="1">
        <v>116000000</v>
      </c>
      <c r="O12" s="1">
        <v>54000000</v>
      </c>
      <c r="P12" s="1">
        <v>39000000</v>
      </c>
      <c r="Q12" s="1">
        <v>47000000</v>
      </c>
      <c r="R12" s="1">
        <v>39000000</v>
      </c>
      <c r="S12" s="1">
        <v>34000000</v>
      </c>
      <c r="T12" s="1">
        <v>50000000</v>
      </c>
    </row>
    <row r="13" spans="1:20" x14ac:dyDescent="0.2">
      <c r="A13" s="6" t="s">
        <v>68</v>
      </c>
      <c r="B13" s="4">
        <v>31573000000</v>
      </c>
      <c r="C13" s="4">
        <v>19595000000</v>
      </c>
      <c r="D13" s="4">
        <v>20847000000</v>
      </c>
      <c r="E13" s="4">
        <v>18504000000</v>
      </c>
      <c r="F13" s="4">
        <v>16586000000</v>
      </c>
      <c r="G13" s="4">
        <v>11895000000</v>
      </c>
      <c r="H13" s="4">
        <v>9917000000</v>
      </c>
      <c r="I13" s="4">
        <v>9107000000</v>
      </c>
      <c r="J13" s="4">
        <v>15823000000</v>
      </c>
      <c r="K13" s="4">
        <v>7125000000</v>
      </c>
      <c r="L13" s="4">
        <v>3775000000</v>
      </c>
      <c r="M13" s="4">
        <v>3824000000</v>
      </c>
      <c r="N13" s="4">
        <v>1818000000</v>
      </c>
      <c r="O13" s="4">
        <v>1691000000</v>
      </c>
      <c r="P13" s="4">
        <v>1393000000</v>
      </c>
      <c r="Q13" s="4">
        <v>1087000000</v>
      </c>
      <c r="R13" s="4">
        <v>864000000</v>
      </c>
      <c r="S13" s="4">
        <v>619000000</v>
      </c>
      <c r="T13" s="4">
        <v>717000000</v>
      </c>
    </row>
    <row r="15" spans="1:20" x14ac:dyDescent="0.2">
      <c r="A15" s="1" t="s">
        <v>67</v>
      </c>
      <c r="B15" s="1">
        <v>2530000000</v>
      </c>
      <c r="C15" s="1">
        <v>2521000000</v>
      </c>
      <c r="D15" s="1">
        <v>2617000000</v>
      </c>
      <c r="E15" s="1">
        <v>2223000000</v>
      </c>
      <c r="F15" s="1">
        <v>2348000000</v>
      </c>
      <c r="G15" s="1">
        <v>2509000000</v>
      </c>
      <c r="H15" s="1">
        <v>2565000000</v>
      </c>
      <c r="I15" s="1">
        <v>2635000000</v>
      </c>
      <c r="J15" s="1">
        <v>2599000000</v>
      </c>
      <c r="K15" s="1">
        <v>2509000000</v>
      </c>
      <c r="L15" s="1">
        <v>1460000000</v>
      </c>
      <c r="M15" s="1">
        <v>1158000000</v>
      </c>
      <c r="N15" s="1">
        <v>661000000</v>
      </c>
      <c r="O15" s="1">
        <v>503000000</v>
      </c>
      <c r="P15" s="1">
        <v>316000000</v>
      </c>
      <c r="Q15" s="1">
        <v>281000000</v>
      </c>
      <c r="R15" s="1">
        <v>264000000</v>
      </c>
      <c r="S15" s="1">
        <v>299000000</v>
      </c>
      <c r="T15" s="1">
        <v>292000000</v>
      </c>
    </row>
    <row r="16" spans="1:20" x14ac:dyDescent="0.2">
      <c r="A16" s="1" t="s">
        <v>66</v>
      </c>
      <c r="B16" s="1">
        <v>97801000000</v>
      </c>
      <c r="C16" s="1">
        <v>97873000000</v>
      </c>
      <c r="D16" s="1">
        <v>43653000000</v>
      </c>
      <c r="E16" s="1">
        <v>43614000000</v>
      </c>
      <c r="F16" s="1">
        <v>43450000000</v>
      </c>
      <c r="G16" s="1">
        <v>43447000000</v>
      </c>
      <c r="H16" s="1">
        <v>36714000000</v>
      </c>
      <c r="I16" s="1">
        <v>26913000000</v>
      </c>
      <c r="J16" s="1">
        <v>24706000000</v>
      </c>
      <c r="K16" s="1">
        <v>24732000000</v>
      </c>
      <c r="L16" s="1">
        <v>1674000000</v>
      </c>
      <c r="M16" s="1">
        <v>1596000000</v>
      </c>
      <c r="N16" s="1">
        <v>391000000</v>
      </c>
      <c r="O16" s="1">
        <v>180000000</v>
      </c>
      <c r="P16" s="1">
        <v>177000000</v>
      </c>
      <c r="Q16" s="1">
        <v>172000000</v>
      </c>
      <c r="R16" s="1">
        <v>171000000</v>
      </c>
      <c r="S16" s="1">
        <v>169000000</v>
      </c>
      <c r="T16" s="1">
        <v>122000000</v>
      </c>
    </row>
    <row r="17" spans="1:20" x14ac:dyDescent="0.2">
      <c r="A17" s="1" t="s">
        <v>65</v>
      </c>
      <c r="B17" s="1">
        <v>32273000000</v>
      </c>
      <c r="C17" s="1">
        <v>40583000000</v>
      </c>
      <c r="D17" s="1">
        <v>3867000000</v>
      </c>
      <c r="E17" s="1">
        <v>7111000000</v>
      </c>
      <c r="F17" s="1">
        <v>11374000000</v>
      </c>
      <c r="G17" s="1">
        <v>16782000000</v>
      </c>
      <c r="H17" s="1">
        <v>17554000000</v>
      </c>
      <c r="I17" s="1">
        <v>10762000000</v>
      </c>
      <c r="J17" s="1">
        <v>10832000000</v>
      </c>
      <c r="K17" s="1">
        <v>15068000000</v>
      </c>
      <c r="L17" s="1">
        <v>3277000000</v>
      </c>
      <c r="M17" s="1">
        <v>3617000000</v>
      </c>
      <c r="N17" s="1">
        <v>492000000</v>
      </c>
      <c r="O17" s="1">
        <v>422000000</v>
      </c>
      <c r="P17" s="1">
        <v>499000000</v>
      </c>
      <c r="Q17" s="1">
        <v>573000000</v>
      </c>
      <c r="R17" s="1">
        <v>647000000</v>
      </c>
      <c r="S17" s="1">
        <v>721000000</v>
      </c>
      <c r="T17" s="1">
        <v>777000000</v>
      </c>
    </row>
    <row r="18" spans="1:20" x14ac:dyDescent="0.2">
      <c r="A18" s="1" t="s">
        <v>64</v>
      </c>
      <c r="B18" s="1">
        <v>130074000000</v>
      </c>
      <c r="C18" s="1">
        <v>138456000000</v>
      </c>
      <c r="D18" s="1">
        <v>47520000000</v>
      </c>
      <c r="E18" s="1">
        <v>50725000000</v>
      </c>
      <c r="F18" s="1">
        <v>54824000000</v>
      </c>
      <c r="G18" s="1">
        <v>60229000000</v>
      </c>
      <c r="H18" s="1">
        <v>54268000000</v>
      </c>
      <c r="I18" s="1">
        <v>37675000000</v>
      </c>
      <c r="J18" s="1">
        <v>35538000000</v>
      </c>
      <c r="K18" s="1">
        <v>39800000000</v>
      </c>
      <c r="L18" s="1">
        <v>4951000000</v>
      </c>
      <c r="M18" s="1">
        <v>5213000000</v>
      </c>
      <c r="N18" s="1">
        <v>883000000</v>
      </c>
      <c r="O18" s="1">
        <v>602000000</v>
      </c>
      <c r="P18" s="1">
        <v>676000000</v>
      </c>
      <c r="Q18" s="1">
        <v>745000000</v>
      </c>
      <c r="R18" s="1">
        <v>818000000</v>
      </c>
      <c r="S18" s="1">
        <v>890000000</v>
      </c>
      <c r="T18" s="1">
        <v>899000000</v>
      </c>
    </row>
    <row r="19" spans="1:20" x14ac:dyDescent="0.2">
      <c r="A19" s="1" t="s">
        <v>63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27000000</v>
      </c>
      <c r="M19" s="1">
        <v>50000000</v>
      </c>
      <c r="N19" s="1">
        <v>0</v>
      </c>
      <c r="O19" s="1">
        <v>5000000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</row>
    <row r="20" spans="1:20" x14ac:dyDescent="0.2">
      <c r="A20" s="1" t="s">
        <v>62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240000000</v>
      </c>
      <c r="H20" s="1">
        <v>0</v>
      </c>
      <c r="I20" s="1">
        <v>0</v>
      </c>
      <c r="J20" s="1">
        <v>21000000</v>
      </c>
      <c r="K20" s="1">
        <v>0</v>
      </c>
      <c r="L20" s="1">
        <v>0</v>
      </c>
      <c r="M20" s="1">
        <v>0</v>
      </c>
      <c r="N20" s="1">
        <v>-5000000</v>
      </c>
      <c r="O20" s="1">
        <v>-5000000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</row>
    <row r="21" spans="1:20" x14ac:dyDescent="0.2">
      <c r="A21" s="1" t="s">
        <v>61</v>
      </c>
      <c r="B21" s="1">
        <v>6915000000</v>
      </c>
      <c r="C21" s="1">
        <v>5073000000</v>
      </c>
      <c r="D21" s="1">
        <v>1877000000</v>
      </c>
      <c r="E21" s="1">
        <v>1797000000</v>
      </c>
      <c r="F21" s="1">
        <v>1812000000</v>
      </c>
      <c r="G21" s="1">
        <v>1060000000</v>
      </c>
      <c r="H21" s="1">
        <v>743000000</v>
      </c>
      <c r="I21" s="1">
        <v>707000000</v>
      </c>
      <c r="J21" s="1">
        <v>437000000</v>
      </c>
      <c r="K21" s="1">
        <v>532000000</v>
      </c>
      <c r="L21" s="1">
        <v>318000000</v>
      </c>
      <c r="M21" s="1">
        <v>246000000</v>
      </c>
      <c r="N21" s="1">
        <v>58000000</v>
      </c>
      <c r="O21" s="1">
        <v>66000000</v>
      </c>
      <c r="P21" s="1">
        <v>61000000</v>
      </c>
      <c r="Q21" s="1">
        <v>44000000</v>
      </c>
      <c r="R21" s="1">
        <v>24000000</v>
      </c>
      <c r="S21" s="1">
        <v>63000000</v>
      </c>
      <c r="T21" s="1">
        <v>43000000</v>
      </c>
    </row>
    <row r="22" spans="1:20" x14ac:dyDescent="0.2">
      <c r="A22" s="6" t="s">
        <v>60</v>
      </c>
      <c r="B22" s="4">
        <v>139519000000</v>
      </c>
      <c r="C22" s="4">
        <v>146050000000</v>
      </c>
      <c r="D22" s="4">
        <v>52014000000</v>
      </c>
      <c r="E22" s="4">
        <v>54745000000</v>
      </c>
      <c r="F22" s="4">
        <v>58984000000</v>
      </c>
      <c r="G22" s="4">
        <v>64038000000</v>
      </c>
      <c r="H22" s="4">
        <v>57576000000</v>
      </c>
      <c r="I22" s="4">
        <v>41017000000</v>
      </c>
      <c r="J22" s="4">
        <v>38595000000</v>
      </c>
      <c r="K22" s="4">
        <v>42841000000</v>
      </c>
      <c r="L22" s="4">
        <v>6756000000</v>
      </c>
      <c r="M22" s="4">
        <v>6667000000</v>
      </c>
      <c r="N22" s="4">
        <v>1597000000</v>
      </c>
      <c r="O22" s="4">
        <v>1171000000</v>
      </c>
      <c r="P22" s="4">
        <v>1053000000</v>
      </c>
      <c r="Q22" s="4">
        <v>1070000000</v>
      </c>
      <c r="R22" s="4">
        <v>1106000000</v>
      </c>
      <c r="S22" s="4">
        <v>1252000000</v>
      </c>
      <c r="T22" s="4">
        <v>1234000000</v>
      </c>
    </row>
    <row r="24" spans="1:20" x14ac:dyDescent="0.2">
      <c r="A24" s="1" t="s">
        <v>59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</row>
    <row r="25" spans="1:20" x14ac:dyDescent="0.2">
      <c r="A25" s="6" t="s">
        <v>58</v>
      </c>
      <c r="B25" s="5">
        <v>171092000000</v>
      </c>
      <c r="C25" s="5">
        <v>165645000000</v>
      </c>
      <c r="D25" s="5">
        <v>72861000000</v>
      </c>
      <c r="E25" s="5">
        <v>73249000000</v>
      </c>
      <c r="F25" s="5">
        <v>75570000000</v>
      </c>
      <c r="G25" s="5">
        <v>75933000000</v>
      </c>
      <c r="H25" s="5">
        <v>67493000000</v>
      </c>
      <c r="I25" s="5">
        <v>50124000000</v>
      </c>
      <c r="J25" s="5">
        <v>54418000000</v>
      </c>
      <c r="K25" s="5">
        <v>49966000000</v>
      </c>
      <c r="L25" s="5">
        <v>10515000000</v>
      </c>
      <c r="M25" s="5">
        <v>10491000000</v>
      </c>
      <c r="N25" s="5">
        <v>3415000000</v>
      </c>
      <c r="O25" s="5">
        <v>2862000000</v>
      </c>
      <c r="P25" s="5">
        <v>2446000000</v>
      </c>
      <c r="Q25" s="5">
        <v>2157000000</v>
      </c>
      <c r="R25" s="5">
        <v>1970000000</v>
      </c>
      <c r="S25" s="5">
        <v>1871000000</v>
      </c>
      <c r="T25" s="5">
        <v>1951000000</v>
      </c>
    </row>
    <row r="27" spans="1:20" x14ac:dyDescent="0.2">
      <c r="A27" s="1" t="s">
        <v>57</v>
      </c>
      <c r="B27" s="1">
        <v>1560000000</v>
      </c>
      <c r="C27" s="1">
        <v>1662000000</v>
      </c>
      <c r="D27" s="1">
        <v>1210000000</v>
      </c>
      <c r="E27" s="1">
        <v>998000000</v>
      </c>
      <c r="F27" s="1">
        <v>1086000000</v>
      </c>
      <c r="G27" s="1">
        <v>836000000</v>
      </c>
      <c r="H27" s="1">
        <v>855000000</v>
      </c>
      <c r="I27" s="1">
        <v>811000000</v>
      </c>
      <c r="J27" s="1">
        <v>1105000000</v>
      </c>
      <c r="K27" s="1">
        <v>1261000000</v>
      </c>
      <c r="L27" s="1">
        <v>617000000</v>
      </c>
      <c r="M27" s="1">
        <v>515000000</v>
      </c>
      <c r="N27" s="1">
        <v>278000000</v>
      </c>
      <c r="O27" s="1">
        <v>248000000</v>
      </c>
      <c r="P27" s="1">
        <v>221000000</v>
      </c>
      <c r="Q27" s="1">
        <v>198000000</v>
      </c>
      <c r="R27" s="1">
        <v>154000000</v>
      </c>
      <c r="S27" s="1">
        <v>174000000</v>
      </c>
      <c r="T27" s="1">
        <v>194000000</v>
      </c>
    </row>
    <row r="28" spans="1:20" x14ac:dyDescent="0.2">
      <c r="A28" s="1" t="s">
        <v>56</v>
      </c>
      <c r="B28" s="1">
        <v>3152000000</v>
      </c>
      <c r="C28" s="1">
        <v>1271000000</v>
      </c>
      <c r="D28" s="1">
        <v>1668000000</v>
      </c>
      <c r="E28" s="1">
        <v>514000000</v>
      </c>
      <c r="F28" s="1">
        <v>373000000</v>
      </c>
      <c r="G28" s="1">
        <v>947000000</v>
      </c>
      <c r="H28" s="1">
        <v>2787000000</v>
      </c>
      <c r="I28" s="1">
        <v>0</v>
      </c>
      <c r="J28" s="1">
        <v>117000000</v>
      </c>
      <c r="K28" s="1">
        <v>454000000</v>
      </c>
      <c r="L28" s="1">
        <v>46000000</v>
      </c>
      <c r="M28" s="1">
        <v>46000000</v>
      </c>
      <c r="N28" s="1">
        <v>1000000</v>
      </c>
      <c r="O28" s="1">
        <v>1000000</v>
      </c>
      <c r="P28" s="1">
        <v>2000000</v>
      </c>
      <c r="Q28" s="1">
        <v>232000000</v>
      </c>
      <c r="R28" s="1">
        <v>368000000</v>
      </c>
      <c r="S28" s="1">
        <v>2000000</v>
      </c>
      <c r="T28" s="1">
        <v>4000000</v>
      </c>
    </row>
    <row r="29" spans="1:20" x14ac:dyDescent="0.2">
      <c r="A29" s="1" t="s">
        <v>55</v>
      </c>
      <c r="B29" s="1">
        <v>921000000</v>
      </c>
      <c r="C29" s="1">
        <v>720000000</v>
      </c>
      <c r="D29" s="1">
        <v>473000000</v>
      </c>
      <c r="E29" s="1">
        <v>680000000</v>
      </c>
      <c r="F29" s="1">
        <v>541000000</v>
      </c>
      <c r="G29" s="1">
        <v>440000000</v>
      </c>
      <c r="H29" s="1">
        <v>229000000</v>
      </c>
      <c r="I29" s="1">
        <v>162000000</v>
      </c>
      <c r="J29" s="1">
        <v>123000000</v>
      </c>
      <c r="K29" s="1">
        <v>0</v>
      </c>
      <c r="L29" s="1">
        <v>79000000</v>
      </c>
      <c r="M29" s="1">
        <v>57000000</v>
      </c>
      <c r="N29" s="1">
        <v>15000000</v>
      </c>
      <c r="O29" s="1">
        <v>16000000</v>
      </c>
      <c r="P29" s="1">
        <v>10000000</v>
      </c>
      <c r="Q29" s="1">
        <v>0</v>
      </c>
      <c r="R29" s="1">
        <v>0</v>
      </c>
      <c r="S29" s="1">
        <v>0</v>
      </c>
      <c r="T29" s="1">
        <v>0</v>
      </c>
    </row>
    <row r="30" spans="1:20" x14ac:dyDescent="0.2">
      <c r="A30" s="1" t="s">
        <v>54</v>
      </c>
      <c r="B30" s="1">
        <v>9469000000</v>
      </c>
      <c r="C30" s="1">
        <v>9395000000</v>
      </c>
      <c r="D30" s="1">
        <v>2487000000</v>
      </c>
      <c r="E30" s="1">
        <v>2931000000</v>
      </c>
      <c r="F30" s="1">
        <v>2619000000</v>
      </c>
      <c r="G30" s="1">
        <v>2620000000</v>
      </c>
      <c r="H30" s="1">
        <v>1501000000</v>
      </c>
      <c r="I30" s="1">
        <v>164000000</v>
      </c>
      <c r="J30" s="1">
        <v>0</v>
      </c>
      <c r="K30" s="1">
        <v>517000000</v>
      </c>
      <c r="L30" s="1">
        <v>250000000</v>
      </c>
      <c r="M30" s="1">
        <v>232000000</v>
      </c>
      <c r="N30" s="1">
        <v>11000000</v>
      </c>
      <c r="O30" s="1">
        <v>8000000</v>
      </c>
      <c r="P30" s="1">
        <v>10000000</v>
      </c>
      <c r="Q30" s="1">
        <v>7000000</v>
      </c>
      <c r="R30" s="1">
        <v>25000000</v>
      </c>
      <c r="S30" s="1">
        <v>0</v>
      </c>
      <c r="T30" s="1">
        <v>34000000</v>
      </c>
    </row>
    <row r="31" spans="1:20" x14ac:dyDescent="0.2">
      <c r="A31" s="1" t="s">
        <v>53</v>
      </c>
      <c r="B31" s="1">
        <v>3412000000</v>
      </c>
      <c r="C31" s="1">
        <v>3649000000</v>
      </c>
      <c r="D31" s="1">
        <v>1567000000</v>
      </c>
      <c r="E31" s="1">
        <v>1929000000</v>
      </c>
      <c r="F31" s="1">
        <v>1662000000</v>
      </c>
      <c r="G31" s="1">
        <v>1528000000</v>
      </c>
      <c r="H31" s="1">
        <v>1527000000</v>
      </c>
      <c r="I31" s="1">
        <v>1201000000</v>
      </c>
      <c r="J31" s="1">
        <v>1184000000</v>
      </c>
      <c r="K31" s="1">
        <v>846000000</v>
      </c>
      <c r="L31" s="1">
        <v>127000000</v>
      </c>
      <c r="M31" s="1">
        <v>166000000</v>
      </c>
      <c r="N31" s="1">
        <v>118000000</v>
      </c>
      <c r="O31" s="1">
        <v>73000000</v>
      </c>
      <c r="P31" s="1">
        <v>107000000</v>
      </c>
      <c r="Q31" s="1">
        <v>128000000</v>
      </c>
      <c r="R31" s="1">
        <v>86000000</v>
      </c>
      <c r="S31" s="1">
        <v>152000000</v>
      </c>
      <c r="T31" s="1">
        <v>89000000</v>
      </c>
    </row>
    <row r="32" spans="1:20" x14ac:dyDescent="0.2">
      <c r="A32" s="6" t="s">
        <v>52</v>
      </c>
      <c r="B32" s="4">
        <v>18514000000</v>
      </c>
      <c r="C32" s="4">
        <v>16697000000</v>
      </c>
      <c r="D32" s="4">
        <v>7405000000</v>
      </c>
      <c r="E32" s="4">
        <v>7052000000</v>
      </c>
      <c r="F32" s="4">
        <v>6281000000</v>
      </c>
      <c r="G32" s="4">
        <v>6371000000</v>
      </c>
      <c r="H32" s="4">
        <v>6899000000</v>
      </c>
      <c r="I32" s="4">
        <v>2338000000</v>
      </c>
      <c r="J32" s="4">
        <v>2529000000</v>
      </c>
      <c r="K32" s="4">
        <v>3078000000</v>
      </c>
      <c r="L32" s="4">
        <v>1119000000</v>
      </c>
      <c r="M32" s="4">
        <v>1016000000</v>
      </c>
      <c r="N32" s="4">
        <v>423000000</v>
      </c>
      <c r="O32" s="4">
        <v>346000000</v>
      </c>
      <c r="P32" s="4">
        <v>350000000</v>
      </c>
      <c r="Q32" s="4">
        <v>565000000</v>
      </c>
      <c r="R32" s="4">
        <v>633000000</v>
      </c>
      <c r="S32" s="4">
        <v>328000000</v>
      </c>
      <c r="T32" s="4">
        <v>321000000</v>
      </c>
    </row>
    <row r="34" spans="1:20" x14ac:dyDescent="0.2">
      <c r="A34" s="1" t="s">
        <v>51</v>
      </c>
      <c r="B34" s="1">
        <v>61984000000</v>
      </c>
      <c r="C34" s="1">
        <v>66308000000</v>
      </c>
      <c r="D34" s="1">
        <v>37980000000</v>
      </c>
      <c r="E34" s="1">
        <v>39464000000</v>
      </c>
      <c r="F34" s="1">
        <v>39900000000</v>
      </c>
      <c r="G34" s="1">
        <v>40810000000</v>
      </c>
      <c r="H34" s="1">
        <v>30011000000</v>
      </c>
      <c r="I34" s="1">
        <v>17493000000</v>
      </c>
      <c r="J34" s="1">
        <v>17431000000</v>
      </c>
      <c r="K34" s="1">
        <v>13188000000</v>
      </c>
      <c r="L34" s="1">
        <v>3826000000</v>
      </c>
      <c r="M34" s="1">
        <v>5463000000</v>
      </c>
      <c r="N34" s="1">
        <v>1000000</v>
      </c>
      <c r="O34" s="1">
        <v>4000000</v>
      </c>
      <c r="P34" s="1">
        <v>4000000</v>
      </c>
      <c r="Q34" s="1">
        <v>4000000</v>
      </c>
      <c r="R34" s="1">
        <v>233000000</v>
      </c>
      <c r="S34" s="1">
        <v>708000000</v>
      </c>
      <c r="T34" s="1">
        <v>907000000</v>
      </c>
    </row>
    <row r="35" spans="1:20" x14ac:dyDescent="0.2">
      <c r="A35" s="1" t="s">
        <v>50</v>
      </c>
      <c r="B35" s="1">
        <v>3547000000</v>
      </c>
      <c r="C35" s="1">
        <v>5100000000</v>
      </c>
      <c r="D35" s="1">
        <v>299000000</v>
      </c>
      <c r="E35" s="1">
        <v>410000000</v>
      </c>
      <c r="F35" s="1">
        <v>566000000</v>
      </c>
      <c r="G35" s="1">
        <v>823000000</v>
      </c>
      <c r="H35" s="1">
        <v>-4800000000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</row>
    <row r="36" spans="1:20" x14ac:dyDescent="0.2">
      <c r="A36" s="1" t="s">
        <v>49</v>
      </c>
      <c r="B36" s="1">
        <v>2704000000</v>
      </c>
      <c r="C36" s="1">
        <v>4703000000</v>
      </c>
      <c r="D36" s="1">
        <v>-299000000</v>
      </c>
      <c r="E36" s="1">
        <v>3229000000</v>
      </c>
      <c r="F36" s="1">
        <v>-566000000</v>
      </c>
      <c r="G36" s="1">
        <v>0</v>
      </c>
      <c r="H36" s="1">
        <v>4800000000</v>
      </c>
      <c r="I36" s="1">
        <v>169000000</v>
      </c>
      <c r="J36" s="1">
        <v>10019000000</v>
      </c>
      <c r="K36" s="1">
        <v>10287000000</v>
      </c>
      <c r="L36" s="1">
        <v>9000000</v>
      </c>
      <c r="M36" s="1">
        <v>0</v>
      </c>
      <c r="N36" s="1">
        <v>0</v>
      </c>
      <c r="O36" s="1">
        <v>2000000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</row>
    <row r="37" spans="1:20" x14ac:dyDescent="0.2">
      <c r="A37" s="1" t="s">
        <v>48</v>
      </c>
      <c r="B37" s="1">
        <v>3051000000</v>
      </c>
      <c r="C37" s="1">
        <v>5172000000</v>
      </c>
      <c r="D37" s="1">
        <v>3488000000</v>
      </c>
      <c r="E37" s="1">
        <v>385000000</v>
      </c>
      <c r="F37" s="1">
        <v>4400000000</v>
      </c>
      <c r="G37" s="1">
        <v>4028000000</v>
      </c>
      <c r="H37" s="1">
        <v>5613000000</v>
      </c>
      <c r="I37" s="1">
        <v>3467000000</v>
      </c>
      <c r="J37" s="1">
        <v>1253000000</v>
      </c>
      <c r="K37" s="1">
        <v>1537000000</v>
      </c>
      <c r="L37" s="1">
        <v>847000000</v>
      </c>
      <c r="M37" s="1">
        <v>769000000</v>
      </c>
      <c r="N37" s="1">
        <v>105000000</v>
      </c>
      <c r="O37" s="1">
        <v>95000000</v>
      </c>
      <c r="P37" s="1">
        <v>86000000</v>
      </c>
      <c r="Q37" s="1">
        <v>83000000</v>
      </c>
      <c r="R37" s="1">
        <v>64000000</v>
      </c>
      <c r="S37" s="1">
        <v>55000000</v>
      </c>
      <c r="T37" s="1">
        <v>30000000</v>
      </c>
    </row>
    <row r="38" spans="1:20" x14ac:dyDescent="0.2">
      <c r="A38" s="6" t="s">
        <v>47</v>
      </c>
      <c r="B38" s="4">
        <v>71286000000</v>
      </c>
      <c r="C38" s="4">
        <v>81270000000</v>
      </c>
      <c r="D38" s="4">
        <v>41468000000</v>
      </c>
      <c r="E38" s="4">
        <v>43488000000</v>
      </c>
      <c r="F38" s="4">
        <v>44300000000</v>
      </c>
      <c r="G38" s="4">
        <v>45661000000</v>
      </c>
      <c r="H38" s="4">
        <v>35624000000</v>
      </c>
      <c r="I38" s="4">
        <v>21129000000</v>
      </c>
      <c r="J38" s="4">
        <v>28703000000</v>
      </c>
      <c r="K38" s="4">
        <v>25012000000</v>
      </c>
      <c r="L38" s="4">
        <v>4682000000</v>
      </c>
      <c r="M38" s="4">
        <v>6219000000</v>
      </c>
      <c r="N38" s="4">
        <v>106000000</v>
      </c>
      <c r="O38" s="4">
        <v>97000000</v>
      </c>
      <c r="P38" s="4">
        <v>90000000</v>
      </c>
      <c r="Q38" s="4">
        <v>87000000</v>
      </c>
      <c r="R38" s="4">
        <v>297000000</v>
      </c>
      <c r="S38" s="4">
        <v>763000000</v>
      </c>
      <c r="T38" s="4">
        <v>937000000</v>
      </c>
    </row>
    <row r="40" spans="1:20" x14ac:dyDescent="0.2">
      <c r="A40" s="1" t="s">
        <v>46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</row>
    <row r="41" spans="1:20" x14ac:dyDescent="0.2">
      <c r="A41" s="6" t="s">
        <v>45</v>
      </c>
      <c r="B41" s="5">
        <v>89800000000</v>
      </c>
      <c r="C41" s="5">
        <v>97967000000</v>
      </c>
      <c r="D41" s="5">
        <v>48873000000</v>
      </c>
      <c r="E41" s="5">
        <v>50540000000</v>
      </c>
      <c r="F41" s="5">
        <v>50581000000</v>
      </c>
      <c r="G41" s="5">
        <v>52032000000</v>
      </c>
      <c r="H41" s="5">
        <v>42523000000</v>
      </c>
      <c r="I41" s="5">
        <v>23467000000</v>
      </c>
      <c r="J41" s="5">
        <v>31232000000</v>
      </c>
      <c r="K41" s="5">
        <v>28090000000</v>
      </c>
      <c r="L41" s="5">
        <v>5801000000</v>
      </c>
      <c r="M41" s="5">
        <v>7248000000</v>
      </c>
      <c r="N41" s="5">
        <v>529000000</v>
      </c>
      <c r="O41" s="5">
        <v>443000000</v>
      </c>
      <c r="P41" s="5">
        <v>440000000</v>
      </c>
      <c r="Q41" s="5">
        <v>652000000</v>
      </c>
      <c r="R41" s="5">
        <v>930000000</v>
      </c>
      <c r="S41" s="5">
        <v>1091000000</v>
      </c>
      <c r="T41" s="5">
        <v>1258000000</v>
      </c>
    </row>
    <row r="43" spans="1:20" x14ac:dyDescent="0.2">
      <c r="A43" s="1" t="s">
        <v>44</v>
      </c>
      <c r="B43" s="1">
        <v>5000000</v>
      </c>
      <c r="C43" s="1">
        <v>5000000</v>
      </c>
      <c r="D43" s="1">
        <v>4000000</v>
      </c>
      <c r="E43" s="1">
        <v>0</v>
      </c>
      <c r="F43" s="1">
        <v>0</v>
      </c>
      <c r="G43" s="1">
        <v>0</v>
      </c>
      <c r="H43" s="1">
        <v>0</v>
      </c>
      <c r="I43" s="1">
        <v>23285000000</v>
      </c>
      <c r="J43" s="1">
        <v>20505000000</v>
      </c>
      <c r="K43" s="1">
        <v>19241000000</v>
      </c>
      <c r="L43" s="1">
        <v>2547000000</v>
      </c>
      <c r="M43" s="1">
        <v>2009000000</v>
      </c>
      <c r="N43" s="1">
        <v>1587000000</v>
      </c>
      <c r="O43" s="1">
        <v>1479000000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</row>
    <row r="44" spans="1:20" x14ac:dyDescent="0.2">
      <c r="A44" s="1" t="s">
        <v>43</v>
      </c>
      <c r="B44" s="1">
        <v>9761000000</v>
      </c>
      <c r="C44" s="1">
        <v>0</v>
      </c>
      <c r="D44" s="1">
        <v>2682000000</v>
      </c>
      <c r="E44" s="1">
        <v>1604000000</v>
      </c>
      <c r="F44" s="1">
        <v>748000000</v>
      </c>
      <c r="G44" s="1">
        <v>0</v>
      </c>
      <c r="H44" s="1">
        <v>0</v>
      </c>
      <c r="I44" s="1">
        <v>3487000000</v>
      </c>
      <c r="J44" s="1">
        <v>-129000000</v>
      </c>
      <c r="K44" s="1">
        <v>-215000000</v>
      </c>
      <c r="L44" s="1">
        <v>2240000000</v>
      </c>
      <c r="M44" s="1">
        <v>1284000000</v>
      </c>
      <c r="N44" s="1">
        <v>1305000000</v>
      </c>
      <c r="O44" s="1">
        <v>951000000</v>
      </c>
      <c r="P44" s="1">
        <v>525000000</v>
      </c>
      <c r="Q44" s="1">
        <v>59000000</v>
      </c>
      <c r="R44" s="1">
        <v>-356000000</v>
      </c>
      <c r="S44" s="1">
        <v>-312000000</v>
      </c>
      <c r="T44" s="1">
        <v>-386000000</v>
      </c>
    </row>
    <row r="45" spans="1:20" x14ac:dyDescent="0.2">
      <c r="A45" s="1" t="s">
        <v>42</v>
      </c>
      <c r="B45" s="1">
        <v>218000000</v>
      </c>
      <c r="C45" s="1">
        <v>207000000</v>
      </c>
      <c r="D45" s="1">
        <v>207000000</v>
      </c>
      <c r="E45" s="1">
        <v>-54000000</v>
      </c>
      <c r="F45" s="1">
        <v>-116000000</v>
      </c>
      <c r="G45" s="1">
        <v>-108000000</v>
      </c>
      <c r="H45" s="1">
        <v>-140000000</v>
      </c>
      <c r="I45" s="1">
        <v>-115000000</v>
      </c>
      <c r="J45" s="1">
        <v>-91000000</v>
      </c>
      <c r="K45" s="1">
        <v>-134000000</v>
      </c>
      <c r="L45" s="1">
        <v>-73000000</v>
      </c>
      <c r="M45" s="1">
        <v>-50000000</v>
      </c>
      <c r="N45" s="1">
        <v>-6000000</v>
      </c>
      <c r="O45" s="1">
        <v>-11000000</v>
      </c>
      <c r="P45" s="1">
        <v>2000000</v>
      </c>
      <c r="Q45" s="1">
        <v>-4000000</v>
      </c>
      <c r="R45" s="1">
        <v>3000000</v>
      </c>
      <c r="S45" s="1">
        <v>8000000</v>
      </c>
      <c r="T45" s="1">
        <v>4000000</v>
      </c>
    </row>
    <row r="46" spans="1:20" x14ac:dyDescent="0.2">
      <c r="A46" s="1" t="s">
        <v>41</v>
      </c>
      <c r="B46" s="1">
        <v>71308000000</v>
      </c>
      <c r="C46" s="1">
        <v>67466000000</v>
      </c>
      <c r="D46" s="1">
        <v>21099000000</v>
      </c>
      <c r="E46" s="1">
        <v>21159000000</v>
      </c>
      <c r="F46" s="1">
        <v>24330000000</v>
      </c>
      <c r="G46" s="1">
        <v>23982000000</v>
      </c>
      <c r="H46" s="1">
        <v>25081000000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1479000000</v>
      </c>
      <c r="Q46" s="1">
        <v>1450000000</v>
      </c>
      <c r="R46" s="1">
        <v>1393000000</v>
      </c>
      <c r="S46" s="1">
        <v>1084000000</v>
      </c>
      <c r="T46" s="1">
        <v>1075000000</v>
      </c>
    </row>
    <row r="47" spans="1:20" x14ac:dyDescent="0.2">
      <c r="A47" s="6" t="s">
        <v>40</v>
      </c>
      <c r="B47" s="5">
        <v>81292000000</v>
      </c>
      <c r="C47" s="5">
        <v>67678000000</v>
      </c>
      <c r="D47" s="5">
        <v>23988000000</v>
      </c>
      <c r="E47" s="5">
        <v>22709000000</v>
      </c>
      <c r="F47" s="5">
        <v>24989000000</v>
      </c>
      <c r="G47" s="5">
        <v>23901000000</v>
      </c>
      <c r="H47" s="5">
        <v>24970000000</v>
      </c>
      <c r="I47" s="5">
        <v>26657000000</v>
      </c>
      <c r="J47" s="5">
        <v>20285000000</v>
      </c>
      <c r="K47" s="5">
        <v>18892000000</v>
      </c>
      <c r="L47" s="5">
        <v>4714000000</v>
      </c>
      <c r="M47" s="5">
        <v>3243000000</v>
      </c>
      <c r="N47" s="5">
        <v>2886000000</v>
      </c>
      <c r="O47" s="5">
        <v>2419000000</v>
      </c>
      <c r="P47" s="5">
        <v>2006000000</v>
      </c>
      <c r="Q47" s="5">
        <v>1505000000</v>
      </c>
      <c r="R47" s="5">
        <v>1040000000</v>
      </c>
      <c r="S47" s="5">
        <v>780000000</v>
      </c>
      <c r="T47" s="5">
        <v>693000000</v>
      </c>
    </row>
    <row r="49" spans="1:20" x14ac:dyDescent="0.2">
      <c r="A49" s="1" t="s">
        <v>39</v>
      </c>
      <c r="B49" s="1">
        <v>171092000000</v>
      </c>
      <c r="C49" s="1">
        <v>165645000000</v>
      </c>
      <c r="D49" s="1">
        <v>72861000000</v>
      </c>
      <c r="E49" s="1">
        <v>73249000000</v>
      </c>
      <c r="F49" s="1">
        <v>75570000000</v>
      </c>
      <c r="G49" s="1">
        <v>75933000000</v>
      </c>
      <c r="H49" s="1">
        <v>67493000000</v>
      </c>
      <c r="I49" s="1">
        <v>50124000000</v>
      </c>
      <c r="J49" s="1">
        <v>54418000000</v>
      </c>
      <c r="K49" s="1">
        <v>49966000000</v>
      </c>
      <c r="L49" s="1">
        <v>10515000000</v>
      </c>
      <c r="M49" s="1">
        <v>10491000000</v>
      </c>
      <c r="N49" s="1">
        <v>3415000000</v>
      </c>
      <c r="O49" s="1">
        <v>2862000000</v>
      </c>
      <c r="P49" s="1">
        <v>2446000000</v>
      </c>
      <c r="Q49" s="1">
        <v>2157000000</v>
      </c>
      <c r="R49" s="1">
        <v>1970000000</v>
      </c>
      <c r="S49" s="1">
        <v>1871000000</v>
      </c>
      <c r="T49" s="1">
        <v>1951000000</v>
      </c>
    </row>
    <row r="50" spans="1:20" x14ac:dyDescent="0.2">
      <c r="A50" s="1" t="s">
        <v>38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-21000000</v>
      </c>
      <c r="K50" s="1">
        <v>0</v>
      </c>
      <c r="L50" s="1">
        <v>27000000</v>
      </c>
      <c r="M50" s="1">
        <v>74000000</v>
      </c>
      <c r="N50" s="1">
        <v>14000000</v>
      </c>
      <c r="O50" s="1">
        <v>5000000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</row>
    <row r="51" spans="1:20" x14ac:dyDescent="0.2">
      <c r="A51" s="1" t="s">
        <v>37</v>
      </c>
      <c r="B51" s="1">
        <v>65136000000</v>
      </c>
      <c r="C51" s="1">
        <v>67566000000</v>
      </c>
      <c r="D51" s="1">
        <v>39648000000</v>
      </c>
      <c r="E51" s="1">
        <v>39978000000</v>
      </c>
      <c r="F51" s="1">
        <v>40273000000</v>
      </c>
      <c r="G51" s="1">
        <v>41689000000</v>
      </c>
      <c r="H51" s="1">
        <v>32798000000</v>
      </c>
      <c r="I51" s="1">
        <v>17493000000</v>
      </c>
      <c r="J51" s="1">
        <v>17548000000</v>
      </c>
      <c r="K51" s="1">
        <v>13642000000</v>
      </c>
      <c r="L51" s="1">
        <v>3872000000</v>
      </c>
      <c r="M51" s="1">
        <v>5509000000</v>
      </c>
      <c r="N51" s="1">
        <v>2000000</v>
      </c>
      <c r="O51" s="1">
        <v>3000000</v>
      </c>
      <c r="P51" s="1">
        <v>6000000</v>
      </c>
      <c r="Q51" s="1">
        <v>236000000</v>
      </c>
      <c r="R51" s="1">
        <v>599000000</v>
      </c>
      <c r="S51" s="1">
        <v>710000000</v>
      </c>
      <c r="T51" s="1">
        <v>909000000</v>
      </c>
    </row>
    <row r="52" spans="1:20" x14ac:dyDescent="0.2">
      <c r="A52" s="1" t="s">
        <v>36</v>
      </c>
      <c r="B52" s="1">
        <v>48958000000</v>
      </c>
      <c r="C52" s="1">
        <v>58218000000</v>
      </c>
      <c r="D52" s="1">
        <v>25459000000</v>
      </c>
      <c r="E52" s="1">
        <v>27562000000</v>
      </c>
      <c r="F52" s="1">
        <v>28110000000</v>
      </c>
      <c r="G52" s="1">
        <v>34071000000</v>
      </c>
      <c r="H52" s="1">
        <v>27743000000</v>
      </c>
      <c r="I52" s="1">
        <v>13201000000</v>
      </c>
      <c r="J52" s="1">
        <v>6344000000</v>
      </c>
      <c r="K52" s="1">
        <v>10545000000</v>
      </c>
      <c r="L52" s="1">
        <v>2050000000</v>
      </c>
      <c r="M52" s="1">
        <v>3905000000</v>
      </c>
      <c r="N52" s="1">
        <v>-983000000</v>
      </c>
      <c r="O52" s="1">
        <v>-1081000000</v>
      </c>
      <c r="P52" s="1">
        <v>-823000000</v>
      </c>
      <c r="Q52" s="1">
        <v>-325000000</v>
      </c>
      <c r="R52" s="1">
        <v>127000000</v>
      </c>
      <c r="S52" s="1">
        <v>497000000</v>
      </c>
      <c r="T52" s="1">
        <v>600000000</v>
      </c>
    </row>
  </sheetData>
  <mergeCells count="1">
    <mergeCell ref="B4:T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EEA0-988E-4447-83E8-9B9DA4AE3635}">
  <dimension ref="A1:T39"/>
  <sheetViews>
    <sheetView workbookViewId="0"/>
  </sheetViews>
  <sheetFormatPr baseColWidth="10" defaultRowHeight="16" x14ac:dyDescent="0.2"/>
  <cols>
    <col min="1" max="1" width="40.5" bestFit="1" customWidth="1"/>
    <col min="2" max="5" width="17.6640625" bestFit="1" customWidth="1"/>
    <col min="6" max="6" width="17" bestFit="1" customWidth="1"/>
    <col min="7" max="9" width="17.6640625" bestFit="1" customWidth="1"/>
    <col min="10" max="10" width="17" bestFit="1" customWidth="1"/>
    <col min="11" max="13" width="16.6640625" bestFit="1" customWidth="1"/>
    <col min="14" max="15" width="15.83203125" bestFit="1" customWidth="1"/>
    <col min="16" max="20" width="15" bestFit="1" customWidth="1"/>
  </cols>
  <sheetData>
    <row r="1" spans="1:20" x14ac:dyDescent="0.2">
      <c r="A1" s="9" t="s">
        <v>75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x14ac:dyDescent="0.2">
      <c r="A2" t="s">
        <v>1</v>
      </c>
      <c r="B2" t="s">
        <v>2</v>
      </c>
    </row>
    <row r="3" spans="1:20" x14ac:dyDescent="0.2">
      <c r="A3" t="s">
        <v>3</v>
      </c>
      <c r="B3" t="str">
        <f>'AVGO - Income Statement FY'!B3</f>
        <v>USD</v>
      </c>
    </row>
    <row r="4" spans="1:20" x14ac:dyDescent="0.2">
      <c r="A4" t="s">
        <v>32</v>
      </c>
      <c r="B4" s="10" t="s">
        <v>33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x14ac:dyDescent="0.2">
      <c r="A5" t="s">
        <v>34</v>
      </c>
      <c r="B5" s="8">
        <v>45963</v>
      </c>
      <c r="C5" s="8">
        <v>45599</v>
      </c>
      <c r="D5" s="8">
        <v>45228</v>
      </c>
      <c r="E5" s="8">
        <v>44864</v>
      </c>
      <c r="F5" s="8">
        <v>44500</v>
      </c>
      <c r="G5" s="8">
        <v>44136</v>
      </c>
      <c r="H5" s="8">
        <v>43772</v>
      </c>
      <c r="I5" s="8">
        <v>43408</v>
      </c>
      <c r="J5" s="8">
        <v>43039</v>
      </c>
      <c r="K5" s="8">
        <v>42674</v>
      </c>
      <c r="L5" s="8">
        <v>42308</v>
      </c>
      <c r="M5" s="8">
        <v>41943</v>
      </c>
      <c r="N5" s="8">
        <v>41578</v>
      </c>
      <c r="O5" s="8">
        <v>41213</v>
      </c>
      <c r="P5" s="8">
        <v>40847</v>
      </c>
      <c r="Q5" s="8">
        <v>40482</v>
      </c>
      <c r="R5" s="8">
        <v>40117</v>
      </c>
      <c r="S5" s="8">
        <v>39752</v>
      </c>
      <c r="T5" s="8">
        <v>39386</v>
      </c>
    </row>
    <row r="7" spans="1:20" x14ac:dyDescent="0.2">
      <c r="A7" s="6" t="s">
        <v>10</v>
      </c>
      <c r="B7" s="5">
        <v>23126000000</v>
      </c>
      <c r="C7" s="5">
        <v>5895000000</v>
      </c>
      <c r="D7" s="5">
        <v>14082000000</v>
      </c>
      <c r="E7" s="5">
        <v>11495000000</v>
      </c>
      <c r="F7" s="5">
        <v>6736000000</v>
      </c>
      <c r="G7" s="5">
        <v>2960000000</v>
      </c>
      <c r="H7" s="5">
        <v>2724000000</v>
      </c>
      <c r="I7" s="5">
        <v>12610000000</v>
      </c>
      <c r="J7" s="5">
        <v>1894000000</v>
      </c>
      <c r="K7" s="5">
        <v>-1861000000</v>
      </c>
      <c r="L7" s="5">
        <v>1364000000</v>
      </c>
      <c r="M7" s="5">
        <v>245000000</v>
      </c>
      <c r="N7" s="5">
        <v>552000000</v>
      </c>
      <c r="O7" s="5">
        <v>563000000</v>
      </c>
      <c r="P7" s="5">
        <v>552000000</v>
      </c>
      <c r="Q7" s="5">
        <v>415000000</v>
      </c>
      <c r="R7" s="5">
        <v>-44000000</v>
      </c>
      <c r="S7" s="5">
        <v>83000000</v>
      </c>
      <c r="T7" s="5">
        <v>-159000000</v>
      </c>
    </row>
    <row r="8" spans="1:20" x14ac:dyDescent="0.2">
      <c r="A8" s="1" t="s">
        <v>19</v>
      </c>
      <c r="B8" s="1">
        <v>8775000000</v>
      </c>
      <c r="C8" s="1">
        <v>10010000000</v>
      </c>
      <c r="D8" s="1">
        <v>3835000000</v>
      </c>
      <c r="E8" s="1">
        <v>4984000000</v>
      </c>
      <c r="F8" s="1">
        <v>6041000000</v>
      </c>
      <c r="G8" s="1">
        <v>6905000000</v>
      </c>
      <c r="H8" s="1">
        <v>5808000000</v>
      </c>
      <c r="I8" s="1">
        <v>4081000000</v>
      </c>
      <c r="J8" s="1">
        <v>4737000000</v>
      </c>
      <c r="K8" s="1">
        <v>3042000000</v>
      </c>
      <c r="L8" s="1">
        <v>962000000</v>
      </c>
      <c r="M8" s="1">
        <v>625000000</v>
      </c>
      <c r="N8" s="1">
        <v>187000000</v>
      </c>
      <c r="O8" s="1">
        <v>155000000</v>
      </c>
      <c r="P8" s="1">
        <v>157000000</v>
      </c>
      <c r="Q8" s="1">
        <v>159000000</v>
      </c>
      <c r="R8" s="1">
        <v>160000000</v>
      </c>
      <c r="S8" s="1">
        <v>159000000</v>
      </c>
      <c r="T8" s="1">
        <v>176000000</v>
      </c>
    </row>
    <row r="9" spans="1:20" x14ac:dyDescent="0.2">
      <c r="A9" s="1" t="s">
        <v>102</v>
      </c>
      <c r="B9" s="1">
        <v>0</v>
      </c>
      <c r="C9" s="1">
        <v>1965000000</v>
      </c>
      <c r="D9" s="1">
        <v>-501000000</v>
      </c>
      <c r="E9" s="1">
        <v>-34000000</v>
      </c>
      <c r="F9" s="1">
        <v>-809000000</v>
      </c>
      <c r="G9" s="1">
        <v>-1142000000</v>
      </c>
      <c r="H9" s="1">
        <v>-934000000</v>
      </c>
      <c r="I9" s="1">
        <v>-8270000000</v>
      </c>
      <c r="J9" s="1">
        <v>-173000000</v>
      </c>
      <c r="K9" s="1">
        <v>365000000</v>
      </c>
      <c r="L9" s="1">
        <v>-90000000</v>
      </c>
      <c r="M9" s="1">
        <v>42000000</v>
      </c>
      <c r="N9" s="1">
        <v>3000000</v>
      </c>
      <c r="O9" s="1">
        <v>13000000</v>
      </c>
      <c r="P9" s="1">
        <v>-538000000</v>
      </c>
      <c r="Q9" s="1">
        <v>2000000</v>
      </c>
      <c r="R9" s="1">
        <v>16000000</v>
      </c>
      <c r="S9" s="1">
        <v>0</v>
      </c>
      <c r="T9" s="1">
        <v>115000000</v>
      </c>
    </row>
    <row r="10" spans="1:20" x14ac:dyDescent="0.2">
      <c r="A10" s="1" t="s">
        <v>101</v>
      </c>
      <c r="B10" s="1">
        <v>7568000000</v>
      </c>
      <c r="C10" s="1">
        <v>5741000000</v>
      </c>
      <c r="D10" s="1">
        <v>2171000000</v>
      </c>
      <c r="E10" s="1">
        <v>1533000000</v>
      </c>
      <c r="F10" s="1">
        <v>1704000000</v>
      </c>
      <c r="G10" s="1">
        <v>1976000000</v>
      </c>
      <c r="H10" s="1">
        <v>2185000000</v>
      </c>
      <c r="I10" s="1">
        <v>1227000000</v>
      </c>
      <c r="J10" s="1">
        <v>921000000</v>
      </c>
      <c r="K10" s="1">
        <v>679000000</v>
      </c>
      <c r="L10" s="1">
        <v>232000000</v>
      </c>
      <c r="M10" s="1">
        <v>163000000</v>
      </c>
      <c r="N10" s="1">
        <v>77000000</v>
      </c>
      <c r="O10" s="1">
        <v>53000000</v>
      </c>
      <c r="P10" s="1">
        <v>38000000</v>
      </c>
      <c r="Q10" s="1">
        <v>25000000</v>
      </c>
      <c r="R10" s="1">
        <v>12000000</v>
      </c>
      <c r="S10" s="1">
        <v>15000000</v>
      </c>
      <c r="T10" s="1">
        <v>12000000</v>
      </c>
    </row>
    <row r="11" spans="1:20" x14ac:dyDescent="0.2">
      <c r="A11" s="1" t="s">
        <v>100</v>
      </c>
      <c r="B11" s="1">
        <v>-8500000000</v>
      </c>
      <c r="C11" s="1">
        <v>-4637000000</v>
      </c>
      <c r="D11" s="1">
        <v>-1643000000</v>
      </c>
      <c r="E11" s="1">
        <v>-1654000000</v>
      </c>
      <c r="F11" s="1">
        <v>-127000000</v>
      </c>
      <c r="G11" s="1">
        <v>1093000000</v>
      </c>
      <c r="H11" s="1">
        <v>-184000000</v>
      </c>
      <c r="I11" s="1">
        <v>-826000000</v>
      </c>
      <c r="J11" s="1">
        <v>-735000000</v>
      </c>
      <c r="K11" s="1">
        <v>483000000</v>
      </c>
      <c r="L11" s="1">
        <v>-166000000</v>
      </c>
      <c r="M11" s="1">
        <v>251000000</v>
      </c>
      <c r="N11" s="1">
        <v>-91000000</v>
      </c>
      <c r="O11" s="1">
        <v>-87000000</v>
      </c>
      <c r="P11" s="1">
        <v>-35000000</v>
      </c>
      <c r="Q11" s="1">
        <v>-99000000</v>
      </c>
      <c r="R11" s="1">
        <v>-6000000</v>
      </c>
      <c r="S11" s="1">
        <v>-34000000</v>
      </c>
      <c r="T11" s="1">
        <v>-3000000</v>
      </c>
    </row>
    <row r="12" spans="1:20" x14ac:dyDescent="0.2">
      <c r="A12" s="1" t="s">
        <v>99</v>
      </c>
      <c r="B12" s="1">
        <v>-2717000000</v>
      </c>
      <c r="C12" s="1">
        <v>2327000000</v>
      </c>
      <c r="D12" s="1">
        <v>-187000000</v>
      </c>
      <c r="E12" s="1">
        <v>-870000000</v>
      </c>
      <c r="F12" s="1">
        <v>210000000</v>
      </c>
      <c r="G12" s="1">
        <v>981000000</v>
      </c>
      <c r="H12" s="1">
        <v>486000000</v>
      </c>
      <c r="I12" s="1">
        <v>-652000000</v>
      </c>
      <c r="J12" s="1">
        <v>-267000000</v>
      </c>
      <c r="K12" s="1">
        <v>-491000000</v>
      </c>
      <c r="L12" s="1">
        <v>-187000000</v>
      </c>
      <c r="M12" s="1">
        <v>-70000000</v>
      </c>
      <c r="N12" s="1">
        <v>-26000000</v>
      </c>
      <c r="O12" s="1">
        <v>-13000000</v>
      </c>
      <c r="P12" s="1">
        <v>-42000000</v>
      </c>
      <c r="Q12" s="1">
        <v>-96000000</v>
      </c>
      <c r="R12" s="1">
        <v>0</v>
      </c>
      <c r="S12" s="1">
        <v>38000000</v>
      </c>
      <c r="T12" s="1">
        <v>-31000000</v>
      </c>
    </row>
    <row r="13" spans="1:20" x14ac:dyDescent="0.2">
      <c r="A13" s="1" t="s">
        <v>70</v>
      </c>
      <c r="B13" s="1">
        <v>-510000000</v>
      </c>
      <c r="C13" s="1">
        <v>150000000</v>
      </c>
      <c r="D13" s="1">
        <v>27000000</v>
      </c>
      <c r="E13" s="1">
        <v>-627000000</v>
      </c>
      <c r="F13" s="1">
        <v>-294000000</v>
      </c>
      <c r="G13" s="1">
        <v>-31000000</v>
      </c>
      <c r="H13" s="1">
        <v>250000000</v>
      </c>
      <c r="I13" s="1">
        <v>417000000</v>
      </c>
      <c r="J13" s="1">
        <v>-39000000</v>
      </c>
      <c r="K13" s="1">
        <v>996000000</v>
      </c>
      <c r="L13" s="1">
        <v>62000000</v>
      </c>
      <c r="M13" s="1">
        <v>193000000</v>
      </c>
      <c r="N13" s="1">
        <v>-55000000</v>
      </c>
      <c r="O13" s="1">
        <v>0</v>
      </c>
      <c r="P13" s="1">
        <v>-5000000</v>
      </c>
      <c r="Q13" s="1">
        <v>-26000000</v>
      </c>
      <c r="R13" s="1">
        <v>27000000</v>
      </c>
      <c r="S13" s="1">
        <v>-45000000</v>
      </c>
      <c r="T13" s="1">
        <v>28000000</v>
      </c>
    </row>
    <row r="14" spans="1:20" x14ac:dyDescent="0.2">
      <c r="A14" s="1" t="s">
        <v>98</v>
      </c>
      <c r="B14" s="1">
        <v>-118000000</v>
      </c>
      <c r="C14" s="1">
        <v>121000000</v>
      </c>
      <c r="D14" s="1">
        <v>209000000</v>
      </c>
      <c r="E14" s="1">
        <v>-79000000</v>
      </c>
      <c r="F14" s="1">
        <v>243000000</v>
      </c>
      <c r="G14" s="1">
        <v>-3000000</v>
      </c>
      <c r="H14" s="1">
        <v>-42000000</v>
      </c>
      <c r="I14" s="1">
        <v>-325000000</v>
      </c>
      <c r="J14" s="1">
        <v>-97000000</v>
      </c>
      <c r="K14" s="1">
        <v>33000000</v>
      </c>
      <c r="L14" s="1">
        <v>29000000</v>
      </c>
      <c r="M14" s="1">
        <v>13000000</v>
      </c>
      <c r="N14" s="1">
        <v>22000000</v>
      </c>
      <c r="O14" s="1">
        <v>-2000000</v>
      </c>
      <c r="P14" s="1">
        <v>25000000</v>
      </c>
      <c r="Q14" s="1">
        <v>23000000</v>
      </c>
      <c r="R14" s="1">
        <v>-16000000</v>
      </c>
      <c r="S14" s="1">
        <v>-29000000</v>
      </c>
      <c r="T14" s="1">
        <v>29000000</v>
      </c>
    </row>
    <row r="15" spans="1:20" x14ac:dyDescent="0.2">
      <c r="A15" s="1" t="s">
        <v>97</v>
      </c>
      <c r="B15" s="1">
        <v>-5155000000</v>
      </c>
      <c r="C15" s="1">
        <v>-7235000000</v>
      </c>
      <c r="D15" s="1">
        <v>-1692000000</v>
      </c>
      <c r="E15" s="1">
        <v>-78000000</v>
      </c>
      <c r="F15" s="1">
        <v>-286000000</v>
      </c>
      <c r="G15" s="1">
        <v>146000000</v>
      </c>
      <c r="H15" s="1">
        <v>-878000000</v>
      </c>
      <c r="I15" s="1">
        <v>-266000000</v>
      </c>
      <c r="J15" s="1">
        <v>-332000000</v>
      </c>
      <c r="K15" s="1">
        <v>-55000000</v>
      </c>
      <c r="L15" s="1">
        <v>-70000000</v>
      </c>
      <c r="M15" s="1">
        <v>115000000</v>
      </c>
      <c r="N15" s="1">
        <v>-32000000</v>
      </c>
      <c r="O15" s="1">
        <v>-72000000</v>
      </c>
      <c r="P15" s="1">
        <v>-13000000</v>
      </c>
      <c r="Q15" s="1">
        <v>0</v>
      </c>
      <c r="R15" s="1">
        <v>-17000000</v>
      </c>
      <c r="S15" s="1">
        <v>2000000</v>
      </c>
      <c r="T15" s="1">
        <v>-29000000</v>
      </c>
    </row>
    <row r="16" spans="1:20" x14ac:dyDescent="0.2">
      <c r="A16" s="1" t="s">
        <v>96</v>
      </c>
      <c r="B16" s="1">
        <v>-3432000000</v>
      </c>
      <c r="C16" s="1">
        <v>988000000</v>
      </c>
      <c r="D16" s="1">
        <v>141000000</v>
      </c>
      <c r="E16" s="1">
        <v>412000000</v>
      </c>
      <c r="F16" s="1">
        <v>219000000</v>
      </c>
      <c r="G16" s="1">
        <v>269000000</v>
      </c>
      <c r="H16" s="1">
        <v>98000000</v>
      </c>
      <c r="I16" s="1">
        <v>58000000</v>
      </c>
      <c r="J16" s="1">
        <v>-93000000</v>
      </c>
      <c r="K16" s="1">
        <v>703000000</v>
      </c>
      <c r="L16" s="1">
        <v>16000000</v>
      </c>
      <c r="M16" s="1">
        <v>-151000000</v>
      </c>
      <c r="N16" s="1">
        <v>-6000000</v>
      </c>
      <c r="O16" s="1">
        <v>-4000000</v>
      </c>
      <c r="P16" s="1">
        <v>552000000</v>
      </c>
      <c r="Q16" s="1">
        <v>8000000</v>
      </c>
      <c r="R16" s="1">
        <v>1000000</v>
      </c>
      <c r="S16" s="1">
        <v>-15000000</v>
      </c>
      <c r="T16" s="1">
        <v>5000000</v>
      </c>
    </row>
    <row r="17" spans="1:20" x14ac:dyDescent="0.2">
      <c r="A17" s="6" t="s">
        <v>95</v>
      </c>
      <c r="B17" s="4">
        <v>27537000000</v>
      </c>
      <c r="C17" s="4">
        <v>19962000000</v>
      </c>
      <c r="D17" s="4">
        <v>18085000000</v>
      </c>
      <c r="E17" s="4">
        <v>16736000000</v>
      </c>
      <c r="F17" s="4">
        <v>13764000000</v>
      </c>
      <c r="G17" s="4">
        <v>12061000000</v>
      </c>
      <c r="H17" s="4">
        <v>9697000000</v>
      </c>
      <c r="I17" s="4">
        <v>8880000000</v>
      </c>
      <c r="J17" s="4">
        <v>6551000000</v>
      </c>
      <c r="K17" s="4">
        <v>3411000000</v>
      </c>
      <c r="L17" s="4">
        <v>2318000000</v>
      </c>
      <c r="M17" s="4">
        <v>1175000000</v>
      </c>
      <c r="N17" s="4">
        <v>722000000</v>
      </c>
      <c r="O17" s="4">
        <v>693000000</v>
      </c>
      <c r="P17" s="4">
        <v>726000000</v>
      </c>
      <c r="Q17" s="4">
        <v>510000000</v>
      </c>
      <c r="R17" s="4">
        <v>139000000</v>
      </c>
      <c r="S17" s="4">
        <v>208000000</v>
      </c>
      <c r="T17" s="4">
        <v>146000000</v>
      </c>
    </row>
    <row r="19" spans="1:20" x14ac:dyDescent="0.2">
      <c r="A19" s="1" t="s">
        <v>94</v>
      </c>
      <c r="B19" s="1">
        <v>-623000000</v>
      </c>
      <c r="C19" s="1">
        <v>-548000000</v>
      </c>
      <c r="D19" s="1">
        <v>-452000000</v>
      </c>
      <c r="E19" s="1">
        <v>-424000000</v>
      </c>
      <c r="F19" s="1">
        <v>-443000000</v>
      </c>
      <c r="G19" s="1">
        <v>-463000000</v>
      </c>
      <c r="H19" s="1">
        <v>-432000000</v>
      </c>
      <c r="I19" s="1">
        <v>-635000000</v>
      </c>
      <c r="J19" s="1">
        <v>-1069000000</v>
      </c>
      <c r="K19" s="1">
        <v>-723000000</v>
      </c>
      <c r="L19" s="1">
        <v>-593000000</v>
      </c>
      <c r="M19" s="1">
        <v>-409000000</v>
      </c>
      <c r="N19" s="1">
        <v>-236000000</v>
      </c>
      <c r="O19" s="1">
        <v>-241000000</v>
      </c>
      <c r="P19" s="1">
        <v>-112000000</v>
      </c>
      <c r="Q19" s="1">
        <v>-79000000</v>
      </c>
      <c r="R19" s="1">
        <v>-57000000</v>
      </c>
      <c r="S19" s="1">
        <v>-65000000</v>
      </c>
      <c r="T19" s="1">
        <v>-37000000</v>
      </c>
    </row>
    <row r="20" spans="1:20" x14ac:dyDescent="0.2">
      <c r="A20" s="1" t="s">
        <v>93</v>
      </c>
      <c r="B20" s="1">
        <v>0</v>
      </c>
      <c r="C20" s="1">
        <v>-25978000000</v>
      </c>
      <c r="D20" s="1">
        <v>-53000000</v>
      </c>
      <c r="E20" s="1">
        <v>-246000000</v>
      </c>
      <c r="F20" s="1">
        <v>37000000</v>
      </c>
      <c r="G20" s="1">
        <v>-10654000000</v>
      </c>
      <c r="H20" s="1">
        <v>-15076000000</v>
      </c>
      <c r="I20" s="1">
        <v>-4027000000</v>
      </c>
      <c r="J20" s="1">
        <v>-30000000</v>
      </c>
      <c r="K20" s="1">
        <v>-9157000000</v>
      </c>
      <c r="L20" s="1">
        <v>256000000</v>
      </c>
      <c r="M20" s="1">
        <v>-5961000000</v>
      </c>
      <c r="N20" s="1">
        <v>-414000000</v>
      </c>
      <c r="O20" s="1">
        <v>0</v>
      </c>
      <c r="P20" s="1">
        <v>0</v>
      </c>
      <c r="Q20" s="1">
        <v>0</v>
      </c>
      <c r="R20" s="1">
        <v>0</v>
      </c>
      <c r="S20" s="1">
        <v>5000000</v>
      </c>
      <c r="T20" s="1">
        <v>0</v>
      </c>
    </row>
    <row r="21" spans="1:20" x14ac:dyDescent="0.2">
      <c r="A21" s="1" t="s">
        <v>92</v>
      </c>
      <c r="B21" s="1">
        <v>-597000000</v>
      </c>
      <c r="C21" s="1">
        <v>-175000000</v>
      </c>
      <c r="D21" s="1">
        <v>-346000000</v>
      </c>
      <c r="E21" s="1">
        <v>-200000000</v>
      </c>
      <c r="F21" s="1">
        <v>4000000</v>
      </c>
      <c r="G21" s="1">
        <v>0</v>
      </c>
      <c r="H21" s="1">
        <v>-5000000</v>
      </c>
      <c r="I21" s="1">
        <v>-249000000</v>
      </c>
      <c r="J21" s="1">
        <v>-207000000</v>
      </c>
      <c r="K21" s="1">
        <v>-58000000</v>
      </c>
      <c r="L21" s="1">
        <v>-14000000</v>
      </c>
      <c r="M21" s="1">
        <v>0</v>
      </c>
      <c r="N21" s="1">
        <v>-15000000</v>
      </c>
      <c r="O21" s="1">
        <v>-4000000</v>
      </c>
      <c r="P21" s="1">
        <v>-1000000</v>
      </c>
      <c r="Q21" s="1">
        <v>-9000000</v>
      </c>
      <c r="R21" s="1">
        <v>-7000000</v>
      </c>
      <c r="S21" s="1">
        <v>-78000000</v>
      </c>
      <c r="T21" s="1">
        <v>-27000000</v>
      </c>
    </row>
    <row r="22" spans="1:20" x14ac:dyDescent="0.2">
      <c r="A22" s="1" t="s">
        <v>91</v>
      </c>
      <c r="B22" s="1">
        <v>248000000</v>
      </c>
      <c r="C22" s="1">
        <v>156000000</v>
      </c>
      <c r="D22" s="1">
        <v>228000000</v>
      </c>
      <c r="E22" s="1">
        <v>200000000</v>
      </c>
      <c r="F22" s="1">
        <v>169000000</v>
      </c>
      <c r="G22" s="1">
        <v>0</v>
      </c>
      <c r="H22" s="1">
        <v>5000000</v>
      </c>
      <c r="I22" s="1">
        <v>54000000</v>
      </c>
      <c r="J22" s="1">
        <v>200000000</v>
      </c>
      <c r="K22" s="1">
        <v>104000000</v>
      </c>
      <c r="L22" s="1">
        <v>0</v>
      </c>
      <c r="M22" s="1">
        <v>35000000</v>
      </c>
      <c r="N22" s="1">
        <v>13000000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</row>
    <row r="23" spans="1:20" x14ac:dyDescent="0.2">
      <c r="A23" s="1" t="s">
        <v>90</v>
      </c>
      <c r="B23" s="1">
        <v>392000000</v>
      </c>
      <c r="C23" s="1">
        <v>3475000000</v>
      </c>
      <c r="D23" s="1">
        <v>-66000000</v>
      </c>
      <c r="E23" s="1">
        <v>3000000</v>
      </c>
      <c r="F23" s="1">
        <v>-12000000</v>
      </c>
      <c r="G23" s="1">
        <v>8000000</v>
      </c>
      <c r="H23" s="1">
        <v>86000000</v>
      </c>
      <c r="I23" s="1">
        <v>183000000</v>
      </c>
      <c r="J23" s="1">
        <v>432000000</v>
      </c>
      <c r="K23" s="1">
        <v>-6000000</v>
      </c>
      <c r="L23" s="1">
        <v>110000000</v>
      </c>
      <c r="M23" s="1">
        <v>450000000</v>
      </c>
      <c r="N23" s="1">
        <v>0</v>
      </c>
      <c r="O23" s="1">
        <v>1000000</v>
      </c>
      <c r="P23" s="1">
        <v>-9000000</v>
      </c>
      <c r="Q23" s="1">
        <v>2000000</v>
      </c>
      <c r="R23" s="1">
        <v>1000000</v>
      </c>
      <c r="S23" s="1">
        <v>44000000</v>
      </c>
      <c r="T23" s="1">
        <v>69000000</v>
      </c>
    </row>
    <row r="24" spans="1:20" x14ac:dyDescent="0.2">
      <c r="A24" s="6" t="s">
        <v>89</v>
      </c>
      <c r="B24" s="4">
        <v>-580000000</v>
      </c>
      <c r="C24" s="4">
        <v>-23070000000</v>
      </c>
      <c r="D24" s="4">
        <v>-689000000</v>
      </c>
      <c r="E24" s="4">
        <v>-667000000</v>
      </c>
      <c r="F24" s="4">
        <v>-245000000</v>
      </c>
      <c r="G24" s="4">
        <v>-11109000000</v>
      </c>
      <c r="H24" s="4">
        <v>-15422000000</v>
      </c>
      <c r="I24" s="4">
        <v>-4674000000</v>
      </c>
      <c r="J24" s="4">
        <v>-674000000</v>
      </c>
      <c r="K24" s="4">
        <v>-9840000000</v>
      </c>
      <c r="L24" s="4">
        <v>-241000000</v>
      </c>
      <c r="M24" s="4">
        <v>-5885000000</v>
      </c>
      <c r="N24" s="4">
        <v>-652000000</v>
      </c>
      <c r="O24" s="4">
        <v>-244000000</v>
      </c>
      <c r="P24" s="4">
        <v>-122000000</v>
      </c>
      <c r="Q24" s="4">
        <v>-86000000</v>
      </c>
      <c r="R24" s="4">
        <v>-63000000</v>
      </c>
      <c r="S24" s="4">
        <v>-94000000</v>
      </c>
      <c r="T24" s="4">
        <v>5000000</v>
      </c>
    </row>
    <row r="26" spans="1:20" x14ac:dyDescent="0.2">
      <c r="A26" s="1" t="s">
        <v>88</v>
      </c>
      <c r="B26" s="1">
        <v>-2812000000</v>
      </c>
      <c r="C26" s="1">
        <v>20346000000</v>
      </c>
      <c r="D26" s="1">
        <v>-403000000</v>
      </c>
      <c r="E26" s="1">
        <v>-426000000</v>
      </c>
      <c r="F26" s="1">
        <v>-1591000000</v>
      </c>
      <c r="G26" s="1">
        <v>7703000000</v>
      </c>
      <c r="H26" s="1">
        <v>13234000000</v>
      </c>
      <c r="I26" s="1">
        <v>-973000000</v>
      </c>
      <c r="J26" s="1">
        <v>3718000000</v>
      </c>
      <c r="K26" s="1">
        <v>8193000000</v>
      </c>
      <c r="L26" s="1">
        <v>-1817000000</v>
      </c>
      <c r="M26" s="1">
        <v>5588000000</v>
      </c>
      <c r="N26" s="1">
        <v>-2000000</v>
      </c>
      <c r="O26" s="1">
        <v>-2000000</v>
      </c>
      <c r="P26" s="1">
        <v>-233000000</v>
      </c>
      <c r="Q26" s="1">
        <v>-366000000</v>
      </c>
      <c r="R26" s="1">
        <v>-115000000</v>
      </c>
      <c r="S26" s="1">
        <v>-202000000</v>
      </c>
      <c r="T26" s="1">
        <v>-108000000</v>
      </c>
    </row>
    <row r="27" spans="1:20" x14ac:dyDescent="0.2">
      <c r="A27" s="1" t="s">
        <v>87</v>
      </c>
      <c r="B27" s="1">
        <v>221000000</v>
      </c>
      <c r="C27" s="1">
        <v>190000000</v>
      </c>
      <c r="D27" s="1">
        <v>122000000</v>
      </c>
      <c r="E27" s="1">
        <v>114000000</v>
      </c>
      <c r="F27" s="1">
        <v>170000000</v>
      </c>
      <c r="G27" s="1">
        <v>276000000</v>
      </c>
      <c r="H27" s="1">
        <v>253000000</v>
      </c>
      <c r="I27" s="1">
        <v>156000000</v>
      </c>
      <c r="J27" s="1">
        <v>257000000</v>
      </c>
      <c r="K27" s="1">
        <v>295000000</v>
      </c>
      <c r="L27" s="1">
        <v>241000000</v>
      </c>
      <c r="M27" s="1">
        <v>124000000</v>
      </c>
      <c r="N27" s="1">
        <v>101000000</v>
      </c>
      <c r="O27" s="1">
        <v>44000000</v>
      </c>
      <c r="P27" s="1">
        <v>70000000</v>
      </c>
      <c r="Q27" s="1">
        <v>28000000</v>
      </c>
      <c r="R27" s="1">
        <v>304000000</v>
      </c>
      <c r="S27" s="1">
        <v>0</v>
      </c>
      <c r="T27" s="1">
        <v>0</v>
      </c>
    </row>
    <row r="28" spans="1:20" x14ac:dyDescent="0.2">
      <c r="A28" s="1" t="s">
        <v>86</v>
      </c>
      <c r="B28" s="1">
        <v>-6310000000</v>
      </c>
      <c r="C28" s="1">
        <v>-12392000000</v>
      </c>
      <c r="D28" s="1">
        <v>-7685000000</v>
      </c>
      <c r="E28" s="1">
        <v>-8455000000</v>
      </c>
      <c r="F28" s="1">
        <v>-1299000000</v>
      </c>
      <c r="G28" s="1">
        <v>-765000000</v>
      </c>
      <c r="H28" s="1">
        <v>-6407000000</v>
      </c>
      <c r="I28" s="1">
        <v>-7258000000</v>
      </c>
      <c r="J28" s="1">
        <v>0</v>
      </c>
      <c r="K28" s="1">
        <v>0</v>
      </c>
      <c r="L28" s="1">
        <v>0</v>
      </c>
      <c r="M28" s="1">
        <v>-12000000</v>
      </c>
      <c r="N28" s="1">
        <v>-95000000</v>
      </c>
      <c r="O28" s="1">
        <v>-110000000</v>
      </c>
      <c r="P28" s="1">
        <v>-93000000</v>
      </c>
      <c r="Q28" s="1">
        <v>0</v>
      </c>
      <c r="R28" s="1">
        <v>-6000000</v>
      </c>
      <c r="S28" s="1">
        <v>-7000000</v>
      </c>
      <c r="T28" s="1">
        <v>-2000000</v>
      </c>
    </row>
    <row r="29" spans="1:20" x14ac:dyDescent="0.2">
      <c r="A29" s="1" t="s">
        <v>85</v>
      </c>
      <c r="B29" s="1">
        <v>-11142000000</v>
      </c>
      <c r="C29" s="1">
        <v>-9814000000</v>
      </c>
      <c r="D29" s="1">
        <v>-7645000000</v>
      </c>
      <c r="E29" s="1">
        <v>-7032000000</v>
      </c>
      <c r="F29" s="1">
        <v>-6212000000</v>
      </c>
      <c r="G29" s="1">
        <v>-5534000000</v>
      </c>
      <c r="H29" s="1">
        <v>-4235000000</v>
      </c>
      <c r="I29" s="1">
        <v>-2998000000</v>
      </c>
      <c r="J29" s="1">
        <v>-1653000000</v>
      </c>
      <c r="K29" s="1">
        <v>-750000000</v>
      </c>
      <c r="L29" s="1">
        <v>-408000000</v>
      </c>
      <c r="M29" s="1">
        <v>-284000000</v>
      </c>
      <c r="N29" s="1">
        <v>-198000000</v>
      </c>
      <c r="O29" s="1">
        <v>-137000000</v>
      </c>
      <c r="P29" s="1">
        <v>-86000000</v>
      </c>
      <c r="Q29" s="1">
        <v>0</v>
      </c>
      <c r="R29" s="1">
        <v>0</v>
      </c>
      <c r="S29" s="1">
        <v>0</v>
      </c>
      <c r="T29" s="1">
        <v>0</v>
      </c>
    </row>
    <row r="30" spans="1:20" x14ac:dyDescent="0.2">
      <c r="A30" s="1" t="s">
        <v>84</v>
      </c>
      <c r="B30" s="1">
        <v>-84000000</v>
      </c>
      <c r="C30" s="1">
        <v>-63000000</v>
      </c>
      <c r="D30" s="1">
        <v>-12000000</v>
      </c>
      <c r="E30" s="1">
        <v>-17000000</v>
      </c>
      <c r="F30" s="1">
        <v>-42000000</v>
      </c>
      <c r="G30" s="1">
        <v>-69000000</v>
      </c>
      <c r="H30" s="1">
        <v>3643000000</v>
      </c>
      <c r="I30" s="1">
        <v>-45000000</v>
      </c>
      <c r="J30" s="1">
        <v>-92000000</v>
      </c>
      <c r="K30" s="1">
        <v>-34000000</v>
      </c>
      <c r="L30" s="1">
        <v>125000000</v>
      </c>
      <c r="M30" s="1">
        <v>-87000000</v>
      </c>
      <c r="N30" s="1">
        <v>25000000</v>
      </c>
      <c r="O30" s="1">
        <v>11000000</v>
      </c>
      <c r="P30" s="1">
        <v>6000000</v>
      </c>
      <c r="Q30" s="1">
        <v>3000000</v>
      </c>
      <c r="R30" s="1">
        <v>0</v>
      </c>
      <c r="S30" s="1">
        <v>-1000000</v>
      </c>
      <c r="T30" s="1">
        <v>-4000000</v>
      </c>
    </row>
    <row r="31" spans="1:20" x14ac:dyDescent="0.2">
      <c r="A31" s="6" t="s">
        <v>83</v>
      </c>
      <c r="B31" s="4">
        <v>-20127000000</v>
      </c>
      <c r="C31" s="4">
        <v>-1733000000</v>
      </c>
      <c r="D31" s="4">
        <v>-15623000000</v>
      </c>
      <c r="E31" s="4">
        <v>-15816000000</v>
      </c>
      <c r="F31" s="4">
        <v>-8974000000</v>
      </c>
      <c r="G31" s="4">
        <v>1611000000</v>
      </c>
      <c r="H31" s="4">
        <v>6488000000</v>
      </c>
      <c r="I31" s="4">
        <v>-11118000000</v>
      </c>
      <c r="J31" s="4">
        <v>2230000000</v>
      </c>
      <c r="K31" s="4">
        <v>7704000000</v>
      </c>
      <c r="L31" s="4">
        <v>-1859000000</v>
      </c>
      <c r="M31" s="4">
        <v>5329000000</v>
      </c>
      <c r="N31" s="4">
        <v>-169000000</v>
      </c>
      <c r="O31" s="4">
        <v>-194000000</v>
      </c>
      <c r="P31" s="4">
        <v>-336000000</v>
      </c>
      <c r="Q31" s="4">
        <v>-335000000</v>
      </c>
      <c r="R31" s="4">
        <v>183000000</v>
      </c>
      <c r="S31" s="4">
        <v>-210000000</v>
      </c>
      <c r="T31" s="4">
        <v>-114000000</v>
      </c>
    </row>
    <row r="33" spans="1:20" x14ac:dyDescent="0.2">
      <c r="A33" s="1" t="s">
        <v>82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</row>
    <row r="34" spans="1:20" x14ac:dyDescent="0.2">
      <c r="A34" s="1" t="s">
        <v>81</v>
      </c>
      <c r="B34" s="1">
        <v>6830000000</v>
      </c>
      <c r="C34" s="1">
        <v>-4841000000</v>
      </c>
      <c r="D34" s="1">
        <v>1773000000</v>
      </c>
      <c r="E34" s="1">
        <v>253000000</v>
      </c>
      <c r="F34" s="1">
        <v>4545000000</v>
      </c>
      <c r="G34" s="1">
        <v>2563000000</v>
      </c>
      <c r="H34" s="1">
        <v>763000000</v>
      </c>
      <c r="I34" s="1">
        <v>-6912000000</v>
      </c>
      <c r="J34" s="1">
        <v>8107000000</v>
      </c>
      <c r="K34" s="1">
        <v>1275000000</v>
      </c>
      <c r="L34" s="1">
        <v>218000000</v>
      </c>
      <c r="M34" s="1">
        <v>619000000</v>
      </c>
      <c r="N34" s="1">
        <v>-99000000</v>
      </c>
      <c r="O34" s="1">
        <v>255000000</v>
      </c>
      <c r="P34" s="1">
        <v>268000000</v>
      </c>
      <c r="Q34" s="1">
        <v>89000000</v>
      </c>
      <c r="R34" s="1">
        <v>259000000</v>
      </c>
      <c r="S34" s="1">
        <v>-96000000</v>
      </c>
      <c r="T34" s="1">
        <v>37000000</v>
      </c>
    </row>
    <row r="35" spans="1:20" x14ac:dyDescent="0.2">
      <c r="A35" s="1" t="s">
        <v>80</v>
      </c>
      <c r="B35" s="1">
        <v>16178000000</v>
      </c>
      <c r="C35" s="1">
        <v>9348000000</v>
      </c>
      <c r="D35" s="1">
        <v>14189000000</v>
      </c>
      <c r="E35" s="1">
        <v>12416000000</v>
      </c>
      <c r="F35" s="1">
        <v>12163000000</v>
      </c>
      <c r="G35" s="1">
        <v>7618000000</v>
      </c>
      <c r="H35" s="1">
        <v>5055000000</v>
      </c>
      <c r="I35" s="1">
        <v>4292000000</v>
      </c>
      <c r="J35" s="1">
        <v>11204000000</v>
      </c>
      <c r="K35" s="1">
        <v>3097000000</v>
      </c>
      <c r="L35" s="1">
        <v>1822000000</v>
      </c>
      <c r="M35" s="1">
        <v>1604000000</v>
      </c>
      <c r="N35" s="1">
        <v>985000000</v>
      </c>
      <c r="O35" s="1">
        <v>1084000000</v>
      </c>
      <c r="P35" s="1">
        <v>829000000</v>
      </c>
      <c r="Q35" s="1">
        <v>561000000</v>
      </c>
      <c r="R35" s="1">
        <v>472000000</v>
      </c>
      <c r="S35" s="1">
        <v>213000000</v>
      </c>
      <c r="T35" s="1">
        <v>309000000</v>
      </c>
    </row>
    <row r="36" spans="1:20" x14ac:dyDescent="0.2">
      <c r="A36" s="1" t="s">
        <v>79</v>
      </c>
      <c r="B36" s="1">
        <v>9348000000</v>
      </c>
      <c r="C36" s="1">
        <v>14189000000</v>
      </c>
      <c r="D36" s="1">
        <v>12416000000</v>
      </c>
      <c r="E36" s="1">
        <v>12163000000</v>
      </c>
      <c r="F36" s="1">
        <v>7618000000</v>
      </c>
      <c r="G36" s="1">
        <v>5055000000</v>
      </c>
      <c r="H36" s="1">
        <v>4292000000</v>
      </c>
      <c r="I36" s="1">
        <v>11204000000</v>
      </c>
      <c r="J36" s="1">
        <v>3097000000</v>
      </c>
      <c r="K36" s="1">
        <v>1822000000</v>
      </c>
      <c r="L36" s="1">
        <v>1604000000</v>
      </c>
      <c r="M36" s="1">
        <v>985000000</v>
      </c>
      <c r="N36" s="1">
        <v>1084000000</v>
      </c>
      <c r="O36" s="1">
        <v>829000000</v>
      </c>
      <c r="P36" s="1">
        <v>561000000</v>
      </c>
      <c r="Q36" s="1">
        <v>472000000</v>
      </c>
      <c r="R36" s="1">
        <v>213000000</v>
      </c>
      <c r="S36" s="1">
        <v>309000000</v>
      </c>
      <c r="T36" s="1">
        <v>272000000</v>
      </c>
    </row>
    <row r="37" spans="1:20" x14ac:dyDescent="0.2">
      <c r="A37" s="1" t="s">
        <v>78</v>
      </c>
      <c r="B37" s="1">
        <v>27537000000</v>
      </c>
      <c r="C37" s="1">
        <v>19962000000</v>
      </c>
      <c r="D37" s="1">
        <v>18085000000</v>
      </c>
      <c r="E37" s="1">
        <v>16736000000</v>
      </c>
      <c r="F37" s="1">
        <v>13764000000</v>
      </c>
      <c r="G37" s="1">
        <v>12061000000</v>
      </c>
      <c r="H37" s="1">
        <v>9697000000</v>
      </c>
      <c r="I37" s="1">
        <v>8880000000</v>
      </c>
      <c r="J37" s="1">
        <v>6551000000</v>
      </c>
      <c r="K37" s="1">
        <v>3411000000</v>
      </c>
      <c r="L37" s="1">
        <v>2318000000</v>
      </c>
      <c r="M37" s="1">
        <v>1175000000</v>
      </c>
      <c r="N37" s="1">
        <v>722000000</v>
      </c>
      <c r="O37" s="1">
        <v>693000000</v>
      </c>
      <c r="P37" s="1">
        <v>726000000</v>
      </c>
      <c r="Q37" s="1">
        <v>510000000</v>
      </c>
      <c r="R37" s="1">
        <v>139000000</v>
      </c>
      <c r="S37" s="1">
        <v>208000000</v>
      </c>
      <c r="T37" s="1">
        <v>146000000</v>
      </c>
    </row>
    <row r="38" spans="1:20" x14ac:dyDescent="0.2">
      <c r="A38" s="1" t="s">
        <v>77</v>
      </c>
      <c r="B38" s="1">
        <v>-623000000</v>
      </c>
      <c r="C38" s="1">
        <v>-548000000</v>
      </c>
      <c r="D38" s="1">
        <v>-452000000</v>
      </c>
      <c r="E38" s="1">
        <v>-424000000</v>
      </c>
      <c r="F38" s="1">
        <v>-443000000</v>
      </c>
      <c r="G38" s="1">
        <v>-463000000</v>
      </c>
      <c r="H38" s="1">
        <v>-432000000</v>
      </c>
      <c r="I38" s="1">
        <v>-635000000</v>
      </c>
      <c r="J38" s="1">
        <v>-1069000000</v>
      </c>
      <c r="K38" s="1">
        <v>-723000000</v>
      </c>
      <c r="L38" s="1">
        <v>-593000000</v>
      </c>
      <c r="M38" s="1">
        <v>-409000000</v>
      </c>
      <c r="N38" s="1">
        <v>-236000000</v>
      </c>
      <c r="O38" s="1">
        <v>-241000000</v>
      </c>
      <c r="P38" s="1">
        <v>-112000000</v>
      </c>
      <c r="Q38" s="1">
        <v>-79000000</v>
      </c>
      <c r="R38" s="1">
        <v>-58000000</v>
      </c>
      <c r="S38" s="1">
        <v>-71000000</v>
      </c>
      <c r="T38" s="1">
        <v>-37000000</v>
      </c>
    </row>
    <row r="39" spans="1:20" x14ac:dyDescent="0.2">
      <c r="A39" s="6" t="s">
        <v>76</v>
      </c>
      <c r="B39" s="5">
        <v>26914000000</v>
      </c>
      <c r="C39" s="5">
        <v>19414000000</v>
      </c>
      <c r="D39" s="5">
        <v>17633000000</v>
      </c>
      <c r="E39" s="5">
        <v>16312000000</v>
      </c>
      <c r="F39" s="5">
        <v>13321000000</v>
      </c>
      <c r="G39" s="5">
        <v>11598000000</v>
      </c>
      <c r="H39" s="5">
        <v>9265000000</v>
      </c>
      <c r="I39" s="5">
        <v>8245000000</v>
      </c>
      <c r="J39" s="5">
        <v>5482000000</v>
      </c>
      <c r="K39" s="5">
        <v>2688000000</v>
      </c>
      <c r="L39" s="5">
        <v>1725000000</v>
      </c>
      <c r="M39" s="5">
        <v>766000000</v>
      </c>
      <c r="N39" s="5">
        <v>486000000</v>
      </c>
      <c r="O39" s="5">
        <v>452000000</v>
      </c>
      <c r="P39" s="5">
        <v>614000000</v>
      </c>
      <c r="Q39" s="5">
        <v>431000000</v>
      </c>
      <c r="R39" s="5">
        <v>81000000</v>
      </c>
      <c r="S39" s="5">
        <v>137000000</v>
      </c>
      <c r="T39" s="5">
        <v>109000000</v>
      </c>
    </row>
  </sheetData>
  <mergeCells count="1">
    <mergeCell ref="B4:T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D7AA-1AE7-614C-BE41-E226A0CF8736}">
  <dimension ref="A1:T61"/>
  <sheetViews>
    <sheetView workbookViewId="0"/>
  </sheetViews>
  <sheetFormatPr baseColWidth="10" defaultRowHeight="16" x14ac:dyDescent="0.2"/>
  <cols>
    <col min="1" max="1" width="38" bestFit="1" customWidth="1"/>
    <col min="2" max="2" width="19.5" bestFit="1" customWidth="1"/>
    <col min="3" max="10" width="18" bestFit="1" customWidth="1"/>
    <col min="11" max="11" width="17.6640625" bestFit="1" customWidth="1"/>
    <col min="12" max="14" width="17" bestFit="1" customWidth="1"/>
    <col min="15" max="20" width="15.83203125" bestFit="1" customWidth="1"/>
  </cols>
  <sheetData>
    <row r="1" spans="1:20" x14ac:dyDescent="0.2">
      <c r="A1" s="9" t="s">
        <v>103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x14ac:dyDescent="0.2">
      <c r="A2" t="s">
        <v>1</v>
      </c>
      <c r="B2" t="s">
        <v>2</v>
      </c>
    </row>
    <row r="3" spans="1:20" x14ac:dyDescent="0.2">
      <c r="A3" t="s">
        <v>3</v>
      </c>
      <c r="B3" t="str">
        <f>'AVGO - Income Statement FY'!B3</f>
        <v>USD</v>
      </c>
    </row>
    <row r="4" spans="1:20" x14ac:dyDescent="0.2">
      <c r="A4" t="s">
        <v>32</v>
      </c>
      <c r="B4" s="10" t="s">
        <v>33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x14ac:dyDescent="0.2">
      <c r="A5" t="s">
        <v>34</v>
      </c>
      <c r="B5" s="8">
        <v>45963</v>
      </c>
      <c r="C5" s="8">
        <v>45599</v>
      </c>
      <c r="D5" s="8">
        <v>45228</v>
      </c>
      <c r="E5" s="8">
        <v>44864</v>
      </c>
      <c r="F5" s="8">
        <v>44500</v>
      </c>
      <c r="G5" s="8">
        <v>44136</v>
      </c>
      <c r="H5" s="8">
        <v>43772</v>
      </c>
      <c r="I5" s="8">
        <v>43408</v>
      </c>
      <c r="J5" s="8">
        <v>43039</v>
      </c>
      <c r="K5" s="8">
        <v>42674</v>
      </c>
      <c r="L5" s="8">
        <v>42308</v>
      </c>
      <c r="M5" s="8">
        <v>41943</v>
      </c>
      <c r="N5" s="8">
        <v>41578</v>
      </c>
      <c r="O5" s="8">
        <v>41213</v>
      </c>
      <c r="P5" s="8">
        <v>40847</v>
      </c>
      <c r="Q5" s="8">
        <v>40482</v>
      </c>
      <c r="R5" s="8">
        <v>40117</v>
      </c>
      <c r="S5" s="8">
        <v>39752</v>
      </c>
      <c r="T5" s="8">
        <v>39386</v>
      </c>
    </row>
    <row r="6" spans="1:20" x14ac:dyDescent="0.2">
      <c r="A6" s="2" t="s">
        <v>159</v>
      </c>
      <c r="B6" s="2">
        <v>13.558361629881155</v>
      </c>
      <c r="C6" s="2">
        <v>11.153546712802768</v>
      </c>
      <c r="D6" s="2">
        <v>8.6310843373493977</v>
      </c>
      <c r="E6" s="2">
        <v>8.1180929095354522</v>
      </c>
      <c r="F6" s="2">
        <v>6.6951219512195124</v>
      </c>
      <c r="G6" s="2">
        <v>5.9422885572139306</v>
      </c>
      <c r="H6" s="2">
        <v>5.6776381909547737</v>
      </c>
      <c r="I6" s="2">
        <v>4.9875598086124402</v>
      </c>
      <c r="J6" s="2">
        <v>4.3545679012345682</v>
      </c>
      <c r="K6" s="2">
        <v>3.6174863387978142</v>
      </c>
      <c r="L6" s="2">
        <v>2.584848484848485</v>
      </c>
      <c r="M6" s="2">
        <v>1.7007968127490041</v>
      </c>
      <c r="N6" s="2">
        <v>1</v>
      </c>
      <c r="O6" s="2">
        <v>0.96489795918367349</v>
      </c>
      <c r="P6" s="2">
        <v>0.95346938775510204</v>
      </c>
      <c r="Q6" s="2">
        <v>0.87941176470588234</v>
      </c>
      <c r="R6" s="2">
        <v>0.67762557077625574</v>
      </c>
      <c r="S6" s="2">
        <v>0.79392523364485978</v>
      </c>
      <c r="T6" s="2">
        <v>0.71355140186915889</v>
      </c>
    </row>
    <row r="7" spans="1:20" x14ac:dyDescent="0.2">
      <c r="A7" s="2" t="s">
        <v>158</v>
      </c>
      <c r="B7" s="2">
        <v>4.9078947368421053</v>
      </c>
      <c r="C7" s="2">
        <v>1.2748702422145328</v>
      </c>
      <c r="D7" s="2">
        <v>3.3932530120481927</v>
      </c>
      <c r="E7" s="2">
        <v>2.8105134474327627</v>
      </c>
      <c r="F7" s="2">
        <v>1.6429268292682926</v>
      </c>
      <c r="G7" s="2">
        <v>0.73631840796019898</v>
      </c>
      <c r="H7" s="2">
        <v>0.68442211055276381</v>
      </c>
      <c r="I7" s="2">
        <v>2.9327751196172249</v>
      </c>
      <c r="J7" s="2">
        <v>0.4177777777777778</v>
      </c>
      <c r="K7" s="2">
        <v>-0.47513661202185792</v>
      </c>
      <c r="L7" s="2">
        <v>0.51666666666666672</v>
      </c>
      <c r="M7" s="2">
        <v>0.1047808764940239</v>
      </c>
      <c r="N7" s="2">
        <v>0.21904761904761905</v>
      </c>
      <c r="O7" s="2">
        <v>0.22979591836734695</v>
      </c>
      <c r="P7" s="2">
        <v>0.2253061224489796</v>
      </c>
      <c r="Q7" s="2">
        <v>0.17436974789915966</v>
      </c>
      <c r="R7" s="2">
        <v>-2.0091324200913242E-2</v>
      </c>
      <c r="S7" s="2">
        <v>3.8785046728971963E-2</v>
      </c>
      <c r="T7" s="2">
        <v>-7.429906542056075E-2</v>
      </c>
    </row>
    <row r="8" spans="1:20" x14ac:dyDescent="0.2">
      <c r="A8" s="2" t="s">
        <v>157</v>
      </c>
      <c r="B8" s="2">
        <v>5.8440152801358236</v>
      </c>
      <c r="C8" s="2">
        <v>4.3170415224913494</v>
      </c>
      <c r="D8" s="2">
        <v>4.3578313253012047</v>
      </c>
      <c r="E8" s="2">
        <v>4.0919315403422987</v>
      </c>
      <c r="F8" s="2">
        <v>3.3570731707317072</v>
      </c>
      <c r="G8" s="2">
        <v>3.0002487562189053</v>
      </c>
      <c r="H8" s="2">
        <v>2.4364321608040203</v>
      </c>
      <c r="I8" s="2">
        <v>2.1244019138755981</v>
      </c>
      <c r="J8" s="2">
        <v>1.6175308641975308</v>
      </c>
      <c r="K8" s="2">
        <v>0.93196721311475406</v>
      </c>
      <c r="L8" s="2">
        <v>0.87803030303030305</v>
      </c>
      <c r="M8" s="2">
        <v>0.46812749003984061</v>
      </c>
      <c r="N8" s="2">
        <v>0.28650793650793649</v>
      </c>
      <c r="O8" s="2">
        <v>0.28285714285714286</v>
      </c>
      <c r="P8" s="2">
        <v>0.2963265306122449</v>
      </c>
      <c r="Q8" s="2">
        <v>0.21428571428571427</v>
      </c>
      <c r="R8" s="2">
        <v>6.347031963470319E-2</v>
      </c>
      <c r="S8" s="2">
        <v>9.719626168224299E-2</v>
      </c>
      <c r="T8" s="2">
        <v>6.822429906542056E-2</v>
      </c>
    </row>
    <row r="9" spans="1:20" x14ac:dyDescent="0.2">
      <c r="A9" s="2" t="s">
        <v>156</v>
      </c>
      <c r="B9" s="2">
        <v>5.7117996604414261</v>
      </c>
      <c r="C9" s="2">
        <v>4.1985294117647056</v>
      </c>
      <c r="D9" s="2">
        <v>4.2489156626506022</v>
      </c>
      <c r="E9" s="2">
        <v>3.9882640586797065</v>
      </c>
      <c r="F9" s="2">
        <v>3.2490243902439024</v>
      </c>
      <c r="G9" s="2">
        <v>2.8850746268656717</v>
      </c>
      <c r="H9" s="2">
        <v>2.3278894472361809</v>
      </c>
      <c r="I9" s="2">
        <v>1.9724880382775121</v>
      </c>
      <c r="J9" s="2">
        <v>1.3535802469135803</v>
      </c>
      <c r="K9" s="2">
        <v>0.73442622950819669</v>
      </c>
      <c r="L9" s="2">
        <v>0.65340909090909094</v>
      </c>
      <c r="M9" s="2">
        <v>0.30517928286852591</v>
      </c>
      <c r="N9" s="2">
        <v>0.19285714285714287</v>
      </c>
      <c r="O9" s="2">
        <v>0.18448979591836734</v>
      </c>
      <c r="P9" s="2">
        <v>0.25061224489795919</v>
      </c>
      <c r="Q9" s="2">
        <v>0.18109243697478991</v>
      </c>
      <c r="R9" s="2">
        <v>3.6986301369863014E-2</v>
      </c>
      <c r="S9" s="2">
        <v>6.4018691588785051E-2</v>
      </c>
      <c r="T9" s="2">
        <v>5.0934579439252337E-2</v>
      </c>
    </row>
    <row r="10" spans="1:20" x14ac:dyDescent="0.2">
      <c r="A10" s="2" t="s">
        <v>155</v>
      </c>
      <c r="B10" s="2">
        <v>3.4333616298811545</v>
      </c>
      <c r="C10" s="2">
        <v>2.0216262975778547</v>
      </c>
      <c r="D10" s="2">
        <v>3.4190361445783131</v>
      </c>
      <c r="E10" s="2">
        <v>3.0356968215158924</v>
      </c>
      <c r="F10" s="2">
        <v>2.9665853658536587</v>
      </c>
      <c r="G10" s="2">
        <v>1.8950248756218906</v>
      </c>
      <c r="H10" s="2">
        <v>1.2701005025125629</v>
      </c>
      <c r="I10" s="2">
        <v>1.0267942583732057</v>
      </c>
      <c r="J10" s="2">
        <v>2.7664197530864199</v>
      </c>
      <c r="K10" s="2">
        <v>0.84617486338797809</v>
      </c>
      <c r="L10" s="2">
        <v>0.69015151515151518</v>
      </c>
      <c r="M10" s="2">
        <v>0.64860557768924298</v>
      </c>
      <c r="N10" s="2">
        <v>0.39642857142857141</v>
      </c>
      <c r="O10" s="2">
        <v>0.44244897959183671</v>
      </c>
      <c r="P10" s="2">
        <v>0.33836734693877552</v>
      </c>
      <c r="Q10" s="2">
        <v>0.23571428571428571</v>
      </c>
      <c r="R10" s="2">
        <v>0.21552511415525114</v>
      </c>
      <c r="S10" s="2">
        <v>9.9532710280373832E-2</v>
      </c>
      <c r="T10" s="2">
        <v>0.14439252336448599</v>
      </c>
    </row>
    <row r="11" spans="1:20" x14ac:dyDescent="0.2">
      <c r="A11" s="2" t="s">
        <v>154</v>
      </c>
      <c r="B11" s="2">
        <v>17.252122241086589</v>
      </c>
      <c r="C11" s="2">
        <v>14.636245674740485</v>
      </c>
      <c r="D11" s="2">
        <v>5.7802409638554213</v>
      </c>
      <c r="E11" s="2">
        <v>5.5523227383863079</v>
      </c>
      <c r="F11" s="2">
        <v>6.0948780487804877</v>
      </c>
      <c r="G11" s="2">
        <v>5.9455223880597012</v>
      </c>
      <c r="H11" s="2">
        <v>6.2738693467336679</v>
      </c>
      <c r="I11" s="2">
        <v>6.377272727272727</v>
      </c>
      <c r="J11" s="2">
        <v>5.7249382716049384</v>
      </c>
      <c r="K11" s="2">
        <v>5.9770491803278691</v>
      </c>
      <c r="L11" s="2">
        <v>1.7856060606060606</v>
      </c>
      <c r="M11" s="2">
        <v>1.2920318725099602</v>
      </c>
      <c r="N11" s="2">
        <v>1.1452380952380952</v>
      </c>
      <c r="O11" s="2">
        <v>0.98734693877551016</v>
      </c>
      <c r="P11" s="2">
        <v>0.81877551020408168</v>
      </c>
      <c r="Q11" s="2">
        <v>0.63235294117647056</v>
      </c>
      <c r="R11" s="2">
        <v>0.47488584474885842</v>
      </c>
      <c r="S11" s="2">
        <v>0.3644859813084112</v>
      </c>
      <c r="T11" s="2">
        <v>0.32383177570093458</v>
      </c>
    </row>
    <row r="12" spans="1:20" x14ac:dyDescent="0.2">
      <c r="A12" s="2" t="s">
        <v>153</v>
      </c>
      <c r="B12" s="2">
        <v>-10.352716468590831</v>
      </c>
      <c r="C12" s="2">
        <v>-15.306660899653979</v>
      </c>
      <c r="D12" s="2">
        <v>-5.6703614457831328</v>
      </c>
      <c r="E12" s="2">
        <v>-6.8498777506112472</v>
      </c>
      <c r="F12" s="2">
        <v>-7.2768292682926825</v>
      </c>
      <c r="G12" s="2">
        <v>-9.0368159203980092</v>
      </c>
      <c r="H12" s="2">
        <v>-7.3613065326633169</v>
      </c>
      <c r="I12" s="2">
        <v>-2.6358851674641151</v>
      </c>
      <c r="J12" s="2">
        <v>-3.0498765432098764</v>
      </c>
      <c r="K12" s="2">
        <v>-4.8972677595628413</v>
      </c>
      <c r="L12" s="2">
        <v>-8.9772727272727268E-2</v>
      </c>
      <c r="M12" s="2">
        <v>-0.78486055776892427</v>
      </c>
      <c r="N12" s="2">
        <v>0.79484126984126979</v>
      </c>
      <c r="O12" s="2">
        <v>0.7416326530612245</v>
      </c>
      <c r="P12" s="2">
        <v>0.54285714285714282</v>
      </c>
      <c r="Q12" s="2">
        <v>0.31932773109243695</v>
      </c>
      <c r="R12" s="2">
        <v>0.10136986301369863</v>
      </c>
      <c r="S12" s="2">
        <v>-5.1401869158878503E-2</v>
      </c>
      <c r="T12" s="2">
        <v>-9.6261682242990657E-2</v>
      </c>
    </row>
    <row r="13" spans="1:20" x14ac:dyDescent="0.2">
      <c r="A13" s="2" t="s">
        <v>152</v>
      </c>
      <c r="B13" s="2">
        <v>17.252122241086589</v>
      </c>
      <c r="C13" s="2">
        <v>14.636245674740485</v>
      </c>
      <c r="D13" s="2">
        <v>5.7802409638554213</v>
      </c>
      <c r="E13" s="2">
        <v>5.5523227383863079</v>
      </c>
      <c r="F13" s="2">
        <v>6.0948780487804877</v>
      </c>
      <c r="G13" s="2">
        <v>5.9455223880597012</v>
      </c>
      <c r="H13" s="2">
        <v>6.2738693467336679</v>
      </c>
      <c r="I13" s="2">
        <v>6.377272727272727</v>
      </c>
      <c r="J13" s="2">
        <v>5.0086419753086417</v>
      </c>
      <c r="K13" s="2">
        <v>5.1617486338797818</v>
      </c>
      <c r="L13" s="2">
        <v>1.7856060606060606</v>
      </c>
      <c r="M13" s="2">
        <v>1.2920318725099602</v>
      </c>
      <c r="N13" s="2">
        <v>1.1452380952380952</v>
      </c>
      <c r="O13" s="2">
        <v>0.98734693877551016</v>
      </c>
      <c r="P13" s="2">
        <v>0.81877551020408168</v>
      </c>
      <c r="Q13" s="2">
        <v>0.63235294117647056</v>
      </c>
      <c r="R13" s="2">
        <v>0.47488584474885842</v>
      </c>
      <c r="S13" s="2">
        <v>0.3644859813084112</v>
      </c>
      <c r="T13" s="2">
        <v>0.32383177570093458</v>
      </c>
    </row>
    <row r="14" spans="1:20" x14ac:dyDescent="0.2">
      <c r="A14" s="2" t="s">
        <v>151</v>
      </c>
      <c r="B14" s="2">
        <v>14.504668930390492</v>
      </c>
      <c r="C14" s="2">
        <v>15.466911764705882</v>
      </c>
      <c r="D14" s="2">
        <v>9.9445783132530128</v>
      </c>
      <c r="E14" s="2">
        <v>10.199266503667481</v>
      </c>
      <c r="F14" s="2">
        <v>10.282439024390245</v>
      </c>
      <c r="G14" s="2">
        <v>10.812437810945273</v>
      </c>
      <c r="H14" s="2">
        <v>8.6035175879396988</v>
      </c>
      <c r="I14" s="2">
        <v>4.3351674641148321</v>
      </c>
      <c r="J14" s="2">
        <v>4.4449382716049382</v>
      </c>
      <c r="K14" s="2">
        <v>3.8871584699453554</v>
      </c>
      <c r="L14" s="2">
        <v>1.5390151515151516</v>
      </c>
      <c r="M14" s="2">
        <v>2.2386454183266933</v>
      </c>
      <c r="N14" s="2">
        <v>1.5873015873015873E-3</v>
      </c>
      <c r="O14" s="2">
        <v>1.6326530612244899E-3</v>
      </c>
      <c r="P14" s="2">
        <v>4.0816326530612249E-3</v>
      </c>
      <c r="Q14" s="2">
        <v>0.1134453781512605</v>
      </c>
      <c r="R14" s="2">
        <v>0.30867579908675802</v>
      </c>
      <c r="S14" s="2">
        <v>0.37196261682242993</v>
      </c>
      <c r="T14" s="2">
        <v>0.47570093457943924</v>
      </c>
    </row>
    <row r="15" spans="1:20" x14ac:dyDescent="0.2">
      <c r="A15" s="1" t="s">
        <v>150</v>
      </c>
      <c r="B15" s="1">
        <v>1708335600000</v>
      </c>
      <c r="C15" s="1">
        <v>779375200000</v>
      </c>
      <c r="D15" s="1">
        <v>349139500000</v>
      </c>
      <c r="E15" s="1">
        <v>192270900000</v>
      </c>
      <c r="F15" s="1">
        <v>216521000000</v>
      </c>
      <c r="G15" s="1">
        <v>141222600000</v>
      </c>
      <c r="H15" s="1">
        <v>121390000000</v>
      </c>
      <c r="I15" s="1">
        <v>92001800000</v>
      </c>
      <c r="J15" s="1">
        <v>106879500000</v>
      </c>
      <c r="K15" s="1">
        <v>62329800000.000008</v>
      </c>
      <c r="L15" s="1">
        <v>32498400000</v>
      </c>
      <c r="M15" s="1">
        <v>21661300000.000004</v>
      </c>
      <c r="N15" s="1">
        <v>11440800000</v>
      </c>
      <c r="O15" s="1">
        <v>8085000000</v>
      </c>
      <c r="P15" s="1">
        <v>8281000000</v>
      </c>
      <c r="Q15" s="1">
        <v>5664400000</v>
      </c>
      <c r="R15" s="1">
        <v>3285000000</v>
      </c>
      <c r="S15" s="1">
        <v>3466800000</v>
      </c>
      <c r="T15" s="1">
        <v>3466800000</v>
      </c>
    </row>
    <row r="16" spans="1:20" x14ac:dyDescent="0.2">
      <c r="A16" s="1" t="s">
        <v>149</v>
      </c>
      <c r="B16" s="1">
        <v>1757293600000</v>
      </c>
      <c r="C16" s="1">
        <v>837593200000</v>
      </c>
      <c r="D16" s="1">
        <v>374598500000</v>
      </c>
      <c r="E16" s="1">
        <v>219832900000</v>
      </c>
      <c r="F16" s="1">
        <v>244631000000</v>
      </c>
      <c r="G16" s="1">
        <v>175293600000</v>
      </c>
      <c r="H16" s="1">
        <v>149133000000</v>
      </c>
      <c r="I16" s="1">
        <v>105202800000</v>
      </c>
      <c r="J16" s="1">
        <v>113223500000</v>
      </c>
      <c r="K16" s="1">
        <v>72874800000</v>
      </c>
      <c r="L16" s="1">
        <v>34548400000</v>
      </c>
      <c r="M16" s="1">
        <v>25566300000.000004</v>
      </c>
      <c r="N16" s="1">
        <v>10457800000</v>
      </c>
      <c r="O16" s="1">
        <v>7004000000</v>
      </c>
      <c r="P16" s="1">
        <v>7458000000</v>
      </c>
      <c r="Q16" s="1">
        <v>5339400000</v>
      </c>
      <c r="R16" s="1">
        <v>3412000000</v>
      </c>
      <c r="S16" s="1">
        <v>3963800000</v>
      </c>
      <c r="T16" s="1">
        <v>4066800000</v>
      </c>
    </row>
    <row r="17" spans="1:20" x14ac:dyDescent="0.2">
      <c r="A17" s="2" t="s">
        <v>148</v>
      </c>
      <c r="B17" s="2">
        <v>73.870777479892766</v>
      </c>
      <c r="C17" s="2">
        <v>132.20953350296864</v>
      </c>
      <c r="D17" s="2">
        <v>24.793317710552476</v>
      </c>
      <c r="E17" s="2">
        <v>16.726481078729883</v>
      </c>
      <c r="F17" s="2">
        <v>32.143853919239909</v>
      </c>
      <c r="G17" s="2">
        <v>47.710337837837841</v>
      </c>
      <c r="H17" s="2">
        <v>44.563142437591779</v>
      </c>
      <c r="I17" s="2">
        <v>7.5048372624194473</v>
      </c>
      <c r="J17" s="2">
        <v>63.167553191489361</v>
      </c>
      <c r="K17" s="2">
        <v>-35.842323174238068</v>
      </c>
      <c r="L17" s="2">
        <v>23.825806451612902</v>
      </c>
      <c r="M17" s="2">
        <v>82.362357414448681</v>
      </c>
      <c r="N17" s="2">
        <v>20.72608695652174</v>
      </c>
      <c r="O17" s="2">
        <v>14.360568383658968</v>
      </c>
      <c r="P17" s="2">
        <v>15.001811594202897</v>
      </c>
      <c r="Q17" s="2">
        <v>13.649156626506024</v>
      </c>
      <c r="R17" s="2">
        <v>-74.659090909090907</v>
      </c>
      <c r="S17" s="2">
        <v>41.768674698795181</v>
      </c>
      <c r="T17" s="2">
        <v>-21.80377358490566</v>
      </c>
    </row>
    <row r="18" spans="1:20" x14ac:dyDescent="0.2">
      <c r="A18" s="2" t="s">
        <v>147</v>
      </c>
      <c r="B18" s="2">
        <v>26.73995648567001</v>
      </c>
      <c r="C18" s="2">
        <v>15.111785007949742</v>
      </c>
      <c r="D18" s="2">
        <v>9.7473268377118281</v>
      </c>
      <c r="E18" s="2">
        <v>5.7907689064241179</v>
      </c>
      <c r="F18" s="2">
        <v>7.8878324225865208</v>
      </c>
      <c r="G18" s="2">
        <v>5.9118636972538514</v>
      </c>
      <c r="H18" s="2">
        <v>5.3719520290304024</v>
      </c>
      <c r="I18" s="2">
        <v>4.4129796623177286</v>
      </c>
      <c r="J18" s="2">
        <v>6.060302789748242</v>
      </c>
      <c r="K18" s="2">
        <v>4.7076888217522663</v>
      </c>
      <c r="L18" s="2">
        <v>4.7623681125439621</v>
      </c>
      <c r="M18" s="2">
        <v>5.0740922932771149</v>
      </c>
      <c r="N18" s="2">
        <v>4.54</v>
      </c>
      <c r="O18" s="2">
        <v>3.4200507614213196</v>
      </c>
      <c r="P18" s="2">
        <v>3.5449486301369864</v>
      </c>
      <c r="Q18" s="2">
        <v>2.7063545150501671</v>
      </c>
      <c r="R18" s="2">
        <v>2.213611859838275</v>
      </c>
      <c r="S18" s="2">
        <v>2.0404944084755741</v>
      </c>
      <c r="T18" s="2">
        <v>2.2703339882121809</v>
      </c>
    </row>
    <row r="19" spans="1:20" x14ac:dyDescent="0.2">
      <c r="A19" s="2" t="s">
        <v>146</v>
      </c>
      <c r="B19" s="2">
        <v>62.037825471184227</v>
      </c>
      <c r="C19" s="2">
        <v>39.042941589019136</v>
      </c>
      <c r="D19" s="2">
        <v>19.305474149847939</v>
      </c>
      <c r="E19" s="2">
        <v>11.488461998087953</v>
      </c>
      <c r="F19" s="2">
        <v>15.730964835803547</v>
      </c>
      <c r="G19" s="2">
        <v>11.709029102064507</v>
      </c>
      <c r="H19" s="2">
        <v>12.518304630298029</v>
      </c>
      <c r="I19" s="2">
        <v>10.360563063063063</v>
      </c>
      <c r="J19" s="2">
        <v>16.314990077850712</v>
      </c>
      <c r="K19" s="2">
        <v>18.27317502198769</v>
      </c>
      <c r="L19" s="2">
        <v>14.020017256255393</v>
      </c>
      <c r="M19" s="2">
        <v>18.435148936170215</v>
      </c>
      <c r="N19" s="2">
        <v>15.845983379501385</v>
      </c>
      <c r="O19" s="2">
        <v>11.666666666666666</v>
      </c>
      <c r="P19" s="2">
        <v>11.406336088154269</v>
      </c>
      <c r="Q19" s="2">
        <v>11.106666666666667</v>
      </c>
      <c r="R19" s="2">
        <v>23.633093525179859</v>
      </c>
      <c r="S19" s="2">
        <v>16.667307692307695</v>
      </c>
      <c r="T19" s="2">
        <v>23.745205479452057</v>
      </c>
    </row>
    <row r="20" spans="1:20" x14ac:dyDescent="0.2">
      <c r="A20" s="2" t="s">
        <v>145</v>
      </c>
      <c r="B20" s="2">
        <v>63.473864903024449</v>
      </c>
      <c r="C20" s="2">
        <v>40.145008756567428</v>
      </c>
      <c r="D20" s="2">
        <v>19.800345942267338</v>
      </c>
      <c r="E20" s="2">
        <v>11.787083128984797</v>
      </c>
      <c r="F20" s="2">
        <v>16.254110051797912</v>
      </c>
      <c r="G20" s="2">
        <v>12.17646145887222</v>
      </c>
      <c r="H20" s="2">
        <v>13.101996762007555</v>
      </c>
      <c r="I20" s="2">
        <v>11.158496058217102</v>
      </c>
      <c r="J20" s="2">
        <v>19.496442904049616</v>
      </c>
      <c r="K20" s="2">
        <v>23.188169642857147</v>
      </c>
      <c r="L20" s="2">
        <v>18.839652173913045</v>
      </c>
      <c r="M20" s="2">
        <v>28.278459530026115</v>
      </c>
      <c r="N20" s="2">
        <v>23.540740740740741</v>
      </c>
      <c r="O20" s="2">
        <v>17.88716814159292</v>
      </c>
      <c r="P20" s="2">
        <v>13.486970684039088</v>
      </c>
      <c r="Q20" s="2">
        <v>13.14245939675174</v>
      </c>
      <c r="R20" s="2">
        <v>40.555555555555557</v>
      </c>
      <c r="S20" s="2">
        <v>25.305109489051095</v>
      </c>
      <c r="T20" s="2">
        <v>31.805504587155962</v>
      </c>
    </row>
    <row r="21" spans="1:20" x14ac:dyDescent="0.2">
      <c r="A21" s="2" t="s">
        <v>144</v>
      </c>
      <c r="B21" s="2">
        <v>21.01480588495793</v>
      </c>
      <c r="C21" s="2">
        <v>11.515931321847573</v>
      </c>
      <c r="D21" s="2">
        <v>14.554756544939137</v>
      </c>
      <c r="E21" s="2">
        <v>8.4667268483861022</v>
      </c>
      <c r="F21" s="2">
        <v>8.6646524470767137</v>
      </c>
      <c r="G21" s="2">
        <v>5.9086481737165819</v>
      </c>
      <c r="H21" s="2">
        <v>4.8614337204645581</v>
      </c>
      <c r="I21" s="2">
        <v>3.4513186029935854</v>
      </c>
      <c r="J21" s="2">
        <v>5.2688932708898202</v>
      </c>
      <c r="K21" s="2">
        <v>3.2992695320770697</v>
      </c>
      <c r="L21" s="2">
        <v>6.8940178192617738</v>
      </c>
      <c r="M21" s="2">
        <v>6.6794017884674686</v>
      </c>
      <c r="N21" s="2">
        <v>3.9642411642411646</v>
      </c>
      <c r="O21" s="2">
        <v>3.3422902025630425</v>
      </c>
      <c r="P21" s="2">
        <v>4.1281156530408767</v>
      </c>
      <c r="Q21" s="2">
        <v>3.7637209302325583</v>
      </c>
      <c r="R21" s="2">
        <v>3.1586538461538463</v>
      </c>
      <c r="S21" s="2">
        <v>4.4446153846153855</v>
      </c>
      <c r="T21" s="2">
        <v>5.0025974025974032</v>
      </c>
    </row>
    <row r="22" spans="1:20" x14ac:dyDescent="0.2">
      <c r="A22" s="2" t="s">
        <v>143</v>
      </c>
      <c r="B22" s="2">
        <v>21.01480588495793</v>
      </c>
      <c r="C22" s="2">
        <v>11.515931321847573</v>
      </c>
      <c r="D22" s="2">
        <v>14.554756544939137</v>
      </c>
      <c r="E22" s="2">
        <v>8.4667268483861022</v>
      </c>
      <c r="F22" s="2">
        <v>8.6646524470767137</v>
      </c>
      <c r="G22" s="2">
        <v>5.9086481737165819</v>
      </c>
      <c r="H22" s="2">
        <v>4.8614337204645581</v>
      </c>
      <c r="I22" s="2">
        <v>3.4513186029935854</v>
      </c>
      <c r="J22" s="2">
        <v>5.2688932708898202</v>
      </c>
      <c r="K22" s="2">
        <v>3.2992695320770697</v>
      </c>
      <c r="L22" s="2">
        <v>6.8940178192617738</v>
      </c>
      <c r="M22" s="2">
        <v>6.6794017884674686</v>
      </c>
      <c r="N22" s="2">
        <v>3.9642411642411646</v>
      </c>
      <c r="O22" s="2">
        <v>3.3422902025630425</v>
      </c>
      <c r="P22" s="2">
        <v>4.1281156530408767</v>
      </c>
      <c r="Q22" s="2">
        <v>3.7637209302325583</v>
      </c>
      <c r="R22" s="2">
        <v>3.1586538461538463</v>
      </c>
      <c r="S22" s="2">
        <v>4.4446153846153855</v>
      </c>
      <c r="T22" s="2">
        <v>5.0025974025974032</v>
      </c>
    </row>
    <row r="23" spans="1:20" x14ac:dyDescent="0.2">
      <c r="A23" s="2" t="s">
        <v>142</v>
      </c>
      <c r="B23" s="2">
        <v>27.506278272575017</v>
      </c>
      <c r="C23" s="2">
        <v>16.240609609493156</v>
      </c>
      <c r="D23" s="2">
        <v>10.458094865853319</v>
      </c>
      <c r="E23" s="2">
        <v>6.6208746197632742</v>
      </c>
      <c r="F23" s="2">
        <v>8.9118761384335148</v>
      </c>
      <c r="G23" s="2">
        <v>7.3381446751507031</v>
      </c>
      <c r="H23" s="2">
        <v>6.5996813736336684</v>
      </c>
      <c r="I23" s="2">
        <v>5.0461818879508824</v>
      </c>
      <c r="J23" s="2">
        <v>6.4200215468360176</v>
      </c>
      <c r="K23" s="2">
        <v>5.5041389728096677</v>
      </c>
      <c r="L23" s="2">
        <v>5.0627784290738571</v>
      </c>
      <c r="M23" s="2">
        <v>5.9888264230498951</v>
      </c>
      <c r="N23" s="2">
        <v>4.149920634920635</v>
      </c>
      <c r="O23" s="2">
        <v>2.9627749576988154</v>
      </c>
      <c r="P23" s="2">
        <v>3.1926369863013697</v>
      </c>
      <c r="Q23" s="2">
        <v>2.5510750119445773</v>
      </c>
      <c r="R23" s="2">
        <v>2.299191374663073</v>
      </c>
      <c r="S23" s="2">
        <v>2.333019423190112</v>
      </c>
      <c r="T23" s="2">
        <v>2.6632612966601177</v>
      </c>
    </row>
    <row r="24" spans="1:20" x14ac:dyDescent="0.2">
      <c r="A24" s="2" t="s">
        <v>141</v>
      </c>
      <c r="B24" s="2">
        <v>50.622042979777611</v>
      </c>
      <c r="C24" s="2">
        <v>35.076560995016543</v>
      </c>
      <c r="D24" s="2">
        <v>18.225090006811325</v>
      </c>
      <c r="E24" s="2">
        <v>11.476528321587052</v>
      </c>
      <c r="F24" s="2">
        <v>16.651759580695664</v>
      </c>
      <c r="G24" s="2">
        <v>15.756728089887641</v>
      </c>
      <c r="H24" s="2">
        <v>15.779600042323564</v>
      </c>
      <c r="I24" s="2">
        <v>11.394216397703888</v>
      </c>
      <c r="J24" s="2">
        <v>16.163240542469666</v>
      </c>
      <c r="K24" s="2">
        <v>28.964546899841018</v>
      </c>
      <c r="L24" s="2">
        <v>13.186412213740457</v>
      </c>
      <c r="M24" s="2">
        <v>23.738440111420616</v>
      </c>
      <c r="N24" s="2">
        <v>13.814795244385733</v>
      </c>
      <c r="O24" s="2">
        <v>9.4393530997304591</v>
      </c>
      <c r="P24" s="2">
        <v>10.329639889196676</v>
      </c>
      <c r="Q24" s="2">
        <v>8.9138564273789651</v>
      </c>
      <c r="R24" s="2">
        <v>16.975124378109452</v>
      </c>
      <c r="S24" s="2">
        <v>12.996065573770492</v>
      </c>
      <c r="T24" s="2">
        <v>55.709589041095889</v>
      </c>
    </row>
    <row r="25" spans="1:20" x14ac:dyDescent="0.2">
      <c r="A25" s="2" t="s">
        <v>140</v>
      </c>
      <c r="B25" s="2">
        <v>63.815724298216942</v>
      </c>
      <c r="C25" s="2">
        <v>41.959382827372004</v>
      </c>
      <c r="D25" s="2">
        <v>20.713215371855128</v>
      </c>
      <c r="E25" s="2">
        <v>13.13533102294455</v>
      </c>
      <c r="F25" s="2">
        <v>17.773249055507119</v>
      </c>
      <c r="G25" s="2">
        <v>14.533919243843794</v>
      </c>
      <c r="H25" s="2">
        <v>15.379292564710735</v>
      </c>
      <c r="I25" s="2">
        <v>11.847162162162162</v>
      </c>
      <c r="J25" s="2">
        <v>17.283391848572737</v>
      </c>
      <c r="K25" s="2">
        <v>21.364643799472294</v>
      </c>
      <c r="L25" s="2">
        <v>14.904400345125108</v>
      </c>
      <c r="M25" s="2">
        <v>21.758553191489366</v>
      </c>
      <c r="N25" s="2">
        <v>14.484487534626039</v>
      </c>
      <c r="O25" s="2">
        <v>10.106782106782108</v>
      </c>
      <c r="P25" s="2">
        <v>10.272727272727273</v>
      </c>
      <c r="Q25" s="2">
        <v>10.469411764705882</v>
      </c>
      <c r="R25" s="2">
        <v>24.546762589928058</v>
      </c>
      <c r="S25" s="2">
        <v>19.056730769230768</v>
      </c>
      <c r="T25" s="2">
        <v>27.854794520547944</v>
      </c>
    </row>
    <row r="26" spans="1:20" x14ac:dyDescent="0.2">
      <c r="A26" s="2" t="s">
        <v>139</v>
      </c>
      <c r="B26" s="2">
        <v>65.292918183844833</v>
      </c>
      <c r="C26" s="2">
        <v>43.143772535283816</v>
      </c>
      <c r="D26" s="2">
        <v>21.244172857709977</v>
      </c>
      <c r="E26" s="2">
        <v>13.476759440902404</v>
      </c>
      <c r="F26" s="2">
        <v>18.364311988589446</v>
      </c>
      <c r="G26" s="2">
        <v>15.114123124676668</v>
      </c>
      <c r="H26" s="2">
        <v>16.096384241770103</v>
      </c>
      <c r="I26" s="2">
        <v>12.75958762886598</v>
      </c>
      <c r="J26" s="2">
        <v>20.653684786574242</v>
      </c>
      <c r="K26" s="2">
        <v>27.111160714285713</v>
      </c>
      <c r="L26" s="2">
        <v>20.028057971014494</v>
      </c>
      <c r="M26" s="2">
        <v>33.376370757180162</v>
      </c>
      <c r="N26" s="2">
        <v>21.518106995884775</v>
      </c>
      <c r="O26" s="2">
        <v>15.495575221238939</v>
      </c>
      <c r="P26" s="2">
        <v>12.146579804560261</v>
      </c>
      <c r="Q26" s="2">
        <v>12.388399071925754</v>
      </c>
      <c r="R26" s="2">
        <v>42.123456790123456</v>
      </c>
      <c r="S26" s="2">
        <v>28.932846715328466</v>
      </c>
      <c r="T26" s="2">
        <v>37.310091743119266</v>
      </c>
    </row>
    <row r="27" spans="1:20" x14ac:dyDescent="0.2">
      <c r="A27" s="3" t="s">
        <v>138</v>
      </c>
      <c r="B27" s="3">
        <v>1.3537152770216812E-2</v>
      </c>
      <c r="C27" s="3">
        <v>7.5637510662386991E-3</v>
      </c>
      <c r="D27" s="3">
        <v>4.0333448378083836E-2</v>
      </c>
      <c r="E27" s="3">
        <v>5.9785438150026862E-2</v>
      </c>
      <c r="F27" s="3">
        <v>3.111014635993737E-2</v>
      </c>
      <c r="G27" s="3">
        <v>2.0959818046120095E-2</v>
      </c>
      <c r="H27" s="3">
        <v>2.2440069198451273E-2</v>
      </c>
      <c r="I27" s="3">
        <v>0.13324739298578941</v>
      </c>
      <c r="J27" s="3">
        <v>1.5830912382636522E-2</v>
      </c>
      <c r="K27" s="3">
        <v>-2.7899977217959945E-2</v>
      </c>
      <c r="L27" s="3">
        <v>4.197129704847008E-2</v>
      </c>
      <c r="M27" s="3">
        <v>1.214146888690891E-2</v>
      </c>
      <c r="N27" s="3">
        <v>4.8248374239563664E-2</v>
      </c>
      <c r="O27" s="3">
        <v>6.9635126777983933E-2</v>
      </c>
      <c r="P27" s="3">
        <v>6.6658616109165569E-2</v>
      </c>
      <c r="Q27" s="3">
        <v>7.3264599957630114E-2</v>
      </c>
      <c r="R27" s="3">
        <v>-1.3394216133942162E-2</v>
      </c>
      <c r="S27" s="3">
        <v>2.3941386869735778E-2</v>
      </c>
      <c r="T27" s="3">
        <v>-4.5863620629975767E-2</v>
      </c>
    </row>
    <row r="28" spans="1:20" x14ac:dyDescent="0.2">
      <c r="A28" s="3" t="s">
        <v>137</v>
      </c>
      <c r="B28" s="3">
        <v>1.5754515681813339E-2</v>
      </c>
      <c r="C28" s="3">
        <v>2.4909696895667195E-2</v>
      </c>
      <c r="D28" s="3">
        <v>5.0504168104726049E-2</v>
      </c>
      <c r="E28" s="3">
        <v>8.4838631326945468E-2</v>
      </c>
      <c r="F28" s="3">
        <v>6.15229007809866E-2</v>
      </c>
      <c r="G28" s="3">
        <v>8.2125665438817871E-2</v>
      </c>
      <c r="H28" s="3">
        <v>7.632424417167806E-2</v>
      </c>
      <c r="I28" s="3">
        <v>8.9617811825420807E-2</v>
      </c>
      <c r="J28" s="3">
        <v>5.1291407613246694E-2</v>
      </c>
      <c r="K28" s="3">
        <v>4.3125439196018592E-2</v>
      </c>
      <c r="L28" s="3">
        <v>5.307953622332176E-2</v>
      </c>
      <c r="M28" s="3">
        <v>3.536260519913393E-2</v>
      </c>
      <c r="N28" s="3">
        <v>4.2479546884833227E-2</v>
      </c>
      <c r="O28" s="3">
        <v>5.5905998763141618E-2</v>
      </c>
      <c r="P28" s="3">
        <v>7.4145634585195019E-2</v>
      </c>
      <c r="Q28" s="3">
        <v>7.6089259233105E-2</v>
      </c>
      <c r="R28" s="3">
        <v>2.4657534246575342E-2</v>
      </c>
      <c r="S28" s="3">
        <v>3.9517710857274721E-2</v>
      </c>
      <c r="T28" s="3">
        <v>3.1441098419291567E-2</v>
      </c>
    </row>
    <row r="29" spans="1:20" x14ac:dyDescent="0.2">
      <c r="A29" s="2" t="s">
        <v>136</v>
      </c>
      <c r="B29" s="2">
        <v>0.80125965654676967</v>
      </c>
      <c r="C29" s="2">
        <v>0.99834510476077898</v>
      </c>
      <c r="D29" s="2">
        <v>1.6528264132066033</v>
      </c>
      <c r="E29" s="2">
        <v>1.7604473997093664</v>
      </c>
      <c r="F29" s="2">
        <v>1.611629116811397</v>
      </c>
      <c r="G29" s="2">
        <v>1.744236642818292</v>
      </c>
      <c r="H29" s="2">
        <v>1.3134961954345215</v>
      </c>
      <c r="I29" s="2">
        <v>0.65622538170086653</v>
      </c>
      <c r="J29" s="2">
        <v>0.8650727138279517</v>
      </c>
      <c r="K29" s="2">
        <v>0.7221045945373703</v>
      </c>
      <c r="L29" s="2">
        <v>0.82138311412812903</v>
      </c>
      <c r="M29" s="2">
        <v>1.6987357385137218</v>
      </c>
      <c r="N29" s="2">
        <v>6.93000693000693E-4</v>
      </c>
      <c r="O29" s="2">
        <v>1.2401818933443572E-3</v>
      </c>
      <c r="P29" s="2">
        <v>2.9910269192422734E-3</v>
      </c>
      <c r="Q29" s="2">
        <v>0.15681063122923589</v>
      </c>
      <c r="R29" s="2">
        <v>0.57596153846153841</v>
      </c>
      <c r="S29" s="2">
        <v>0.91025641025641024</v>
      </c>
      <c r="T29" s="2">
        <v>1.3116883116883118</v>
      </c>
    </row>
    <row r="30" spans="1:20" x14ac:dyDescent="0.2">
      <c r="A30" s="3" t="s">
        <v>135</v>
      </c>
      <c r="B30" s="3">
        <v>0.38070745563790243</v>
      </c>
      <c r="C30" s="3">
        <v>0.40789640496241963</v>
      </c>
      <c r="D30" s="3">
        <v>0.54415942685387242</v>
      </c>
      <c r="E30" s="3">
        <v>0.54578219497877101</v>
      </c>
      <c r="F30" s="3">
        <v>0.5329231176392748</v>
      </c>
      <c r="G30" s="3">
        <v>0.54902348122687106</v>
      </c>
      <c r="H30" s="3">
        <v>0.48594669076793151</v>
      </c>
      <c r="I30" s="3">
        <v>0.34899449365573376</v>
      </c>
      <c r="J30" s="3">
        <v>0.32246683082803484</v>
      </c>
      <c r="K30" s="3">
        <v>0.27302565744706403</v>
      </c>
      <c r="L30" s="3">
        <v>0.36823585354255822</v>
      </c>
      <c r="M30" s="3">
        <v>0.52511676675245444</v>
      </c>
      <c r="N30" s="3">
        <v>5.856515373352855E-4</v>
      </c>
      <c r="O30" s="3">
        <v>1.0482180293501049E-3</v>
      </c>
      <c r="P30" s="3">
        <v>2.4529844644317253E-3</v>
      </c>
      <c r="Q30" s="3">
        <v>0.10941121928604543</v>
      </c>
      <c r="R30" s="3">
        <v>0.30406091370558375</v>
      </c>
      <c r="S30" s="3">
        <v>0.37947621592731162</v>
      </c>
      <c r="T30" s="3">
        <v>0.46591491542798563</v>
      </c>
    </row>
    <row r="31" spans="1:20" x14ac:dyDescent="0.2">
      <c r="A31" s="3" t="s">
        <v>134</v>
      </c>
      <c r="B31" s="3">
        <v>1.4103243648095869</v>
      </c>
      <c r="C31" s="3">
        <v>2.4380417940449766</v>
      </c>
      <c r="D31" s="3">
        <v>1.2386396808407123</v>
      </c>
      <c r="E31" s="3">
        <v>1.4388932393630907</v>
      </c>
      <c r="F31" s="3">
        <v>1.9134163773739024</v>
      </c>
      <c r="G31" s="3">
        <v>3.0625617977528088</v>
      </c>
      <c r="H31" s="3">
        <v>2.9354565654428102</v>
      </c>
      <c r="I31" s="3">
        <v>1.429762807321564</v>
      </c>
      <c r="J31" s="3">
        <v>0.90563882940756602</v>
      </c>
      <c r="K31" s="3">
        <v>4.1911764705882355</v>
      </c>
      <c r="L31" s="3">
        <v>0.78244274809160308</v>
      </c>
      <c r="M31" s="3">
        <v>3.625812441968431</v>
      </c>
      <c r="N31" s="3">
        <v>-1.2985468956406869</v>
      </c>
      <c r="O31" s="3">
        <v>-1.4568733153638813</v>
      </c>
      <c r="P31" s="3">
        <v>-1.1398891966759004</v>
      </c>
      <c r="Q31" s="3">
        <v>-0.54257095158597668</v>
      </c>
      <c r="R31" s="3">
        <v>0.63184079601990051</v>
      </c>
      <c r="S31" s="3">
        <v>1.6295081967213114</v>
      </c>
      <c r="T31" s="3">
        <v>8.2191780821917817</v>
      </c>
    </row>
    <row r="32" spans="1:20" x14ac:dyDescent="0.2">
      <c r="A32" s="2" t="s">
        <v>133</v>
      </c>
      <c r="B32" s="2">
        <v>1.7053581073782003</v>
      </c>
      <c r="C32" s="2">
        <v>1.1735641133137689</v>
      </c>
      <c r="D32" s="2">
        <v>2.8152599594868333</v>
      </c>
      <c r="E32" s="2">
        <v>2.6239364719228586</v>
      </c>
      <c r="F32" s="2">
        <v>2.6406623149180066</v>
      </c>
      <c r="G32" s="2">
        <v>1.8670538377020875</v>
      </c>
      <c r="H32" s="2">
        <v>1.437454703580229</v>
      </c>
      <c r="I32" s="2">
        <v>3.8952095808383231</v>
      </c>
      <c r="J32" s="2">
        <v>6.2566231712139189</v>
      </c>
      <c r="K32" s="2">
        <v>2.3148148148148149</v>
      </c>
      <c r="L32" s="2">
        <v>3.3735478105451295</v>
      </c>
      <c r="M32" s="2">
        <v>3.7637795275590551</v>
      </c>
      <c r="N32" s="2">
        <v>4.2978723404255321</v>
      </c>
      <c r="O32" s="2">
        <v>4.8872832369942198</v>
      </c>
      <c r="P32" s="2">
        <v>3.98</v>
      </c>
      <c r="Q32" s="2">
        <v>1.9238938053097345</v>
      </c>
      <c r="R32" s="2">
        <v>1.3649289099526067</v>
      </c>
      <c r="S32" s="2">
        <v>1.8871951219512195</v>
      </c>
      <c r="T32" s="2">
        <v>2.2336448598130842</v>
      </c>
    </row>
    <row r="33" spans="1:20" x14ac:dyDescent="0.2">
      <c r="A33" s="2" t="s">
        <v>132</v>
      </c>
      <c r="B33" s="2">
        <v>7.9389408099688472</v>
      </c>
      <c r="C33" s="2">
        <v>3.4057677713129269</v>
      </c>
      <c r="D33" s="2">
        <v>9.9919852034525274</v>
      </c>
      <c r="E33" s="2">
        <v>8.1894070236039145</v>
      </c>
      <c r="F33" s="2">
        <v>4.5193633952254642</v>
      </c>
      <c r="G33" s="2">
        <v>2.2588632526730446</v>
      </c>
      <c r="H33" s="2">
        <v>2.3850415512465375</v>
      </c>
      <c r="I33" s="2">
        <v>8.1767515923566876</v>
      </c>
      <c r="J33" s="2">
        <v>5.2224669603524232</v>
      </c>
      <c r="K33" s="2">
        <v>-0.6991452991452991</v>
      </c>
      <c r="L33" s="2">
        <v>8.5445026178010473</v>
      </c>
      <c r="M33" s="2">
        <v>3.9818181818181819</v>
      </c>
      <c r="N33" s="2">
        <v>276</v>
      </c>
      <c r="O33" s="2">
        <v>582</v>
      </c>
      <c r="P33" s="2">
        <v>146</v>
      </c>
      <c r="Q33" s="2">
        <v>13.823529411764707</v>
      </c>
      <c r="R33" s="2">
        <v>0.62337662337662336</v>
      </c>
      <c r="S33" s="2">
        <v>1.8604651162790697</v>
      </c>
      <c r="T33" s="2">
        <v>-0.96330275229357798</v>
      </c>
    </row>
    <row r="34" spans="1:20" x14ac:dyDescent="0.2">
      <c r="A34" s="2" t="s">
        <v>131</v>
      </c>
      <c r="B34" s="2">
        <v>1.190737697829283</v>
      </c>
      <c r="C34" s="2">
        <v>3.386259541984733</v>
      </c>
      <c r="D34" s="2">
        <v>1.2842635989206079</v>
      </c>
      <c r="E34" s="2">
        <v>1.4559373640713353</v>
      </c>
      <c r="F34" s="2">
        <v>2.0433491686460807</v>
      </c>
      <c r="G34" s="2">
        <v>4.0746621621621619</v>
      </c>
      <c r="H34" s="2">
        <v>3.5598384728340675</v>
      </c>
      <c r="I34" s="2">
        <v>0.70420301348136405</v>
      </c>
      <c r="J34" s="2">
        <v>3.458817317845829</v>
      </c>
      <c r="K34" s="2">
        <v>-1.8328855454056958</v>
      </c>
      <c r="L34" s="2">
        <v>1.6994134897360704</v>
      </c>
      <c r="M34" s="2">
        <v>4.795918367346939</v>
      </c>
      <c r="N34" s="2">
        <v>1.3079710144927537</v>
      </c>
      <c r="O34" s="2">
        <v>1.2309058614564832</v>
      </c>
      <c r="P34" s="2">
        <v>1.3152173913043479</v>
      </c>
      <c r="Q34" s="2">
        <v>1.2289156626506024</v>
      </c>
      <c r="R34" s="2">
        <v>-3.1590909090909092</v>
      </c>
      <c r="S34" s="2">
        <v>2.5060240963855422</v>
      </c>
      <c r="T34" s="2">
        <v>-0.91823899371069184</v>
      </c>
    </row>
    <row r="35" spans="1:20" x14ac:dyDescent="0.2">
      <c r="A35" s="3" t="s">
        <v>130</v>
      </c>
      <c r="B35" s="3">
        <v>6.5221376877002378E-3</v>
      </c>
      <c r="C35" s="3">
        <v>1.2592137907390432E-2</v>
      </c>
      <c r="D35" s="3">
        <v>2.1896691723508797E-2</v>
      </c>
      <c r="E35" s="3">
        <v>3.6573397222356585E-2</v>
      </c>
      <c r="F35" s="3">
        <v>2.8690057777305666E-2</v>
      </c>
      <c r="G35" s="3">
        <v>3.9186362522712369E-2</v>
      </c>
      <c r="H35" s="3">
        <v>3.4887552516681769E-2</v>
      </c>
      <c r="I35" s="3">
        <v>3.2586318963324624E-2</v>
      </c>
      <c r="J35" s="3">
        <v>1.5466015466015465E-2</v>
      </c>
      <c r="K35" s="3">
        <v>1.2032767632817689E-2</v>
      </c>
      <c r="L35" s="3">
        <v>1.2554464219776972E-2</v>
      </c>
      <c r="M35" s="3">
        <v>1.311093978662407E-2</v>
      </c>
      <c r="N35" s="3">
        <v>1.7306482064191313E-2</v>
      </c>
      <c r="O35" s="3">
        <v>1.6944959802102661E-2</v>
      </c>
      <c r="P35" s="3">
        <v>1.0385219176427967E-2</v>
      </c>
      <c r="Q35" s="3">
        <v>0</v>
      </c>
      <c r="R35" s="3">
        <v>0</v>
      </c>
      <c r="S35" s="3">
        <v>0</v>
      </c>
      <c r="T35" s="3">
        <v>0</v>
      </c>
    </row>
    <row r="36" spans="1:20" x14ac:dyDescent="0.2">
      <c r="A36" s="3" t="s">
        <v>129</v>
      </c>
      <c r="B36" s="3">
        <v>0.48179538182132664</v>
      </c>
      <c r="C36" s="3">
        <v>1.6648006785411364</v>
      </c>
      <c r="D36" s="3">
        <v>0.54289163471097857</v>
      </c>
      <c r="E36" s="3">
        <v>0.61174423662461941</v>
      </c>
      <c r="F36" s="3">
        <v>0.92220902612826605</v>
      </c>
      <c r="G36" s="3">
        <v>1.8695945945945946</v>
      </c>
      <c r="H36" s="3">
        <v>1.5546989720998532</v>
      </c>
      <c r="I36" s="3">
        <v>0.24455502080104413</v>
      </c>
      <c r="J36" s="3">
        <v>0.97695035460992907</v>
      </c>
      <c r="K36" s="3">
        <v>-0.43128234617596317</v>
      </c>
      <c r="L36" s="3">
        <v>0.29912023460410558</v>
      </c>
      <c r="M36" s="3">
        <v>1.0798479087452471</v>
      </c>
      <c r="N36" s="3">
        <v>0.35869565217391303</v>
      </c>
      <c r="O36" s="3">
        <v>0.2433392539964476</v>
      </c>
      <c r="P36" s="3">
        <v>0.15579710144927536</v>
      </c>
      <c r="Q36" s="3">
        <v>0</v>
      </c>
      <c r="R36" s="3">
        <v>0</v>
      </c>
      <c r="S36" s="3">
        <v>0</v>
      </c>
      <c r="T36" s="3">
        <v>0</v>
      </c>
    </row>
    <row r="37" spans="1:20" x14ac:dyDescent="0.2">
      <c r="A37" s="3" t="s">
        <v>128</v>
      </c>
      <c r="B37" s="3">
        <v>6.5913253087482582E-2</v>
      </c>
      <c r="C37" s="3">
        <v>9.6153100399426067E-2</v>
      </c>
      <c r="D37" s="3">
        <v>4.4445685250844524E-2</v>
      </c>
      <c r="E37" s="3">
        <v>4.1622744932686806E-2</v>
      </c>
      <c r="F37" s="3">
        <v>4.907103825136612E-2</v>
      </c>
      <c r="G37" s="3">
        <v>8.1003014065639659E-2</v>
      </c>
      <c r="H37" s="3">
        <v>7.5629508341815282E-2</v>
      </c>
      <c r="I37" s="3">
        <v>5.0652340752110517E-2</v>
      </c>
      <c r="J37" s="3">
        <v>4.4738035835790425E-2</v>
      </c>
      <c r="K37" s="3">
        <v>6.0876132930513596E-2</v>
      </c>
      <c r="L37" s="3">
        <v>7.1219226260257909E-2</v>
      </c>
      <c r="M37" s="3">
        <v>9.5338486765050356E-2</v>
      </c>
      <c r="N37" s="3">
        <v>8.8095238095238101E-2</v>
      </c>
      <c r="O37" s="3">
        <v>8.4179357021996609E-2</v>
      </c>
      <c r="P37" s="3">
        <v>9.4178082191780824E-2</v>
      </c>
      <c r="Q37" s="3">
        <v>9.3645484949832769E-2</v>
      </c>
      <c r="R37" s="3">
        <v>0.11388140161725067</v>
      </c>
      <c r="S37" s="3">
        <v>0.1153619776339023</v>
      </c>
      <c r="T37" s="3">
        <v>0.12639161755075312</v>
      </c>
    </row>
    <row r="38" spans="1:20" x14ac:dyDescent="0.2">
      <c r="A38" s="3" t="s">
        <v>127</v>
      </c>
      <c r="B38" s="3">
        <v>0.17181899290935559</v>
      </c>
      <c r="C38" s="3">
        <v>0.18051731492612558</v>
      </c>
      <c r="D38" s="3">
        <v>0.14665401044138585</v>
      </c>
      <c r="E38" s="3">
        <v>0.14814926362075717</v>
      </c>
      <c r="F38" s="3">
        <v>0.17683060109289617</v>
      </c>
      <c r="G38" s="3">
        <v>0.20797052913596786</v>
      </c>
      <c r="H38" s="3">
        <v>0.20781519670752754</v>
      </c>
      <c r="I38" s="3">
        <v>0.18073676132003069</v>
      </c>
      <c r="J38" s="3">
        <v>0.1866636425493309</v>
      </c>
      <c r="K38" s="3">
        <v>0.20196374622356494</v>
      </c>
      <c r="L38" s="3">
        <v>0.1537221570926143</v>
      </c>
      <c r="M38" s="3">
        <v>0.16280159287889434</v>
      </c>
      <c r="N38" s="3">
        <v>0.15793650793650793</v>
      </c>
      <c r="O38" s="3">
        <v>0.14170896785109982</v>
      </c>
      <c r="P38" s="3">
        <v>0.13570205479452055</v>
      </c>
      <c r="Q38" s="3">
        <v>0.13377926421404682</v>
      </c>
      <c r="R38" s="3">
        <v>0.1650943396226415</v>
      </c>
      <c r="S38" s="3">
        <v>0.15597410241318421</v>
      </c>
      <c r="T38" s="3">
        <v>0.13425016371971185</v>
      </c>
    </row>
    <row r="39" spans="1:20" x14ac:dyDescent="0.2">
      <c r="A39" s="3" t="s">
        <v>126</v>
      </c>
      <c r="B39" s="3">
        <v>0.76025763916489375</v>
      </c>
      <c r="C39" s="3">
        <v>0.83585982070089648</v>
      </c>
      <c r="D39" s="3">
        <v>0.65220076584180842</v>
      </c>
      <c r="E39" s="3">
        <v>0.69250092151428688</v>
      </c>
      <c r="F39" s="3">
        <v>0.72547307132459971</v>
      </c>
      <c r="G39" s="3">
        <v>0.79318609827084408</v>
      </c>
      <c r="H39" s="3">
        <v>0.80405375372260823</v>
      </c>
      <c r="I39" s="3">
        <v>0.75163594286170299</v>
      </c>
      <c r="J39" s="3">
        <v>0.65305597412620819</v>
      </c>
      <c r="K39" s="3">
        <v>0.79654164832085816</v>
      </c>
      <c r="L39" s="3">
        <v>0.47085116500237756</v>
      </c>
      <c r="M39" s="3">
        <v>0.49690210656753409</v>
      </c>
      <c r="N39" s="3">
        <v>0.25856515373352856</v>
      </c>
      <c r="O39" s="3">
        <v>0.21034241788958771</v>
      </c>
      <c r="P39" s="3">
        <v>0.27636958299264103</v>
      </c>
      <c r="Q39" s="3">
        <v>0.34538711172925357</v>
      </c>
      <c r="R39" s="3">
        <v>0.4152284263959391</v>
      </c>
      <c r="S39" s="3">
        <v>0.4756814537680385</v>
      </c>
      <c r="T39" s="3">
        <v>0.46078933880061507</v>
      </c>
    </row>
    <row r="40" spans="1:20" x14ac:dyDescent="0.2">
      <c r="A40" s="2" t="s">
        <v>125</v>
      </c>
      <c r="B40" s="2">
        <v>2.2624105748629116E-2</v>
      </c>
      <c r="C40" s="2">
        <v>2.7452159102294361E-2</v>
      </c>
      <c r="D40" s="2">
        <v>2.4993088194636439E-2</v>
      </c>
      <c r="E40" s="2">
        <v>2.5334608030592735E-2</v>
      </c>
      <c r="F40" s="2">
        <v>3.2185411217669282E-2</v>
      </c>
      <c r="G40" s="2">
        <v>3.8388193350468454E-2</v>
      </c>
      <c r="H40" s="2">
        <v>4.4549860781685061E-2</v>
      </c>
      <c r="I40" s="2">
        <v>7.1509009009009014E-2</v>
      </c>
      <c r="J40" s="2">
        <v>0.16318119371088383</v>
      </c>
      <c r="K40" s="2">
        <v>0.2119613016710642</v>
      </c>
      <c r="L40" s="2">
        <v>0.25582398619499569</v>
      </c>
      <c r="M40" s="2">
        <v>0.34808510638297874</v>
      </c>
      <c r="N40" s="2">
        <v>0.32686980609418281</v>
      </c>
      <c r="O40" s="2">
        <v>0.34776334776334777</v>
      </c>
      <c r="P40" s="2">
        <v>0.15426997245179064</v>
      </c>
      <c r="Q40" s="2">
        <v>0.15490196078431373</v>
      </c>
      <c r="R40" s="2">
        <v>0.41726618705035973</v>
      </c>
      <c r="S40" s="2">
        <v>0.34134615384615385</v>
      </c>
      <c r="T40" s="2">
        <v>0.25342465753424659</v>
      </c>
    </row>
    <row r="41" spans="1:20" x14ac:dyDescent="0.2">
      <c r="A41" s="2" t="s">
        <v>124</v>
      </c>
      <c r="B41" s="2">
        <v>9.7515926557828671E-3</v>
      </c>
      <c r="C41" s="2">
        <v>1.062550897739171E-2</v>
      </c>
      <c r="D41" s="2">
        <v>1.2619001088807615E-2</v>
      </c>
      <c r="E41" s="2">
        <v>1.2769930427973376E-2</v>
      </c>
      <c r="F41" s="2">
        <v>1.6138433515482695E-2</v>
      </c>
      <c r="G41" s="2">
        <v>1.9382116543871401E-2</v>
      </c>
      <c r="H41" s="2">
        <v>1.9117581979908836E-2</v>
      </c>
      <c r="I41" s="2">
        <v>3.0458557175748274E-2</v>
      </c>
      <c r="J41" s="2">
        <v>6.061465184849172E-2</v>
      </c>
      <c r="K41" s="2">
        <v>5.460725075528701E-2</v>
      </c>
      <c r="L41" s="2">
        <v>8.6899179366940207E-2</v>
      </c>
      <c r="M41" s="2">
        <v>9.5806980557507609E-2</v>
      </c>
      <c r="N41" s="2">
        <v>9.3650793650793651E-2</v>
      </c>
      <c r="O41" s="2">
        <v>0.10194585448392555</v>
      </c>
      <c r="P41" s="2">
        <v>4.7945205479452052E-2</v>
      </c>
      <c r="Q41" s="2">
        <v>3.7744863831820352E-2</v>
      </c>
      <c r="R41" s="2">
        <v>3.9083557951482481E-2</v>
      </c>
      <c r="S41" s="2">
        <v>4.1789287816362569E-2</v>
      </c>
      <c r="T41" s="2">
        <v>2.4230517354289455E-2</v>
      </c>
    </row>
    <row r="42" spans="1:20" x14ac:dyDescent="0.2">
      <c r="A42" s="2" t="s">
        <v>123</v>
      </c>
      <c r="B42" s="2">
        <v>7.0997150997150996E-2</v>
      </c>
      <c r="C42" s="2">
        <v>5.4745254745254747E-2</v>
      </c>
      <c r="D42" s="2">
        <v>0.11786179921773142</v>
      </c>
      <c r="E42" s="2">
        <v>8.5072231139646876E-2</v>
      </c>
      <c r="F42" s="2">
        <v>7.3332229763284226E-2</v>
      </c>
      <c r="G42" s="2">
        <v>6.7052860246198401E-2</v>
      </c>
      <c r="H42" s="2">
        <v>7.43801652892562E-2</v>
      </c>
      <c r="I42" s="2">
        <v>0.1555991178632688</v>
      </c>
      <c r="J42" s="2">
        <v>0.22567025543592992</v>
      </c>
      <c r="K42" s="2">
        <v>0.23767258382642997</v>
      </c>
      <c r="L42" s="2">
        <v>0.61642411642411643</v>
      </c>
      <c r="M42" s="2">
        <v>0.65439999999999998</v>
      </c>
      <c r="N42" s="2">
        <v>1.2620320855614973</v>
      </c>
      <c r="O42" s="2">
        <v>1.5548387096774194</v>
      </c>
      <c r="P42" s="2">
        <v>0.7133757961783439</v>
      </c>
      <c r="Q42" s="2">
        <v>0.49685534591194969</v>
      </c>
      <c r="R42" s="2">
        <v>0.36249999999999999</v>
      </c>
      <c r="S42" s="2">
        <v>0.44654088050314467</v>
      </c>
      <c r="T42" s="2">
        <v>0.21022727272727273</v>
      </c>
    </row>
    <row r="43" spans="1:20" x14ac:dyDescent="0.2">
      <c r="A43" s="3" t="s">
        <v>122</v>
      </c>
      <c r="B43" s="3">
        <v>0.11845915444456619</v>
      </c>
      <c r="C43" s="3">
        <v>0.11131577926862372</v>
      </c>
      <c r="D43" s="3">
        <v>6.0610290627879058E-2</v>
      </c>
      <c r="E43" s="3">
        <v>4.6170526759630154E-2</v>
      </c>
      <c r="F43" s="3">
        <v>6.2076502732240441E-2</v>
      </c>
      <c r="G43" s="3">
        <v>8.271935699933021E-2</v>
      </c>
      <c r="H43" s="3">
        <v>9.6694251449307433E-2</v>
      </c>
      <c r="I43" s="3">
        <v>5.8854566385264775E-2</v>
      </c>
      <c r="J43" s="3">
        <v>5.2222726241778178E-2</v>
      </c>
      <c r="K43" s="3">
        <v>5.1283987915407857E-2</v>
      </c>
      <c r="L43" s="3">
        <v>3.399765533411489E-2</v>
      </c>
      <c r="M43" s="3">
        <v>3.8182244085265868E-2</v>
      </c>
      <c r="N43" s="3">
        <v>3.0555555555555555E-2</v>
      </c>
      <c r="O43" s="3">
        <v>2.2419627749576988E-2</v>
      </c>
      <c r="P43" s="3">
        <v>1.6267123287671232E-2</v>
      </c>
      <c r="Q43" s="3">
        <v>1.1944577161968466E-2</v>
      </c>
      <c r="R43" s="3">
        <v>8.0862533692722376E-3</v>
      </c>
      <c r="S43" s="3">
        <v>8.828722778104767E-3</v>
      </c>
      <c r="T43" s="3">
        <v>7.8585461689587421E-3</v>
      </c>
    </row>
    <row r="44" spans="1:20" x14ac:dyDescent="0.2">
      <c r="A44" s="2" t="s">
        <v>121</v>
      </c>
      <c r="B44" s="2">
        <v>43.647577238532655</v>
      </c>
      <c r="C44" s="2">
        <v>20.489864971261419</v>
      </c>
      <c r="D44" s="2">
        <v>21.007402299469398</v>
      </c>
      <c r="E44" s="2">
        <v>18.737922742829099</v>
      </c>
      <c r="F44" s="2">
        <v>15.010075616659847</v>
      </c>
      <c r="G44" s="2">
        <v>9.9247390662690158</v>
      </c>
      <c r="H44" s="2">
        <v>9.8292642268653196</v>
      </c>
      <c r="I44" s="2">
        <v>20.513895355955096</v>
      </c>
      <c r="J44" s="2">
        <v>6.8615766823596189</v>
      </c>
      <c r="K44" s="2"/>
      <c r="L44" s="2">
        <v>4.5560586535453487</v>
      </c>
      <c r="M44" s="2">
        <v>1.7452951673988251</v>
      </c>
      <c r="N44" s="2">
        <v>2.3757920269042998</v>
      </c>
      <c r="O44" s="2">
        <v>2.2594217561623835</v>
      </c>
      <c r="P44" s="2">
        <v>2.0373243594494221</v>
      </c>
      <c r="Q44" s="2">
        <v>1.5750944467127199</v>
      </c>
      <c r="R44" s="2"/>
      <c r="S44" s="2">
        <v>0.56398016887546087</v>
      </c>
      <c r="T44" s="2"/>
    </row>
    <row r="45" spans="1:20" x14ac:dyDescent="0.2">
      <c r="A45" s="3" t="s">
        <v>120</v>
      </c>
      <c r="B45" s="3">
        <v>0.16364220124574586</v>
      </c>
      <c r="C45" s="3">
        <v>5.5747426828633338E-2</v>
      </c>
      <c r="D45" s="3">
        <v>0.22521560977565266</v>
      </c>
      <c r="E45" s="3">
        <v>0.19713009756345393</v>
      </c>
      <c r="F45" s="3">
        <v>0.12176625714412001</v>
      </c>
      <c r="G45" s="3">
        <v>5.6928902693273199E-2</v>
      </c>
      <c r="H45" s="3">
        <v>5.4338050835423868E-2</v>
      </c>
      <c r="I45" s="3">
        <v>0.10745825137069434</v>
      </c>
      <c r="J45" s="3">
        <v>4.4716547458433405E-2</v>
      </c>
      <c r="K45" s="3">
        <v>-8.6392632334924592E-3</v>
      </c>
      <c r="L45" s="3">
        <v>0.16361301995562341</v>
      </c>
      <c r="M45" s="3">
        <v>4.156462998689877E-2</v>
      </c>
      <c r="N45" s="3">
        <v>0.17923511668070569</v>
      </c>
      <c r="O45" s="3">
        <v>0.22253191120890761</v>
      </c>
      <c r="P45" s="3">
        <v>0.27389466922916145</v>
      </c>
      <c r="Q45" s="3">
        <v>0.25767543859649122</v>
      </c>
      <c r="R45" s="3">
        <v>2.8152492668621701E-2</v>
      </c>
      <c r="S45" s="3">
        <v>9.8381877022653719E-2</v>
      </c>
      <c r="T45" s="3">
        <v>-6.4259485924112611E-2</v>
      </c>
    </row>
    <row r="46" spans="1:20" x14ac:dyDescent="0.2">
      <c r="A46" s="3" t="s">
        <v>119</v>
      </c>
      <c r="B46" s="3">
        <v>0.56380125798429959</v>
      </c>
      <c r="C46" s="3">
        <v>0.2168156239655743</v>
      </c>
      <c r="D46" s="3">
        <v>0.5557002486089736</v>
      </c>
      <c r="E46" s="3">
        <v>0.51034452139939623</v>
      </c>
      <c r="F46" s="3">
        <v>0.32468909669333845</v>
      </c>
      <c r="G46" s="3">
        <v>0.18848700967906265</v>
      </c>
      <c r="H46" s="3">
        <v>0.20597353497164461</v>
      </c>
      <c r="I46" s="3">
        <v>0.98473772993814768</v>
      </c>
      <c r="J46" s="3">
        <v>8.9618644067796613E-2</v>
      </c>
      <c r="K46" s="3">
        <v>-0.17106039740310841</v>
      </c>
      <c r="L46" s="3">
        <v>0.24514737598849748</v>
      </c>
      <c r="M46" s="3">
        <v>4.9829480863963625E-2</v>
      </c>
      <c r="N46" s="3">
        <v>0.21800947867298578</v>
      </c>
      <c r="O46" s="3">
        <v>0.2491150442477876</v>
      </c>
      <c r="P46" s="3">
        <v>0.31186440677966104</v>
      </c>
      <c r="Q46" s="3">
        <v>0.29390934844192634</v>
      </c>
      <c r="R46" s="3">
        <v>-3.8194444444444448E-2</v>
      </c>
      <c r="S46" s="3">
        <v>8.4607543323139647E-2</v>
      </c>
      <c r="T46" s="3">
        <v>-0.15114068441064638</v>
      </c>
    </row>
    <row r="47" spans="1:20" x14ac:dyDescent="0.2">
      <c r="A47" s="2" t="s">
        <v>118</v>
      </c>
      <c r="B47" s="2">
        <v>-13.449596774193548</v>
      </c>
      <c r="C47" s="2">
        <v>-17.947664359861591</v>
      </c>
      <c r="D47" s="2">
        <v>-7.5589156626506027</v>
      </c>
      <c r="E47" s="2">
        <v>-8.5435207823960884</v>
      </c>
      <c r="F47" s="2">
        <v>-8.8332317073170739</v>
      </c>
      <c r="G47" s="2">
        <v>-10.494962686567165</v>
      </c>
      <c r="H47" s="2">
        <v>-8.690138190954773</v>
      </c>
      <c r="I47" s="2">
        <v>-3.8562799043062199</v>
      </c>
      <c r="J47" s="2">
        <v>-4.3132098765432101</v>
      </c>
      <c r="K47" s="2">
        <v>-6.1905054644808741</v>
      </c>
      <c r="L47" s="2">
        <v>-1.118465909090909</v>
      </c>
      <c r="M47" s="2">
        <v>-1.9019920318725099</v>
      </c>
      <c r="N47" s="2">
        <v>0.36746031746031749</v>
      </c>
      <c r="O47" s="2">
        <v>0.41112244897959183</v>
      </c>
      <c r="P47" s="2">
        <v>0.29969387755102039</v>
      </c>
      <c r="Q47" s="2">
        <v>9.285714285714286E-2</v>
      </c>
      <c r="R47" s="2">
        <v>-0.1067351598173516</v>
      </c>
      <c r="S47" s="2">
        <v>-0.30186915887850468</v>
      </c>
      <c r="T47" s="2">
        <v>-0.33434579439252338</v>
      </c>
    </row>
    <row r="48" spans="1:20" x14ac:dyDescent="0.2">
      <c r="A48" s="1" t="s">
        <v>117</v>
      </c>
      <c r="B48" s="1">
        <v>13059000000</v>
      </c>
      <c r="C48" s="1">
        <v>2898000000</v>
      </c>
      <c r="D48" s="1">
        <v>13442000000</v>
      </c>
      <c r="E48" s="1">
        <v>11452000000</v>
      </c>
      <c r="F48" s="1">
        <v>10305000000</v>
      </c>
      <c r="G48" s="1">
        <v>5524000000</v>
      </c>
      <c r="H48" s="1">
        <v>3018000000</v>
      </c>
      <c r="I48" s="1">
        <v>6769000000</v>
      </c>
      <c r="J48" s="1">
        <v>13294000000</v>
      </c>
      <c r="K48" s="1">
        <v>4047000000</v>
      </c>
      <c r="L48" s="1">
        <v>2656000000</v>
      </c>
      <c r="M48" s="1">
        <v>2808000000</v>
      </c>
      <c r="N48" s="1">
        <v>1395000000</v>
      </c>
      <c r="O48" s="1">
        <v>1345000000</v>
      </c>
      <c r="P48" s="1">
        <v>1043000000</v>
      </c>
      <c r="Q48" s="1">
        <v>522000000</v>
      </c>
      <c r="R48" s="1">
        <v>231000000</v>
      </c>
      <c r="S48" s="1">
        <v>291000000</v>
      </c>
      <c r="T48" s="1">
        <v>396000000</v>
      </c>
    </row>
    <row r="49" spans="1:20" x14ac:dyDescent="0.2">
      <c r="A49" s="1" t="s">
        <v>116</v>
      </c>
      <c r="B49" s="1">
        <v>-48782000000</v>
      </c>
      <c r="C49" s="1">
        <v>-70778000000</v>
      </c>
      <c r="D49" s="1">
        <v>-23532000000</v>
      </c>
      <c r="E49" s="1">
        <v>-28016000000</v>
      </c>
      <c r="F49" s="1">
        <v>-29835000000</v>
      </c>
      <c r="G49" s="1">
        <v>-36328000000</v>
      </c>
      <c r="H49" s="1">
        <v>-29298000000</v>
      </c>
      <c r="I49" s="1">
        <v>-11018000000</v>
      </c>
      <c r="J49" s="1">
        <v>-12352000000</v>
      </c>
      <c r="K49" s="1">
        <v>-17924000000</v>
      </c>
      <c r="L49" s="1">
        <v>-237000000</v>
      </c>
      <c r="M49" s="1">
        <v>-1970000000</v>
      </c>
      <c r="N49" s="1">
        <v>2003000000</v>
      </c>
      <c r="O49" s="1">
        <v>1817000000</v>
      </c>
      <c r="P49" s="1">
        <v>1330000000</v>
      </c>
      <c r="Q49" s="1">
        <v>760000000</v>
      </c>
      <c r="R49" s="1">
        <v>222000000</v>
      </c>
      <c r="S49" s="1">
        <v>-110000000</v>
      </c>
      <c r="T49" s="1">
        <v>-206000000</v>
      </c>
    </row>
    <row r="50" spans="1:20" x14ac:dyDescent="0.2">
      <c r="A50" s="1" t="s">
        <v>115</v>
      </c>
      <c r="B50" s="1">
        <v>-58227000000</v>
      </c>
      <c r="C50" s="1">
        <v>-78372000000</v>
      </c>
      <c r="D50" s="1">
        <v>-28026000000</v>
      </c>
      <c r="E50" s="1">
        <v>-32036000000</v>
      </c>
      <c r="F50" s="1">
        <v>-33995000000</v>
      </c>
      <c r="G50" s="1">
        <v>-40137000000</v>
      </c>
      <c r="H50" s="1">
        <v>-32606000000</v>
      </c>
      <c r="I50" s="1">
        <v>-14360000000</v>
      </c>
      <c r="J50" s="1">
        <v>-15409000000</v>
      </c>
      <c r="K50" s="1">
        <v>-20965000000</v>
      </c>
      <c r="L50" s="1">
        <v>-2026000000</v>
      </c>
      <c r="M50" s="1">
        <v>-3424000000</v>
      </c>
      <c r="N50" s="1">
        <v>1289000000</v>
      </c>
      <c r="O50" s="1">
        <v>1248000000</v>
      </c>
      <c r="P50" s="1">
        <v>953000000</v>
      </c>
      <c r="Q50" s="1">
        <v>435000000</v>
      </c>
      <c r="R50" s="1">
        <v>-66000000</v>
      </c>
      <c r="S50" s="1">
        <v>-472000000</v>
      </c>
      <c r="T50" s="1">
        <v>-541000000</v>
      </c>
    </row>
    <row r="51" spans="1:20" x14ac:dyDescent="0.2">
      <c r="A51" s="1" t="s">
        <v>114</v>
      </c>
      <c r="B51" s="1">
        <v>9241000000</v>
      </c>
      <c r="C51" s="1">
        <v>4743000000</v>
      </c>
      <c r="D51" s="1">
        <v>3056000000</v>
      </c>
      <c r="E51" s="1">
        <v>2514500000</v>
      </c>
      <c r="F51" s="1">
        <v>2184000000</v>
      </c>
      <c r="G51" s="1">
        <v>2778000000</v>
      </c>
      <c r="H51" s="1">
        <v>3292000000</v>
      </c>
      <c r="I51" s="1">
        <v>2886500000</v>
      </c>
      <c r="J51" s="1">
        <v>2314500000</v>
      </c>
      <c r="K51" s="1">
        <v>1600000000</v>
      </c>
      <c r="L51" s="1">
        <v>900500000</v>
      </c>
      <c r="M51" s="1">
        <v>600000000</v>
      </c>
      <c r="N51" s="1">
        <v>388500000</v>
      </c>
      <c r="O51" s="1">
        <v>345000000</v>
      </c>
      <c r="P51" s="1">
        <v>310500000</v>
      </c>
      <c r="Q51" s="1">
        <v>240500000</v>
      </c>
      <c r="R51" s="1">
        <v>187500000</v>
      </c>
      <c r="S51" s="1">
        <v>201000000</v>
      </c>
      <c r="T51" s="1">
        <v>202500000</v>
      </c>
    </row>
    <row r="52" spans="1:20" x14ac:dyDescent="0.2">
      <c r="A52" s="1" t="s">
        <v>113</v>
      </c>
      <c r="B52" s="1">
        <v>1611000000</v>
      </c>
      <c r="C52" s="1">
        <v>1436000000</v>
      </c>
      <c r="D52" s="1">
        <v>1104000000</v>
      </c>
      <c r="E52" s="1">
        <v>1042000000</v>
      </c>
      <c r="F52" s="1">
        <v>961000000</v>
      </c>
      <c r="G52" s="1">
        <v>845500000</v>
      </c>
      <c r="H52" s="1">
        <v>833000000</v>
      </c>
      <c r="I52" s="1">
        <v>958000000</v>
      </c>
      <c r="J52" s="1">
        <v>1183000000</v>
      </c>
      <c r="K52" s="1">
        <v>939000000</v>
      </c>
      <c r="L52" s="1">
        <v>566000000</v>
      </c>
      <c r="M52" s="1">
        <v>396500000</v>
      </c>
      <c r="N52" s="1">
        <v>263000000</v>
      </c>
      <c r="O52" s="1">
        <v>234500000</v>
      </c>
      <c r="P52" s="1">
        <v>209500000</v>
      </c>
      <c r="Q52" s="1">
        <v>176000000</v>
      </c>
      <c r="R52" s="1">
        <v>164000000</v>
      </c>
      <c r="S52" s="1">
        <v>184000000</v>
      </c>
      <c r="T52" s="1">
        <v>179500000</v>
      </c>
    </row>
    <row r="53" spans="1:20" x14ac:dyDescent="0.2">
      <c r="A53" s="1" t="s">
        <v>112</v>
      </c>
      <c r="B53" s="1">
        <v>2015000000</v>
      </c>
      <c r="C53" s="1">
        <v>1829000000</v>
      </c>
      <c r="D53" s="1">
        <v>1911500000</v>
      </c>
      <c r="E53" s="1">
        <v>1611000000</v>
      </c>
      <c r="F53" s="1">
        <v>1150000000</v>
      </c>
      <c r="G53" s="1">
        <v>938500000</v>
      </c>
      <c r="H53" s="1">
        <v>999000000</v>
      </c>
      <c r="I53" s="1">
        <v>1285500000</v>
      </c>
      <c r="J53" s="1">
        <v>1423500000</v>
      </c>
      <c r="K53" s="1">
        <v>962000000</v>
      </c>
      <c r="L53" s="1">
        <v>521500000</v>
      </c>
      <c r="M53" s="1">
        <v>402000000</v>
      </c>
      <c r="N53" s="1">
        <v>239500000</v>
      </c>
      <c r="O53" s="1">
        <v>194000000</v>
      </c>
      <c r="P53" s="1">
        <v>191500000</v>
      </c>
      <c r="Q53" s="1">
        <v>175500000</v>
      </c>
      <c r="R53" s="1">
        <v>175000000</v>
      </c>
      <c r="S53" s="1">
        <v>164000000</v>
      </c>
      <c r="T53" s="1">
        <v>154500000</v>
      </c>
    </row>
    <row r="54" spans="1:20" x14ac:dyDescent="0.2">
      <c r="A54" s="2" t="s">
        <v>111</v>
      </c>
      <c r="B54" s="2">
        <v>69.415530546120493</v>
      </c>
      <c r="C54" s="2">
        <v>44.812890216000305</v>
      </c>
      <c r="D54" s="2">
        <v>32.139646556296938</v>
      </c>
      <c r="E54" s="2">
        <v>32.517242417853808</v>
      </c>
      <c r="F54" s="2">
        <v>27.537887067395264</v>
      </c>
      <c r="G54" s="2">
        <v>35.097329202947087</v>
      </c>
      <c r="H54" s="2">
        <v>52.641279815904767</v>
      </c>
      <c r="I54" s="2">
        <v>58.213018035303151</v>
      </c>
      <c r="J54" s="2">
        <v>50.664549784531644</v>
      </c>
      <c r="K54" s="2">
        <v>60.125755287009056</v>
      </c>
      <c r="L54" s="2">
        <v>54.503956623681127</v>
      </c>
      <c r="M54" s="2">
        <v>66.861091590536418</v>
      </c>
      <c r="N54" s="2">
        <v>60.543650793650791</v>
      </c>
      <c r="O54" s="2">
        <v>55.429357021996616</v>
      </c>
      <c r="P54" s="2">
        <v>51.71875</v>
      </c>
      <c r="Q54" s="2">
        <v>50.573339703774487</v>
      </c>
      <c r="R54" s="2">
        <v>46.977762803234498</v>
      </c>
      <c r="S54" s="2">
        <v>39.529134785167749</v>
      </c>
      <c r="T54" s="2">
        <v>52.108709888670596</v>
      </c>
    </row>
    <row r="55" spans="1:20" x14ac:dyDescent="0.2">
      <c r="A55" s="2" t="s">
        <v>110</v>
      </c>
      <c r="B55" s="2">
        <v>27.650172388675763</v>
      </c>
      <c r="C55" s="2">
        <v>31.819040125885127</v>
      </c>
      <c r="D55" s="2">
        <v>39.684607781471833</v>
      </c>
      <c r="E55" s="2">
        <v>32.793482175009004</v>
      </c>
      <c r="F55" s="2">
        <v>37.374127852159155</v>
      </c>
      <c r="G55" s="2">
        <v>29.419591207096026</v>
      </c>
      <c r="H55" s="2">
        <v>30.855744512556853</v>
      </c>
      <c r="I55" s="2">
        <v>29.264953040039543</v>
      </c>
      <c r="J55" s="2">
        <v>44.190314451627039</v>
      </c>
      <c r="K55" s="2">
        <v>63.05</v>
      </c>
      <c r="L55" s="2">
        <v>68.848975848364418</v>
      </c>
      <c r="M55" s="2">
        <v>78.58486622073579</v>
      </c>
      <c r="N55" s="2">
        <v>76.754916792738271</v>
      </c>
      <c r="O55" s="2">
        <v>74.075286415711957</v>
      </c>
      <c r="P55" s="2">
        <v>67.842724978973934</v>
      </c>
      <c r="Q55" s="2">
        <v>64.125998225377103</v>
      </c>
      <c r="R55" s="2">
        <v>60.833333333333329</v>
      </c>
      <c r="S55" s="2">
        <v>60.833333333333329</v>
      </c>
      <c r="T55" s="2">
        <v>60.781115879828327</v>
      </c>
    </row>
    <row r="56" spans="1:20" x14ac:dyDescent="0.2">
      <c r="A56" s="2" t="s">
        <v>109</v>
      </c>
      <c r="B56" s="2">
        <v>40.234545719419224</v>
      </c>
      <c r="C56" s="2">
        <v>33.695253081563074</v>
      </c>
      <c r="D56" s="2">
        <v>62.249078982837631</v>
      </c>
      <c r="E56" s="2">
        <v>63.253961109110556</v>
      </c>
      <c r="F56" s="2">
        <v>44.635583631906471</v>
      </c>
      <c r="G56" s="2">
        <v>35.296471268800616</v>
      </c>
      <c r="H56" s="2">
        <v>31.541427723947006</v>
      </c>
      <c r="I56" s="2">
        <v>40.559565002471572</v>
      </c>
      <c r="J56" s="2">
        <v>57.867316752492606</v>
      </c>
      <c r="K56" s="2">
        <v>70</v>
      </c>
      <c r="L56" s="2">
        <v>58.471415469275456</v>
      </c>
      <c r="M56" s="2">
        <v>79.195234113712374</v>
      </c>
      <c r="N56" s="2">
        <v>78.687594553706504</v>
      </c>
      <c r="O56" s="2">
        <v>57.945990180032737</v>
      </c>
      <c r="P56" s="2">
        <v>59.554247266610595</v>
      </c>
      <c r="Q56" s="2">
        <v>61.211180124223603</v>
      </c>
      <c r="R56" s="2">
        <v>63.993506493506487</v>
      </c>
      <c r="S56" s="2">
        <v>65.727969348659002</v>
      </c>
      <c r="T56" s="2">
        <v>43.862660944206013</v>
      </c>
    </row>
    <row r="57" spans="1:20" x14ac:dyDescent="0.2">
      <c r="A57" s="2" t="s">
        <v>108</v>
      </c>
      <c r="B57" s="2">
        <v>5.258189300411523</v>
      </c>
      <c r="C57" s="2">
        <v>8.1449778900821226</v>
      </c>
      <c r="D57" s="2">
        <v>11.356689917564998</v>
      </c>
      <c r="E57" s="2">
        <v>11.224814063556456</v>
      </c>
      <c r="F57" s="2">
        <v>13.25446644133269</v>
      </c>
      <c r="G57" s="2">
        <v>10.399651719634306</v>
      </c>
      <c r="H57" s="2">
        <v>6.9337220006136855</v>
      </c>
      <c r="I57" s="2">
        <v>6.2700751879699252</v>
      </c>
      <c r="J57" s="2">
        <v>7.2042483660130721</v>
      </c>
      <c r="K57" s="2">
        <v>6.0706098120128384</v>
      </c>
      <c r="L57" s="2">
        <v>6.6967615309126591</v>
      </c>
      <c r="M57" s="2">
        <v>5.4590792838874682</v>
      </c>
      <c r="N57" s="2">
        <v>6.0287081339712918</v>
      </c>
      <c r="O57" s="2">
        <v>6.584958217270195</v>
      </c>
      <c r="P57" s="2">
        <v>7.0574018126888216</v>
      </c>
      <c r="Q57" s="2">
        <v>7.2172413793103445</v>
      </c>
      <c r="R57" s="2">
        <v>7.7696335078534036</v>
      </c>
      <c r="S57" s="2">
        <v>9.2336956521739122</v>
      </c>
      <c r="T57" s="2">
        <v>7.0045871559633026</v>
      </c>
    </row>
    <row r="58" spans="1:20" x14ac:dyDescent="0.2">
      <c r="A58" s="2" t="s">
        <v>107</v>
      </c>
      <c r="B58" s="2">
        <v>13.200641025641026</v>
      </c>
      <c r="C58" s="2">
        <v>11.471119133574007</v>
      </c>
      <c r="D58" s="2">
        <v>9.197520661157025</v>
      </c>
      <c r="E58" s="2">
        <v>11.130260521042084</v>
      </c>
      <c r="F58" s="2">
        <v>9.7661141804788212</v>
      </c>
      <c r="G58" s="2">
        <v>12.406698564593301</v>
      </c>
      <c r="H58" s="2">
        <v>11.829239766081871</v>
      </c>
      <c r="I58" s="2">
        <v>12.472256473489519</v>
      </c>
      <c r="J58" s="2">
        <v>8.2597285067873312</v>
      </c>
      <c r="K58" s="2">
        <v>5.7890563045202219</v>
      </c>
      <c r="L58" s="2">
        <v>5.3014586709886551</v>
      </c>
      <c r="M58" s="2">
        <v>4.6446601941747572</v>
      </c>
      <c r="N58" s="2">
        <v>4.7553956834532372</v>
      </c>
      <c r="O58" s="2">
        <v>4.92741935483871</v>
      </c>
      <c r="P58" s="2">
        <v>5.380090497737557</v>
      </c>
      <c r="Q58" s="2">
        <v>5.691919191919192</v>
      </c>
      <c r="R58" s="2">
        <v>6</v>
      </c>
      <c r="S58" s="2">
        <v>6</v>
      </c>
      <c r="T58" s="2">
        <v>6.0051546391752577</v>
      </c>
    </row>
    <row r="59" spans="1:20" x14ac:dyDescent="0.2">
      <c r="A59" s="2" t="s">
        <v>106</v>
      </c>
      <c r="B59" s="2">
        <v>9.0718061674008812</v>
      </c>
      <c r="C59" s="2">
        <v>10.832386363636363</v>
      </c>
      <c r="D59" s="2">
        <v>5.8635405690200209</v>
      </c>
      <c r="E59" s="2">
        <v>5.7703896103896106</v>
      </c>
      <c r="F59" s="2">
        <v>8.17733230531997</v>
      </c>
      <c r="G59" s="2">
        <v>10.340977068793618</v>
      </c>
      <c r="H59" s="2">
        <v>11.572082379862699</v>
      </c>
      <c r="I59" s="2">
        <v>8.9991103202846983</v>
      </c>
      <c r="J59" s="2">
        <v>6.3075328265376642</v>
      </c>
      <c r="K59" s="2">
        <v>5.2142857142857144</v>
      </c>
      <c r="L59" s="2">
        <v>6.2423664122137401</v>
      </c>
      <c r="M59" s="2">
        <v>4.6088631984585744</v>
      </c>
      <c r="N59" s="2">
        <v>4.6385964912280704</v>
      </c>
      <c r="O59" s="2">
        <v>6.2989690721649483</v>
      </c>
      <c r="P59" s="2">
        <v>6.1288659793814437</v>
      </c>
      <c r="Q59" s="2">
        <v>5.9629629629629628</v>
      </c>
      <c r="R59" s="2">
        <v>5.7037037037037033</v>
      </c>
      <c r="S59" s="2">
        <v>5.5531914893617023</v>
      </c>
      <c r="T59" s="2">
        <v>8.3214285714285712</v>
      </c>
    </row>
    <row r="60" spans="1:20" x14ac:dyDescent="0.2">
      <c r="A60" s="3" t="s">
        <v>105</v>
      </c>
      <c r="B60" s="3">
        <v>0.2844806377011268</v>
      </c>
      <c r="C60" s="3">
        <v>8.7103637814356219E-2</v>
      </c>
      <c r="D60" s="3">
        <v>0.58704352176088048</v>
      </c>
      <c r="E60" s="3">
        <v>0.50618697432735915</v>
      </c>
      <c r="F60" s="3">
        <v>0.26955860578654606</v>
      </c>
      <c r="G60" s="3">
        <v>0.12384419061963935</v>
      </c>
      <c r="H60" s="3">
        <v>0.10909090909090909</v>
      </c>
      <c r="I60" s="3">
        <v>0.45987920621225192</v>
      </c>
      <c r="J60" s="3">
        <v>8.3411387724919892E-2</v>
      </c>
      <c r="K60" s="3">
        <v>-9.2049544780859624E-2</v>
      </c>
      <c r="L60" s="3">
        <v>0.28935086974968177</v>
      </c>
      <c r="M60" s="3">
        <v>8.1097748997841501E-2</v>
      </c>
      <c r="N60" s="3">
        <v>0.19126819126819128</v>
      </c>
      <c r="O60" s="3">
        <v>0.23274080198429103</v>
      </c>
      <c r="P60" s="3">
        <v>0.27517447657028915</v>
      </c>
      <c r="Q60" s="3">
        <v>0.27574750830564781</v>
      </c>
      <c r="R60" s="3">
        <v>-4.230769230769231E-2</v>
      </c>
      <c r="S60" s="3">
        <v>0.10641025641025641</v>
      </c>
      <c r="T60" s="3">
        <v>-0.22943722943722944</v>
      </c>
    </row>
    <row r="61" spans="1:20" x14ac:dyDescent="0.2">
      <c r="A61" s="2" t="s">
        <v>104</v>
      </c>
      <c r="B61" s="2">
        <v>0.1322156196943973</v>
      </c>
      <c r="C61" s="2">
        <v>0.1185121107266436</v>
      </c>
      <c r="D61" s="2">
        <v>0.10891566265060242</v>
      </c>
      <c r="E61" s="2">
        <v>0.10366748166259168</v>
      </c>
      <c r="F61" s="2">
        <v>0.10804878048780488</v>
      </c>
      <c r="G61" s="2">
        <v>0.11517412935323383</v>
      </c>
      <c r="H61" s="2">
        <v>0.10854271356783919</v>
      </c>
      <c r="I61" s="2">
        <v>0.15191387559808611</v>
      </c>
      <c r="J61" s="2">
        <v>0.26395061728395064</v>
      </c>
      <c r="K61" s="2">
        <v>0.19754098360655736</v>
      </c>
      <c r="L61" s="2">
        <v>0.22462121212121211</v>
      </c>
      <c r="M61" s="2">
        <v>0.16294820717131475</v>
      </c>
      <c r="N61" s="2">
        <v>9.3650793650793651E-2</v>
      </c>
      <c r="O61" s="2">
        <v>9.836734693877551E-2</v>
      </c>
      <c r="P61" s="2">
        <v>4.5714285714285714E-2</v>
      </c>
      <c r="Q61" s="2">
        <v>3.319327731092437E-2</v>
      </c>
      <c r="R61" s="2">
        <v>2.6484018264840183E-2</v>
      </c>
      <c r="S61" s="2">
        <v>3.3177570093457946E-2</v>
      </c>
      <c r="T61" s="2">
        <v>1.7289719626168223E-2</v>
      </c>
    </row>
  </sheetData>
  <mergeCells count="1">
    <mergeCell ref="B4:T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1DE4-FB0B-5744-8A2E-27945CF252DE}">
  <dimension ref="A1:T40"/>
  <sheetViews>
    <sheetView workbookViewId="0"/>
  </sheetViews>
  <sheetFormatPr baseColWidth="10" defaultRowHeight="16" x14ac:dyDescent="0.2"/>
  <cols>
    <col min="1" max="1" width="38.1640625" bestFit="1" customWidth="1"/>
    <col min="2" max="2" width="14.5" bestFit="1" customWidth="1"/>
    <col min="3" max="10" width="9.1640625" bestFit="1" customWidth="1"/>
    <col min="11" max="12" width="10.1640625" bestFit="1" customWidth="1"/>
    <col min="13" max="13" width="11.1640625" bestFit="1" customWidth="1"/>
    <col min="14" max="15" width="10.1640625" bestFit="1" customWidth="1"/>
    <col min="16" max="17" width="9.1640625" bestFit="1" customWidth="1"/>
    <col min="18" max="20" width="8.83203125" bestFit="1" customWidth="1"/>
  </cols>
  <sheetData>
    <row r="1" spans="1:20" x14ac:dyDescent="0.2">
      <c r="A1" s="9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x14ac:dyDescent="0.2">
      <c r="A2" t="s">
        <v>1</v>
      </c>
      <c r="B2" t="s">
        <v>2</v>
      </c>
    </row>
    <row r="3" spans="1:20" x14ac:dyDescent="0.2">
      <c r="A3" t="s">
        <v>3</v>
      </c>
      <c r="B3" t="str">
        <f>'AVGO - Income Statement FY'!B3</f>
        <v>USD</v>
      </c>
    </row>
    <row r="4" spans="1:20" x14ac:dyDescent="0.2">
      <c r="A4" t="s">
        <v>32</v>
      </c>
      <c r="B4" s="10" t="s">
        <v>33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x14ac:dyDescent="0.2">
      <c r="A5" t="s">
        <v>34</v>
      </c>
      <c r="B5" s="8">
        <v>45963</v>
      </c>
      <c r="C5" s="8">
        <v>45599</v>
      </c>
      <c r="D5" s="8">
        <v>45228</v>
      </c>
      <c r="E5" s="8">
        <v>44864</v>
      </c>
      <c r="F5" s="8">
        <v>44500</v>
      </c>
      <c r="G5" s="8">
        <v>44136</v>
      </c>
      <c r="H5" s="8">
        <v>43772</v>
      </c>
      <c r="I5" s="8">
        <v>43408</v>
      </c>
      <c r="J5" s="8">
        <v>43039</v>
      </c>
      <c r="K5" s="8">
        <v>42674</v>
      </c>
      <c r="L5" s="8">
        <v>42308</v>
      </c>
      <c r="M5" s="8">
        <v>41943</v>
      </c>
      <c r="N5" s="8">
        <v>41578</v>
      </c>
      <c r="O5" s="8">
        <v>41213</v>
      </c>
      <c r="P5" s="8">
        <v>40847</v>
      </c>
      <c r="Q5" s="8">
        <v>40482</v>
      </c>
      <c r="R5" s="8">
        <v>40117</v>
      </c>
      <c r="S5" s="8">
        <v>39752</v>
      </c>
      <c r="T5" s="8">
        <v>39386</v>
      </c>
    </row>
    <row r="7" spans="1:20" x14ac:dyDescent="0.2">
      <c r="A7" s="3" t="s">
        <v>194</v>
      </c>
      <c r="B7" s="3">
        <v>0.23874432853763525</v>
      </c>
      <c r="C7" s="3">
        <v>0.43985035874815043</v>
      </c>
      <c r="D7" s="3">
        <v>7.8788061319760266E-2</v>
      </c>
      <c r="E7" s="3">
        <v>0.20958105646630237</v>
      </c>
      <c r="F7" s="3">
        <v>0.14911252511721365</v>
      </c>
      <c r="G7" s="3">
        <v>5.7131477629773865E-2</v>
      </c>
      <c r="H7" s="3">
        <v>8.389293937068304E-2</v>
      </c>
      <c r="I7" s="3">
        <v>0.18212746654570197</v>
      </c>
      <c r="J7" s="3">
        <v>0.33202416918429001</v>
      </c>
      <c r="K7" s="3">
        <v>0.94021101992966005</v>
      </c>
      <c r="L7" s="3">
        <v>0.59850081986413683</v>
      </c>
      <c r="M7" s="3">
        <v>0.69404761904761902</v>
      </c>
      <c r="N7" s="3">
        <v>6.5989847715736044E-2</v>
      </c>
      <c r="O7" s="3">
        <v>1.1986301369863013E-2</v>
      </c>
      <c r="P7" s="3">
        <v>0.11610129001433349</v>
      </c>
      <c r="Q7" s="3">
        <v>0.41037735849056606</v>
      </c>
      <c r="R7" s="3">
        <v>-0.12654502648616833</v>
      </c>
      <c r="S7" s="3">
        <v>0.11263916175507531</v>
      </c>
      <c r="T7" s="3">
        <v>9.253139458030404E-3</v>
      </c>
    </row>
    <row r="8" spans="1:20" x14ac:dyDescent="0.2">
      <c r="A8" s="3" t="s">
        <v>193</v>
      </c>
      <c r="B8" s="3">
        <v>0.33175428342920421</v>
      </c>
      <c r="C8" s="3">
        <v>0.31668691778047792</v>
      </c>
      <c r="D8" s="3">
        <v>0.11744738628649015</v>
      </c>
      <c r="E8" s="3">
        <v>0.31174305390643553</v>
      </c>
      <c r="F8" s="3">
        <v>0.24622669428825097</v>
      </c>
      <c r="G8" s="3">
        <v>8.2752543459104377E-2</v>
      </c>
      <c r="H8" s="3">
        <v>0.16304854188018261</v>
      </c>
      <c r="I8" s="3">
        <v>0.26137031378540371</v>
      </c>
      <c r="J8" s="3">
        <v>0.43249158249158248</v>
      </c>
      <c r="K8" s="3">
        <v>0.67182662538699689</v>
      </c>
      <c r="L8" s="3">
        <v>0.89291422482685134</v>
      </c>
      <c r="M8" s="3">
        <v>0.56677796327212016</v>
      </c>
      <c r="N8" s="3">
        <v>4.9036777583187391E-2</v>
      </c>
      <c r="O8" s="3">
        <v>-4.3591979075850041E-3</v>
      </c>
      <c r="P8" s="3">
        <v>0.18737060041407869</v>
      </c>
      <c r="Q8" s="3">
        <v>0.72499999999999998</v>
      </c>
      <c r="R8" s="3">
        <v>-0.14503816793893129</v>
      </c>
      <c r="S8" s="3">
        <v>0.80939226519337015</v>
      </c>
      <c r="T8" s="3">
        <v>-6.9408740359897178E-2</v>
      </c>
    </row>
    <row r="9" spans="1:20" x14ac:dyDescent="0.2">
      <c r="A9" s="3" t="s">
        <v>192</v>
      </c>
      <c r="B9" s="3">
        <v>0.87028624990987091</v>
      </c>
      <c r="C9" s="3">
        <v>-0.17046474071415754</v>
      </c>
      <c r="D9" s="3">
        <v>0.17980382471244091</v>
      </c>
      <c r="E9" s="3">
        <v>0.63826589595375727</v>
      </c>
      <c r="F9" s="3">
        <v>1.0497630331753554</v>
      </c>
      <c r="G9" s="3">
        <v>0.14986376021798364</v>
      </c>
      <c r="H9" s="3">
        <v>-0.29054707133191571</v>
      </c>
      <c r="I9" s="3">
        <v>1.2698551996489689</v>
      </c>
      <c r="J9" s="3">
        <v>5.3659003831417627</v>
      </c>
      <c r="K9" s="3">
        <v>-1.3148371531966225</v>
      </c>
      <c r="L9" s="3">
        <v>2.668141592920354</v>
      </c>
      <c r="M9" s="3">
        <v>-0.20701754385964913</v>
      </c>
      <c r="N9" s="3">
        <v>-2.7303754266211604E-2</v>
      </c>
      <c r="O9" s="3">
        <v>3.9007092198581561E-2</v>
      </c>
      <c r="P9" s="3">
        <v>0.2818181818181818</v>
      </c>
      <c r="Q9" s="3">
        <v>9.7317073170731714</v>
      </c>
      <c r="R9" s="3">
        <v>-0.71917808219178081</v>
      </c>
      <c r="S9" s="3">
        <v>2.4174757281553396</v>
      </c>
      <c r="T9" s="3">
        <v>1.9047619047619049E-2</v>
      </c>
    </row>
    <row r="10" spans="1:20" x14ac:dyDescent="0.2">
      <c r="A10" s="3" t="s">
        <v>191</v>
      </c>
      <c r="B10" s="3">
        <v>0.89289162890886131</v>
      </c>
      <c r="C10" s="3">
        <v>-0.16930955759856853</v>
      </c>
      <c r="D10" s="3">
        <v>0.13933216168717047</v>
      </c>
      <c r="E10" s="3">
        <v>0.66979692452165751</v>
      </c>
      <c r="F10" s="3">
        <v>1.1223218734429496</v>
      </c>
      <c r="G10" s="3">
        <v>0.16550522648083624</v>
      </c>
      <c r="H10" s="3">
        <v>-0.32930866601752679</v>
      </c>
      <c r="I10" s="3">
        <v>1.1657528469000422</v>
      </c>
      <c r="J10" s="3">
        <v>6.7970660146699267</v>
      </c>
      <c r="K10" s="3">
        <v>-1.2506127450980393</v>
      </c>
      <c r="L10" s="3">
        <v>2.7260273972602738</v>
      </c>
      <c r="M10" s="3">
        <v>-0.20652173913043478</v>
      </c>
      <c r="N10" s="3">
        <v>-5.1546391752577317E-2</v>
      </c>
      <c r="O10" s="3">
        <v>-3.4246575342465752E-3</v>
      </c>
      <c r="P10" s="3">
        <v>0.24255319148936169</v>
      </c>
      <c r="Q10" s="3">
        <v>8.7916666666666661</v>
      </c>
      <c r="R10" s="3">
        <v>-0.7</v>
      </c>
      <c r="S10" s="3">
        <v>2.5238095238095237</v>
      </c>
      <c r="T10" s="3">
        <v>-0.16666666666666666</v>
      </c>
    </row>
    <row r="11" spans="1:20" x14ac:dyDescent="0.2">
      <c r="A11" s="3" t="s">
        <v>190</v>
      </c>
      <c r="B11" s="3">
        <v>2.922985581000848</v>
      </c>
      <c r="C11" s="3">
        <v>-0.58138048572645928</v>
      </c>
      <c r="D11" s="3">
        <v>0.22505437146585472</v>
      </c>
      <c r="E11" s="3">
        <v>0.70650237529691207</v>
      </c>
      <c r="F11" s="3">
        <v>1.2756756756756757</v>
      </c>
      <c r="G11" s="3">
        <v>8.6637298091042578E-2</v>
      </c>
      <c r="H11" s="3">
        <v>-0.77779590504935148</v>
      </c>
      <c r="I11" s="3">
        <v>6.2452718676122929</v>
      </c>
      <c r="J11" s="3">
        <v>1.972972972972973</v>
      </c>
      <c r="K11" s="3">
        <v>-2.2749266862170088</v>
      </c>
      <c r="L11" s="3">
        <v>4.1863117870722437</v>
      </c>
      <c r="M11" s="3">
        <v>-0.52355072463768115</v>
      </c>
      <c r="N11" s="3">
        <v>-1.9538188277087035E-2</v>
      </c>
      <c r="O11" s="3">
        <v>1.9927536231884056E-2</v>
      </c>
      <c r="P11" s="3">
        <v>0.33012048192771082</v>
      </c>
      <c r="Q11" s="3">
        <v>10.431818181818182</v>
      </c>
      <c r="R11" s="3">
        <v>-1.5301204819277108</v>
      </c>
      <c r="S11" s="3">
        <v>1.5220125786163523</v>
      </c>
      <c r="T11" s="3">
        <v>0.36653386454183268</v>
      </c>
    </row>
    <row r="12" spans="1:20" x14ac:dyDescent="0.2">
      <c r="A12" s="3" t="s">
        <v>189</v>
      </c>
      <c r="B12" s="3">
        <v>2.8661417322834648</v>
      </c>
      <c r="C12" s="3">
        <v>-0.62536873156342188</v>
      </c>
      <c r="D12" s="3">
        <v>0.23722627737226273</v>
      </c>
      <c r="E12" s="3">
        <v>0.74522292993630579</v>
      </c>
      <c r="F12" s="3">
        <v>1.3787878787878787</v>
      </c>
      <c r="G12" s="3">
        <v>-2.9411764705882377E-2</v>
      </c>
      <c r="H12" s="3">
        <v>-0.76791808873720135</v>
      </c>
      <c r="I12" s="3">
        <v>5.9761904761904772</v>
      </c>
      <c r="J12" s="3">
        <v>1.8749999999999998</v>
      </c>
      <c r="K12" s="3">
        <v>-1.9230769230769229</v>
      </c>
      <c r="L12" s="3">
        <v>3.7272727272727275</v>
      </c>
      <c r="M12" s="3">
        <v>-0.5</v>
      </c>
      <c r="N12" s="3">
        <v>-4.3478260869565251E-2</v>
      </c>
      <c r="O12" s="3">
        <v>0</v>
      </c>
      <c r="P12" s="3">
        <v>0.3529411764705882</v>
      </c>
      <c r="Q12" s="3">
        <v>9.4577114427860707</v>
      </c>
      <c r="R12" s="3">
        <v>-1.5153846153846153</v>
      </c>
      <c r="S12" s="3">
        <v>1.527027027027027</v>
      </c>
      <c r="T12" s="3">
        <v>0.26000000000000006</v>
      </c>
    </row>
    <row r="13" spans="1:20" x14ac:dyDescent="0.2">
      <c r="A13" s="3" t="s">
        <v>188</v>
      </c>
      <c r="B13" s="3">
        <v>2.8780487804878048</v>
      </c>
      <c r="C13" s="3">
        <v>-0.6272727272727272</v>
      </c>
      <c r="D13" s="3">
        <v>0.2452830188679245</v>
      </c>
      <c r="E13" s="3">
        <v>0.76666666666666661</v>
      </c>
      <c r="F13" s="3">
        <v>1.3809523809523809</v>
      </c>
      <c r="G13" s="3">
        <v>-1.5625000000000014E-2</v>
      </c>
      <c r="H13" s="3">
        <v>-0.77464788732394363</v>
      </c>
      <c r="I13" s="3">
        <v>5.7619047619047619</v>
      </c>
      <c r="J13" s="3">
        <v>1.9545454545454546</v>
      </c>
      <c r="K13" s="3">
        <v>-1.8979591836734693</v>
      </c>
      <c r="L13" s="3">
        <v>3.9494949494949494</v>
      </c>
      <c r="M13" s="3">
        <v>-0.54999999999999993</v>
      </c>
      <c r="N13" s="3">
        <v>-4.3478260869565251E-2</v>
      </c>
      <c r="O13" s="3">
        <v>4.5454545454545497E-2</v>
      </c>
      <c r="P13" s="3">
        <v>0.29411764705882343</v>
      </c>
      <c r="Q13" s="3">
        <v>9.4577114427860707</v>
      </c>
      <c r="R13" s="3">
        <v>-1.5289473684210526</v>
      </c>
      <c r="S13" s="3">
        <v>1.5135135135135134</v>
      </c>
      <c r="T13" s="3">
        <v>0.26000000000000006</v>
      </c>
    </row>
    <row r="14" spans="1:20" x14ac:dyDescent="0.2">
      <c r="A14" s="3" t="s">
        <v>187</v>
      </c>
      <c r="B14" s="3">
        <v>1.9031141868512111E-2</v>
      </c>
      <c r="C14" s="3">
        <v>0.11421686746987952</v>
      </c>
      <c r="D14" s="3">
        <v>1.4669926650366748E-2</v>
      </c>
      <c r="E14" s="3">
        <v>-2.4390243902439024E-3</v>
      </c>
      <c r="F14" s="3">
        <v>1.9900497512437811E-2</v>
      </c>
      <c r="G14" s="3">
        <v>1.0050251256281407E-2</v>
      </c>
      <c r="H14" s="3">
        <v>-4.784688995215311E-2</v>
      </c>
      <c r="I14" s="3">
        <v>3.2098765432098768E-2</v>
      </c>
      <c r="J14" s="3">
        <v>0.10655737704918032</v>
      </c>
      <c r="K14" s="3">
        <v>0.38636363636363635</v>
      </c>
      <c r="L14" s="3">
        <v>5.1792828685258967E-2</v>
      </c>
      <c r="M14" s="3">
        <v>-3.968253968253968E-3</v>
      </c>
      <c r="N14" s="3">
        <v>2.8571428571428571E-2</v>
      </c>
      <c r="O14" s="3">
        <v>0</v>
      </c>
      <c r="P14" s="3">
        <v>2.9411764705882353E-2</v>
      </c>
      <c r="Q14" s="3">
        <v>8.6757990867579904E-2</v>
      </c>
      <c r="R14" s="3">
        <v>2.336448598130841E-2</v>
      </c>
      <c r="S14" s="3">
        <v>0</v>
      </c>
      <c r="T14" s="3">
        <v>-0.13109149525348579</v>
      </c>
    </row>
    <row r="15" spans="1:20" x14ac:dyDescent="0.2">
      <c r="A15" s="3" t="s">
        <v>186</v>
      </c>
      <c r="B15" s="3">
        <v>1.5696944328170783E-2</v>
      </c>
      <c r="C15" s="3">
        <v>0.11896955503512881</v>
      </c>
      <c r="D15" s="3">
        <v>9.4562647754137114E-3</v>
      </c>
      <c r="E15" s="3">
        <v>-1.3986013986013986E-2</v>
      </c>
      <c r="F15" s="3">
        <v>1.9002375296912115E-2</v>
      </c>
      <c r="G15" s="3">
        <v>4.7732696897374704E-3</v>
      </c>
      <c r="H15" s="3">
        <v>-2.7842227378190254E-2</v>
      </c>
      <c r="I15" s="3">
        <v>5.3789731051344741E-2</v>
      </c>
      <c r="J15" s="3">
        <v>6.7885117493472591E-2</v>
      </c>
      <c r="K15" s="3">
        <v>0.36298932384341637</v>
      </c>
      <c r="L15" s="3">
        <v>5.2434456928838954E-2</v>
      </c>
      <c r="M15" s="3">
        <v>5.9523809523809521E-2</v>
      </c>
      <c r="N15" s="3">
        <v>8.0000000000000002E-3</v>
      </c>
      <c r="O15" s="3">
        <v>-7.9365079365079361E-3</v>
      </c>
      <c r="P15" s="3">
        <v>2.4390243902439025E-2</v>
      </c>
      <c r="Q15" s="3">
        <v>0.12328767123287671</v>
      </c>
      <c r="R15" s="3">
        <v>0</v>
      </c>
      <c r="S15" s="3">
        <v>2.336448598130841E-2</v>
      </c>
      <c r="T15" s="3">
        <v>-0.13109149525348579</v>
      </c>
    </row>
    <row r="16" spans="1:20" x14ac:dyDescent="0.2">
      <c r="A16" s="3" t="s">
        <v>185</v>
      </c>
      <c r="B16" s="3">
        <v>0.11411403203143836</v>
      </c>
      <c r="C16" s="3">
        <v>0.15212296975882647</v>
      </c>
      <c r="D16" s="3">
        <v>7.1454761023616559E-2</v>
      </c>
      <c r="E16" s="3">
        <v>0.13477030811883933</v>
      </c>
      <c r="F16" s="3">
        <v>0.10061262087142016</v>
      </c>
      <c r="G16" s="3">
        <v>0.29372734908691489</v>
      </c>
      <c r="H16" s="3">
        <v>0.48359375261899895</v>
      </c>
      <c r="I16" s="3">
        <v>0.75726604086523841</v>
      </c>
      <c r="J16" s="3">
        <v>0.99176296296296296</v>
      </c>
      <c r="K16" s="3">
        <v>0.32594021215043401</v>
      </c>
      <c r="L16" s="3">
        <v>0.36587708066581304</v>
      </c>
      <c r="M16" s="3">
        <v>0.44005795001810938</v>
      </c>
      <c r="N16" s="3">
        <v>0.40510948905109495</v>
      </c>
      <c r="O16" s="3">
        <v>0.59302325581395354</v>
      </c>
      <c r="P16" s="3">
        <v>0</v>
      </c>
      <c r="Q16" s="3">
        <v>0</v>
      </c>
      <c r="R16" s="3">
        <v>0</v>
      </c>
      <c r="S16" s="3">
        <v>0</v>
      </c>
      <c r="T16" s="3">
        <v>-1</v>
      </c>
    </row>
    <row r="17" spans="1:20" x14ac:dyDescent="0.2">
      <c r="A17" s="3" t="s">
        <v>184</v>
      </c>
      <c r="B17" s="3">
        <v>0.37947099489029157</v>
      </c>
      <c r="C17" s="3">
        <v>0.10378766933923141</v>
      </c>
      <c r="D17" s="3">
        <v>8.0604684512428304E-2</v>
      </c>
      <c r="E17" s="3">
        <v>0.2159256030223772</v>
      </c>
      <c r="F17" s="3">
        <v>0.14119890556338613</v>
      </c>
      <c r="G17" s="3">
        <v>0.24378673816644322</v>
      </c>
      <c r="H17" s="3">
        <v>9.2004504504504508E-2</v>
      </c>
      <c r="I17" s="3">
        <v>0.3555182414898489</v>
      </c>
      <c r="J17" s="3">
        <v>0.92055115801817644</v>
      </c>
      <c r="K17" s="3">
        <v>0.4715271786022433</v>
      </c>
      <c r="L17" s="3">
        <v>0.97276595744680849</v>
      </c>
      <c r="M17" s="3">
        <v>0.62742382271468145</v>
      </c>
      <c r="N17" s="3">
        <v>4.1847041847041848E-2</v>
      </c>
      <c r="O17" s="3">
        <v>-4.5454545454545456E-2</v>
      </c>
      <c r="P17" s="3">
        <v>0.42352941176470588</v>
      </c>
      <c r="Q17" s="3">
        <v>2.6690647482014387</v>
      </c>
      <c r="R17" s="3">
        <v>-0.33173076923076922</v>
      </c>
      <c r="S17" s="3">
        <v>0.42465753424657532</v>
      </c>
      <c r="T17" s="3">
        <v>-0.60540540540540544</v>
      </c>
    </row>
    <row r="18" spans="1:20" x14ac:dyDescent="0.2">
      <c r="A18" s="3" t="s">
        <v>183</v>
      </c>
      <c r="B18" s="3">
        <v>0.38631915112805193</v>
      </c>
      <c r="C18" s="3">
        <v>0.10100379969375603</v>
      </c>
      <c r="D18" s="3">
        <v>8.0983325159391856E-2</v>
      </c>
      <c r="E18" s="3">
        <v>0.22453269274078522</v>
      </c>
      <c r="F18" s="3">
        <v>0.14856009656837385</v>
      </c>
      <c r="G18" s="3">
        <v>0.25180787911494873</v>
      </c>
      <c r="H18" s="3">
        <v>0.12371134020618557</v>
      </c>
      <c r="I18" s="3">
        <v>0.50401313389273983</v>
      </c>
      <c r="J18" s="3">
        <v>1.0394345238095237</v>
      </c>
      <c r="K18" s="3">
        <v>0.55826086956521737</v>
      </c>
      <c r="L18" s="3">
        <v>1.2519582245430809</v>
      </c>
      <c r="M18" s="3">
        <v>0.5761316872427984</v>
      </c>
      <c r="N18" s="3">
        <v>7.5221238938053103E-2</v>
      </c>
      <c r="O18" s="3">
        <v>-0.26384364820846906</v>
      </c>
      <c r="P18" s="3">
        <v>0.42459396751740142</v>
      </c>
      <c r="Q18" s="3">
        <v>4.3209876543209873</v>
      </c>
      <c r="R18" s="3">
        <v>-0.40875912408759124</v>
      </c>
      <c r="S18" s="3">
        <v>0.25688073394495414</v>
      </c>
      <c r="T18" s="3">
        <v>-0.64951768488745976</v>
      </c>
    </row>
    <row r="19" spans="1:20" x14ac:dyDescent="0.2">
      <c r="A19" s="3" t="s">
        <v>182</v>
      </c>
      <c r="B19" s="3">
        <v>4.2453216153115836</v>
      </c>
      <c r="C19" s="3">
        <v>5.5578360855317275</v>
      </c>
      <c r="D19" s="3">
        <v>7.6310843373493977</v>
      </c>
      <c r="E19" s="3">
        <v>7.4134211625896178</v>
      </c>
      <c r="F19" s="3">
        <v>6.0218530738389582</v>
      </c>
      <c r="G19" s="3">
        <v>5.7571174229188502</v>
      </c>
      <c r="H19" s="3">
        <v>7.3787248235788105</v>
      </c>
      <c r="I19" s="3">
        <v>5.2821530255624616</v>
      </c>
      <c r="J19" s="3">
        <v>5.1026688334263097</v>
      </c>
      <c r="K19" s="3">
        <v>4.8885409149845236</v>
      </c>
      <c r="L19" s="3">
        <v>3.2076139718400132</v>
      </c>
      <c r="M19" s="3">
        <v>1.7685554780218191</v>
      </c>
      <c r="N19" s="3">
        <v>0.62779907468605434</v>
      </c>
      <c r="O19" s="3">
        <v>0.57066000512564585</v>
      </c>
      <c r="P19" s="3">
        <v>0.55205658712923378</v>
      </c>
      <c r="Q19" s="3">
        <v>0.43150565685626535</v>
      </c>
      <c r="R19" s="3">
        <v>0.10303827709319849</v>
      </c>
      <c r="S19" s="3">
        <v>0.29235076069701221</v>
      </c>
      <c r="T19" s="3">
        <v>0.16151831170355371</v>
      </c>
    </row>
    <row r="20" spans="1:20" x14ac:dyDescent="0.2">
      <c r="A20" s="3" t="s">
        <v>181</v>
      </c>
      <c r="B20" s="3">
        <v>1.281673382121661</v>
      </c>
      <c r="C20" s="3">
        <v>0.96446943917135097</v>
      </c>
      <c r="D20" s="3">
        <v>0.73052247362435163</v>
      </c>
      <c r="E20" s="3">
        <v>0.86427059898041392</v>
      </c>
      <c r="F20" s="3">
        <v>0.85076633998968387</v>
      </c>
      <c r="G20" s="3">
        <v>1.298892407831884</v>
      </c>
      <c r="H20" s="3">
        <v>2.3382225015920546</v>
      </c>
      <c r="I20" s="3">
        <v>3.9875598086124402</v>
      </c>
      <c r="J20" s="3">
        <v>3.5129828079630676</v>
      </c>
      <c r="K20" s="3">
        <v>2.7940246275918859</v>
      </c>
      <c r="L20" s="3">
        <v>1.9392925914665047</v>
      </c>
      <c r="M20" s="3">
        <v>1.5099359972508886</v>
      </c>
      <c r="N20" s="3">
        <v>0.25956444967628023</v>
      </c>
      <c r="O20" s="3">
        <v>0.35224730363658235</v>
      </c>
      <c r="P20" s="3">
        <v>0.55205658712923378</v>
      </c>
      <c r="Q20" s="3">
        <v>0.43150565685626535</v>
      </c>
      <c r="R20" s="3">
        <v>0.10303827709319849</v>
      </c>
      <c r="S20" s="3">
        <v>0.29235076069701221</v>
      </c>
      <c r="T20" s="3">
        <v>0.16151831170355371</v>
      </c>
    </row>
    <row r="21" spans="1:20" x14ac:dyDescent="0.2">
      <c r="A21" s="3" t="s">
        <v>180</v>
      </c>
      <c r="B21" s="3">
        <v>0.67014122417293387</v>
      </c>
      <c r="C21" s="3">
        <v>0.6659213669395756</v>
      </c>
      <c r="D21" s="3">
        <v>0.45248488932286413</v>
      </c>
      <c r="E21" s="3">
        <v>0.42983625171266543</v>
      </c>
      <c r="F21" s="3">
        <v>0.34236424386500203</v>
      </c>
      <c r="G21" s="3">
        <v>0.36461037971855392</v>
      </c>
      <c r="H21" s="3">
        <v>0.56949817061136498</v>
      </c>
      <c r="I21" s="3">
        <v>0.92953661997902137</v>
      </c>
      <c r="J21" s="3">
        <v>1.5603104783552977</v>
      </c>
      <c r="K21" s="3">
        <v>2.6174863387978142</v>
      </c>
      <c r="L21" s="3">
        <v>1.678882735989335</v>
      </c>
      <c r="M21" s="3">
        <v>0.78379802706980306</v>
      </c>
      <c r="N21" s="3">
        <v>0.13712374581939801</v>
      </c>
      <c r="O21" s="3">
        <v>0.42393971065515151</v>
      </c>
      <c r="P21" s="3">
        <v>0.20095614467093492</v>
      </c>
      <c r="Q21" s="3">
        <v>0.23244346854655415</v>
      </c>
      <c r="R21" s="3">
        <v>0.10303827709319849</v>
      </c>
      <c r="S21" s="3">
        <v>0.29235076069701221</v>
      </c>
      <c r="T21" s="3">
        <v>0.16151831170355371</v>
      </c>
    </row>
    <row r="22" spans="1:20" x14ac:dyDescent="0.2">
      <c r="A22" s="3" t="s">
        <v>179</v>
      </c>
      <c r="B22" s="3">
        <v>5.6558241326827323</v>
      </c>
      <c r="C22" s="3">
        <v>8.2219355076198184</v>
      </c>
      <c r="D22" s="3">
        <v>14.210159196342156</v>
      </c>
      <c r="E22" s="3">
        <v>13.466424637573782</v>
      </c>
      <c r="F22" s="3">
        <v>10.328965934287442</v>
      </c>
      <c r="G22" s="3">
        <v>13.001160862354892</v>
      </c>
      <c r="H22" s="3">
        <v>37.386952749358308</v>
      </c>
      <c r="I22" s="3">
        <v>20.856827383143173</v>
      </c>
      <c r="J22" s="3">
        <v>22.709014036867917</v>
      </c>
      <c r="K22" s="3">
        <v>5.2035264067346034</v>
      </c>
      <c r="L22" s="3">
        <v>4.844501924651925</v>
      </c>
      <c r="M22" s="3">
        <v>2.1160337030257348</v>
      </c>
      <c r="N22" s="3">
        <v>0.90710523380523367</v>
      </c>
      <c r="O22" s="3">
        <v>0.88280416988416999</v>
      </c>
      <c r="P22" s="3">
        <v>0.97246151130722569</v>
      </c>
      <c r="Q22" s="3">
        <v>0.42636679536679534</v>
      </c>
      <c r="R22" s="3">
        <v>-0.577517536714797</v>
      </c>
      <c r="S22" s="3">
        <v>-0.3530249052791109</v>
      </c>
      <c r="T22" s="3">
        <v>-0.54587325082091431</v>
      </c>
    </row>
    <row r="23" spans="1:20" x14ac:dyDescent="0.2">
      <c r="A23" s="3" t="s">
        <v>178</v>
      </c>
      <c r="B23" s="3">
        <v>0.94784358064389451</v>
      </c>
      <c r="C23" s="3">
        <v>0.77187019279319069</v>
      </c>
      <c r="D23" s="3">
        <v>1.0513215022251166</v>
      </c>
      <c r="E23" s="3">
        <v>1.5297393891598703</v>
      </c>
      <c r="F23" s="3">
        <v>2.6021365596241717</v>
      </c>
      <c r="G23" s="3">
        <v>2.4170218793865015</v>
      </c>
      <c r="H23" s="3">
        <v>4.2046338073345453</v>
      </c>
      <c r="I23" s="3">
        <v>6.4148100041087366</v>
      </c>
      <c r="J23" s="3">
        <v>4.7185434592841995</v>
      </c>
      <c r="K23" s="3">
        <v>2.1450684189134264</v>
      </c>
      <c r="L23" s="3">
        <v>3.0974747474747475</v>
      </c>
      <c r="M23" s="3">
        <v>6.3755338358795042</v>
      </c>
      <c r="N23" s="3">
        <v>1.947725885225885</v>
      </c>
      <c r="O23" s="3">
        <v>3.1459882583170256</v>
      </c>
      <c r="P23" s="3">
        <v>0.97246151130722569</v>
      </c>
      <c r="Q23" s="3">
        <v>0.42636679536679534</v>
      </c>
      <c r="R23" s="3">
        <v>-0.577517536714797</v>
      </c>
      <c r="S23" s="3">
        <v>-0.3530249052791109</v>
      </c>
      <c r="T23" s="3">
        <v>-0.54587325082091431</v>
      </c>
    </row>
    <row r="24" spans="1:20" x14ac:dyDescent="0.2">
      <c r="A24" s="3" t="s">
        <v>177</v>
      </c>
      <c r="B24" s="3">
        <v>0.42818012044428277</v>
      </c>
      <c r="C24" s="3">
        <v>0.28595395540646129</v>
      </c>
      <c r="D24" s="3">
        <v>0.45249000312667637</v>
      </c>
      <c r="E24" s="3">
        <v>0.67947690322391952</v>
      </c>
      <c r="F24" s="3">
        <v>0.58024390243902435</v>
      </c>
      <c r="G24" s="3">
        <v>0.85483246262960877</v>
      </c>
      <c r="H24" s="3">
        <v>1.6142895656824141</v>
      </c>
      <c r="I24" s="3">
        <v>1.4195086508332955</v>
      </c>
      <c r="J24" s="3">
        <v>2.4553212503283426</v>
      </c>
      <c r="K24" s="3">
        <v>2.2528495526996957</v>
      </c>
      <c r="L24" s="3">
        <v>2.1041475359657178</v>
      </c>
      <c r="M24" s="3">
        <v>0.57976907795813981</v>
      </c>
      <c r="N24" s="3">
        <v>0.33703703703703702</v>
      </c>
      <c r="O24" s="3">
        <v>3.4565262076053451</v>
      </c>
      <c r="P24" s="3">
        <v>2.0487441130298274</v>
      </c>
      <c r="Q24" s="3">
        <v>2.1409001956947158</v>
      </c>
      <c r="R24" s="3">
        <v>-0.577517536714797</v>
      </c>
      <c r="S24" s="3">
        <v>-0.3530249052791109</v>
      </c>
      <c r="T24" s="3">
        <v>-0.54587325082091431</v>
      </c>
    </row>
    <row r="25" spans="1:20" x14ac:dyDescent="0.2">
      <c r="A25" s="3" t="s">
        <v>176</v>
      </c>
      <c r="B25" s="3">
        <v>8.4991511035653637</v>
      </c>
      <c r="C25" s="3">
        <v>11.167012577788888</v>
      </c>
      <c r="D25" s="3">
        <v>14.49093766369827</v>
      </c>
      <c r="E25" s="3">
        <v>11.230475925773124</v>
      </c>
      <c r="F25" s="3">
        <v>6.291975963237892</v>
      </c>
      <c r="G25" s="3">
        <v>3.2227417131211409</v>
      </c>
      <c r="H25" s="3">
        <v>35.065555047967109</v>
      </c>
      <c r="I25" s="3">
        <v>74.616129590130853</v>
      </c>
      <c r="J25" s="3">
        <v>6.6229210342417888</v>
      </c>
      <c r="K25" s="3">
        <v>-3.6621312999368643</v>
      </c>
      <c r="L25" s="3">
        <v>6.0696321381142102</v>
      </c>
      <c r="M25" s="3">
        <v>2.0281299979365408</v>
      </c>
      <c r="N25" s="3">
        <v>3.149337127679757</v>
      </c>
      <c r="O25" s="3">
        <v>3.2548014960565896</v>
      </c>
      <c r="P25" s="3">
        <v>3.210746759899179</v>
      </c>
      <c r="Q25" s="3">
        <v>2.7109493119957144</v>
      </c>
      <c r="R25" s="3">
        <v>0.80286008477505511</v>
      </c>
      <c r="S25" s="3">
        <v>1.3805662955654019</v>
      </c>
      <c r="T25" s="3">
        <v>0.27096336150724204</v>
      </c>
    </row>
    <row r="26" spans="1:20" x14ac:dyDescent="0.2">
      <c r="A26" s="3" t="s">
        <v>175</v>
      </c>
      <c r="B26" s="3">
        <v>5.6654516358463729</v>
      </c>
      <c r="C26" s="3">
        <v>0.86269587518863466</v>
      </c>
      <c r="D26" s="3">
        <v>0.15701097890214907</v>
      </c>
      <c r="E26" s="3">
        <v>5.7272928263018255</v>
      </c>
      <c r="F26" s="3">
        <v>4.4577988471086547</v>
      </c>
      <c r="G26" s="3">
        <v>0.42513240250361078</v>
      </c>
      <c r="H26" s="3">
        <v>5.5319372528039441</v>
      </c>
      <c r="I26" s="3">
        <v>12.388755980861244</v>
      </c>
      <c r="J26" s="3">
        <v>0.81803828695480563</v>
      </c>
      <c r="K26" s="3">
        <v>-3.1088490932129562</v>
      </c>
      <c r="L26" s="3">
        <v>1.9630522088353417</v>
      </c>
      <c r="M26" s="3">
        <v>6.2152299891343716</v>
      </c>
      <c r="N26" s="3">
        <v>4.6477337923121054</v>
      </c>
      <c r="O26" s="3">
        <v>4.0928507251957384</v>
      </c>
      <c r="P26" s="3">
        <v>3.210746759899179</v>
      </c>
      <c r="Q26" s="3">
        <v>2.7109493119957144</v>
      </c>
      <c r="R26" s="3">
        <v>0.80286008477505511</v>
      </c>
      <c r="S26" s="3">
        <v>1.3805662955654019</v>
      </c>
      <c r="T26" s="3">
        <v>0.27096336150724204</v>
      </c>
    </row>
    <row r="27" spans="1:20" x14ac:dyDescent="0.2">
      <c r="A27" s="3" t="s">
        <v>174</v>
      </c>
      <c r="B27" s="3">
        <v>0.74626267713651262</v>
      </c>
      <c r="C27" s="3">
        <v>-0.22402494164495473</v>
      </c>
      <c r="D27" s="3">
        <v>3.6084044285249104</v>
      </c>
      <c r="E27" s="3">
        <v>3.1064036419906005</v>
      </c>
      <c r="F27" s="3">
        <v>-0.43980470296586482</v>
      </c>
      <c r="G27" s="3">
        <v>0.76246427437281661</v>
      </c>
      <c r="H27" s="3">
        <v>2.4404743672358342</v>
      </c>
      <c r="I27" s="3">
        <v>4.6763389411946283</v>
      </c>
      <c r="J27" s="3">
        <v>2.9871567384875375</v>
      </c>
      <c r="K27" s="3">
        <v>-3.1691019244476126</v>
      </c>
      <c r="L27" s="3">
        <v>1.2483718176435763</v>
      </c>
      <c r="M27" s="3">
        <v>-0.53493995034355335</v>
      </c>
      <c r="N27" s="3">
        <v>0.25622489959839362</v>
      </c>
      <c r="O27" s="3">
        <v>12.437569573283859</v>
      </c>
      <c r="P27" s="3">
        <v>4.8090976149495948</v>
      </c>
      <c r="Q27" s="3">
        <v>3.3468632736113313</v>
      </c>
      <c r="R27" s="3">
        <v>0.80286008477505511</v>
      </c>
      <c r="S27" s="3">
        <v>1.3805662955654019</v>
      </c>
      <c r="T27" s="3">
        <v>0.27096336150724204</v>
      </c>
    </row>
    <row r="28" spans="1:20" x14ac:dyDescent="0.2">
      <c r="A28" s="3" t="s">
        <v>173</v>
      </c>
      <c r="B28" s="3">
        <v>8.6617740170701296</v>
      </c>
      <c r="C28" s="3">
        <v>10.328084071414928</v>
      </c>
      <c r="D28" s="3">
        <v>4.047195852015129</v>
      </c>
      <c r="E28" s="3">
        <v>4.6234769363565338</v>
      </c>
      <c r="F28" s="3">
        <v>6.443893927972181</v>
      </c>
      <c r="G28" s="3">
        <v>8.4022214508851096</v>
      </c>
      <c r="H28" s="3">
        <v>12.211321028218013</v>
      </c>
      <c r="I28" s="3">
        <v>16.496620046620045</v>
      </c>
      <c r="J28" s="3">
        <v>14.46680205939465</v>
      </c>
      <c r="K28" s="3">
        <v>14.098176057526318</v>
      </c>
      <c r="L28" s="3">
        <v>4.2229189339955369</v>
      </c>
      <c r="M28" s="3">
        <v>2.7792085718882191</v>
      </c>
      <c r="N28" s="3">
        <v>2.3498350299739843</v>
      </c>
      <c r="O28" s="3">
        <v>1.8880015221290414</v>
      </c>
      <c r="P28" s="3">
        <v>1.3949280915216442</v>
      </c>
      <c r="Q28" s="3">
        <v>0.84963986307111905</v>
      </c>
      <c r="R28" s="3">
        <v>0.38904673586481398</v>
      </c>
      <c r="S28" s="3">
        <v>6.612582413923225E-2</v>
      </c>
      <c r="T28" s="3">
        <v>-5.2788210091682081E-2</v>
      </c>
    </row>
    <row r="29" spans="1:20" x14ac:dyDescent="0.2">
      <c r="A29" s="3" t="s">
        <v>172</v>
      </c>
      <c r="B29" s="3">
        <v>1.9016999878318102</v>
      </c>
      <c r="C29" s="3">
        <v>1.3328897791536698</v>
      </c>
      <c r="D29" s="3">
        <v>-9.3618665681972385E-2</v>
      </c>
      <c r="E29" s="3">
        <v>0.10854853785874034</v>
      </c>
      <c r="F29" s="3">
        <v>0.18077777146604823</v>
      </c>
      <c r="G29" s="3">
        <v>2.3296943369702183</v>
      </c>
      <c r="H29" s="3">
        <v>3.8558162381441585</v>
      </c>
      <c r="I29" s="3">
        <v>4.5685125685125678</v>
      </c>
      <c r="J29" s="3">
        <v>4.0728287885515391</v>
      </c>
      <c r="K29" s="3">
        <v>5.3042293883377187</v>
      </c>
      <c r="L29" s="3">
        <v>1.8237491190979565</v>
      </c>
      <c r="M29" s="3">
        <v>1.720720962304628</v>
      </c>
      <c r="N29" s="3">
        <v>2.142063492063492</v>
      </c>
      <c r="O29" s="3">
        <v>2.0489501428276937</v>
      </c>
      <c r="P29" s="3">
        <v>1.3949280915216442</v>
      </c>
      <c r="Q29" s="3">
        <v>0.84963986307111905</v>
      </c>
      <c r="R29" s="3">
        <v>0.38904673586481398</v>
      </c>
      <c r="S29" s="3">
        <v>6.612582413923225E-2</v>
      </c>
      <c r="T29" s="3">
        <v>-5.2788210091682081E-2</v>
      </c>
    </row>
    <row r="30" spans="1:20" x14ac:dyDescent="0.2">
      <c r="A30" s="3" t="s">
        <v>171</v>
      </c>
      <c r="B30" s="3">
        <v>2.1071900993458166</v>
      </c>
      <c r="C30" s="3">
        <v>1.4014009070565443</v>
      </c>
      <c r="D30" s="3">
        <v>-2.779931071089935E-2</v>
      </c>
      <c r="E30" s="3">
        <v>-0.1150082299248095</v>
      </c>
      <c r="F30" s="3">
        <v>-4.4281417867635529E-2</v>
      </c>
      <c r="G30" s="3">
        <v>0.18705278144647725</v>
      </c>
      <c r="H30" s="3">
        <v>0.21545425624842382</v>
      </c>
      <c r="I30" s="3">
        <v>2.5714891811624949</v>
      </c>
      <c r="J30" s="3">
        <v>2.87656224422593</v>
      </c>
      <c r="K30" s="3">
        <v>3.5071401792713268</v>
      </c>
      <c r="L30" s="3">
        <v>0.80848898242449307</v>
      </c>
      <c r="M30" s="3">
        <v>0.57800502873848569</v>
      </c>
      <c r="N30" s="3">
        <v>0.81107419712070872</v>
      </c>
      <c r="O30" s="3">
        <v>1.0791248037676608</v>
      </c>
      <c r="P30" s="3">
        <v>1.246384092098378</v>
      </c>
      <c r="Q30" s="3">
        <v>0.9527204821322468</v>
      </c>
      <c r="R30" s="3">
        <v>0.38904673586481398</v>
      </c>
      <c r="S30" s="3">
        <v>6.612582413923225E-2</v>
      </c>
      <c r="T30" s="3">
        <v>-5.2788210091682081E-2</v>
      </c>
    </row>
    <row r="31" spans="1:20" x14ac:dyDescent="0.2">
      <c r="A31" s="3" t="s">
        <v>170</v>
      </c>
      <c r="B31" s="3">
        <v>14.300359532607608</v>
      </c>
      <c r="C31" s="3">
        <v>17.757873799892781</v>
      </c>
      <c r="D31" s="3">
        <v>22.445783132530121</v>
      </c>
      <c r="E31" s="3">
        <v>29.746881302089843</v>
      </c>
      <c r="F31" s="3">
        <v>42.163357912648898</v>
      </c>
      <c r="G31" s="3">
        <v>0</v>
      </c>
      <c r="H31" s="3">
        <v>0</v>
      </c>
      <c r="I31" s="3">
        <v>0</v>
      </c>
      <c r="J31" s="3">
        <v>0</v>
      </c>
      <c r="K31" s="3">
        <v>503.68442622950829</v>
      </c>
      <c r="L31" s="3">
        <v>379.62381818181825</v>
      </c>
      <c r="M31" s="3">
        <v>277.66623107569723</v>
      </c>
      <c r="N31" s="3">
        <v>192.51042857142858</v>
      </c>
      <c r="O31" s="3">
        <v>136.71911020408163</v>
      </c>
      <c r="P31" s="3">
        <v>85.451412244897952</v>
      </c>
      <c r="Q31" s="3">
        <v>-1</v>
      </c>
      <c r="R31" s="3">
        <v>-1</v>
      </c>
      <c r="S31" s="3">
        <v>-1</v>
      </c>
      <c r="T31" s="3">
        <v>-1</v>
      </c>
    </row>
    <row r="32" spans="1:20" x14ac:dyDescent="0.2">
      <c r="A32" s="3" t="s">
        <v>169</v>
      </c>
      <c r="B32" s="3">
        <v>0.71768993405789661</v>
      </c>
      <c r="C32" s="3">
        <v>0.99460951128142061</v>
      </c>
      <c r="D32" s="3">
        <v>1.5684673316347446</v>
      </c>
      <c r="E32" s="3">
        <v>3.2124787561180161</v>
      </c>
      <c r="F32" s="3">
        <v>6.3937951219512188</v>
      </c>
      <c r="G32" s="3">
        <v>7.9075212174422012</v>
      </c>
      <c r="H32" s="3">
        <v>8.404283742656947</v>
      </c>
      <c r="I32" s="3">
        <v>8.1283166594171377</v>
      </c>
      <c r="J32" s="3">
        <v>6.2989997296566642</v>
      </c>
      <c r="K32" s="3">
        <v>4.8377811666031265</v>
      </c>
      <c r="L32" s="3">
        <v>0</v>
      </c>
      <c r="M32" s="3">
        <v>0</v>
      </c>
      <c r="N32" s="3">
        <v>0</v>
      </c>
      <c r="O32" s="3">
        <v>0</v>
      </c>
      <c r="P32" s="3">
        <v>85.451412244897952</v>
      </c>
      <c r="Q32" s="3">
        <v>-1</v>
      </c>
      <c r="R32" s="3">
        <v>-1</v>
      </c>
      <c r="S32" s="3">
        <v>-1</v>
      </c>
      <c r="T32" s="3">
        <v>-1</v>
      </c>
    </row>
    <row r="33" spans="1:20" x14ac:dyDescent="0.2">
      <c r="A33" s="3" t="s">
        <v>168</v>
      </c>
      <c r="B33" s="3">
        <v>0.37531543890553187</v>
      </c>
      <c r="C33" s="3">
        <v>0.40081453019827673</v>
      </c>
      <c r="D33" s="3">
        <v>0.33818541241220751</v>
      </c>
      <c r="E33" s="3">
        <v>0.61579109932077269</v>
      </c>
      <c r="F33" s="3">
        <v>1.1124782375242033</v>
      </c>
      <c r="G33" s="3">
        <v>2.3728363626513529</v>
      </c>
      <c r="H33" s="3">
        <v>4.1926633165829141</v>
      </c>
      <c r="I33" s="3">
        <v>3.6408668730650153</v>
      </c>
      <c r="J33" s="3">
        <v>2.6072248304642671</v>
      </c>
      <c r="K33" s="3">
        <v>1.6080476900149032</v>
      </c>
      <c r="L33" s="3">
        <v>1.7637690776376906</v>
      </c>
      <c r="M33" s="3">
        <v>2.2233855276568146</v>
      </c>
      <c r="N33" s="3">
        <v>0</v>
      </c>
      <c r="O33" s="3">
        <v>0</v>
      </c>
      <c r="P33" s="3">
        <v>0</v>
      </c>
      <c r="Q33" s="3">
        <v>0</v>
      </c>
      <c r="R33" s="3">
        <v>-1</v>
      </c>
      <c r="S33" s="3">
        <v>-1</v>
      </c>
      <c r="T33" s="3">
        <v>-1</v>
      </c>
    </row>
    <row r="34" spans="1:20" x14ac:dyDescent="0.2">
      <c r="A34" s="3" t="s">
        <v>167</v>
      </c>
      <c r="B34" s="3">
        <v>0.91882501579279852</v>
      </c>
      <c r="C34" s="3">
        <v>1.0076093849080532</v>
      </c>
      <c r="D34" s="3">
        <v>6.6260987153482082E-2</v>
      </c>
      <c r="E34" s="3">
        <v>0.42829550941574118</v>
      </c>
      <c r="F34" s="3">
        <v>-9.8389203308663478E-2</v>
      </c>
      <c r="G34" s="3">
        <v>-0.29518257134090214</v>
      </c>
      <c r="H34" s="3">
        <v>-1.9849624060150377E-2</v>
      </c>
      <c r="I34" s="3">
        <v>0.35825163398692811</v>
      </c>
      <c r="J34" s="3">
        <v>0.12242090784044017</v>
      </c>
      <c r="K34" s="3">
        <v>1.1403336604514229</v>
      </c>
      <c r="L34" s="3">
        <v>0.3030690537084399</v>
      </c>
      <c r="M34" s="3">
        <v>0.87081339712918659</v>
      </c>
      <c r="N34" s="3">
        <v>0.16434540389972144</v>
      </c>
      <c r="O34" s="3">
        <v>8.4592145015105744E-2</v>
      </c>
      <c r="P34" s="3">
        <v>0.14137931034482759</v>
      </c>
      <c r="Q34" s="3">
        <v>0.51832460732984298</v>
      </c>
      <c r="R34" s="3">
        <v>3.8043478260869568E-2</v>
      </c>
      <c r="S34" s="3">
        <v>-0.15596330275229359</v>
      </c>
      <c r="T34" s="3">
        <v>0.16577540106951871</v>
      </c>
    </row>
    <row r="35" spans="1:20" x14ac:dyDescent="0.2">
      <c r="A35" s="3" t="s">
        <v>165</v>
      </c>
      <c r="B35" s="3">
        <v>3.2883576322859126E-2</v>
      </c>
      <c r="C35" s="3">
        <v>1.27343846502244</v>
      </c>
      <c r="D35" s="3">
        <v>-5.2970006416469852E-3</v>
      </c>
      <c r="E35" s="3">
        <v>-3.071324599708879E-2</v>
      </c>
      <c r="F35" s="3">
        <v>-4.7805302042590175E-3</v>
      </c>
      <c r="G35" s="3">
        <v>0.12505000518572296</v>
      </c>
      <c r="H35" s="3">
        <v>0.34652062884047563</v>
      </c>
      <c r="I35" s="3">
        <v>-7.890771435921938E-2</v>
      </c>
      <c r="J35" s="3">
        <v>8.9100588400112077E-2</v>
      </c>
      <c r="K35" s="3">
        <v>3.7518782691393247</v>
      </c>
      <c r="L35" s="3">
        <v>2.2876751501286819E-3</v>
      </c>
      <c r="M35" s="3">
        <v>2.07203513909224</v>
      </c>
      <c r="N35" s="3">
        <v>0.19322152341020266</v>
      </c>
      <c r="O35" s="3">
        <v>0.17007358953393295</v>
      </c>
      <c r="P35" s="3">
        <v>0.13398238293926751</v>
      </c>
      <c r="Q35" s="3">
        <v>9.4923857868020309E-2</v>
      </c>
      <c r="R35" s="3">
        <v>5.2912880812399789E-2</v>
      </c>
      <c r="S35" s="3">
        <v>-4.1004613018964631E-2</v>
      </c>
      <c r="T35" s="3">
        <v>-0.11998195760036084</v>
      </c>
    </row>
    <row r="36" spans="1:20" x14ac:dyDescent="0.2">
      <c r="A36" s="3" t="s">
        <v>166</v>
      </c>
      <c r="B36" s="3">
        <v>0.28977272727272729</v>
      </c>
      <c r="C36" s="3">
        <v>-7.2708113804004215E-2</v>
      </c>
      <c r="D36" s="3">
        <v>-1.4025974025974027E-2</v>
      </c>
      <c r="E36" s="3">
        <v>0.48419429452582885</v>
      </c>
      <c r="F36" s="3">
        <v>0.29312063808574279</v>
      </c>
      <c r="G36" s="3">
        <v>0.14759725400457666</v>
      </c>
      <c r="H36" s="3">
        <v>-0.22241992882562278</v>
      </c>
      <c r="I36" s="3">
        <v>-0.22322045611610228</v>
      </c>
      <c r="J36" s="3">
        <v>3.3571428571428572E-2</v>
      </c>
      <c r="K36" s="3">
        <v>1.6717557251908397</v>
      </c>
      <c r="L36" s="3">
        <v>9.6339113680154135E-3</v>
      </c>
      <c r="M36" s="3">
        <v>0.82105263157894737</v>
      </c>
      <c r="N36" s="3">
        <v>0.46907216494845361</v>
      </c>
      <c r="O36" s="3">
        <v>0</v>
      </c>
      <c r="P36" s="3">
        <v>2.6455026455026454E-2</v>
      </c>
      <c r="Q36" s="3">
        <v>0.16666666666666666</v>
      </c>
      <c r="R36" s="3">
        <v>-0.13829787234042554</v>
      </c>
      <c r="S36" s="3">
        <v>0.34285714285714286</v>
      </c>
      <c r="T36" s="3">
        <v>-0.17159763313609466</v>
      </c>
    </row>
    <row r="37" spans="1:20" x14ac:dyDescent="0.2">
      <c r="A37" s="3" t="s">
        <v>164</v>
      </c>
      <c r="B37" s="3">
        <v>0.17872592633920012</v>
      </c>
      <c r="C37" s="3">
        <v>1.5321168730270558</v>
      </c>
      <c r="D37" s="3">
        <v>4.1049167386E-2</v>
      </c>
      <c r="E37" s="3">
        <v>-8.901823892977459E-2</v>
      </c>
      <c r="F37" s="3">
        <v>2.5120696041904585E-2</v>
      </c>
      <c r="G37" s="3">
        <v>-5.233563858720014E-2</v>
      </c>
      <c r="H37" s="3">
        <v>-1.6214357604129006E-2</v>
      </c>
      <c r="I37" s="3">
        <v>0.11394611168181419</v>
      </c>
      <c r="J37" s="3">
        <v>-4.2179828393030097E-2</v>
      </c>
      <c r="K37" s="3">
        <v>2.3473504107054679</v>
      </c>
      <c r="L37" s="3">
        <v>0.38201394144964912</v>
      </c>
      <c r="M37" s="3">
        <v>0.12817751861576573</v>
      </c>
      <c r="N37" s="3">
        <v>0.15991456524734737</v>
      </c>
      <c r="O37" s="3">
        <v>0.20588235294117635</v>
      </c>
      <c r="P37" s="3">
        <v>0.29480778357854781</v>
      </c>
      <c r="Q37" s="3">
        <v>0.33158936651583715</v>
      </c>
      <c r="R37" s="3">
        <v>0.30289193302891931</v>
      </c>
      <c r="S37" s="3">
        <v>0.12554112554112551</v>
      </c>
      <c r="T37" s="3">
        <v>-5.2788210091682081E-2</v>
      </c>
    </row>
    <row r="38" spans="1:20" x14ac:dyDescent="0.2">
      <c r="A38" s="3" t="s">
        <v>163</v>
      </c>
      <c r="B38" s="3">
        <v>-3.5964834384157714E-2</v>
      </c>
      <c r="C38" s="3">
        <v>0.70414648910411626</v>
      </c>
      <c r="D38" s="3">
        <v>-8.2545399969983484E-3</v>
      </c>
      <c r="E38" s="3">
        <v>-7.3250068283961956E-3</v>
      </c>
      <c r="F38" s="3">
        <v>-3.3965794334236847E-2</v>
      </c>
      <c r="G38" s="3">
        <v>0.27108360265869869</v>
      </c>
      <c r="H38" s="3">
        <v>0.87492139713028072</v>
      </c>
      <c r="I38" s="3">
        <v>-3.1342603145657626E-3</v>
      </c>
      <c r="J38" s="3">
        <v>0.28632165371646384</v>
      </c>
      <c r="K38" s="3">
        <v>2.5232438016528924</v>
      </c>
      <c r="L38" s="3">
        <v>-0.29715011798874569</v>
      </c>
      <c r="M38" s="3">
        <v>2753.5</v>
      </c>
      <c r="N38" s="3">
        <v>-0.33333333333333331</v>
      </c>
      <c r="O38" s="3">
        <v>-0.5</v>
      </c>
      <c r="P38" s="3">
        <v>-0.97457627118644063</v>
      </c>
      <c r="Q38" s="3">
        <v>-0.60601001669449084</v>
      </c>
      <c r="R38" s="3">
        <v>-0.1563380281690141</v>
      </c>
      <c r="S38" s="3">
        <v>-0.21892189218921893</v>
      </c>
      <c r="T38" s="3">
        <v>-9.7318768619662363E-2</v>
      </c>
    </row>
    <row r="39" spans="1:20" x14ac:dyDescent="0.2">
      <c r="A39" s="3" t="s">
        <v>162</v>
      </c>
      <c r="B39" s="3">
        <v>0.17905477980665951</v>
      </c>
      <c r="C39" s="3">
        <v>0.77232057871692361</v>
      </c>
      <c r="D39" s="3">
        <v>6.7899979670664773E-2</v>
      </c>
      <c r="E39" s="3">
        <v>1.3391017717346519E-2</v>
      </c>
      <c r="F39" s="3">
        <v>-2.2946859903381644E-2</v>
      </c>
      <c r="G39" s="3">
        <v>5.7921635434412269E-2</v>
      </c>
      <c r="H39" s="3">
        <v>0.24628450106157113</v>
      </c>
      <c r="I39" s="3">
        <v>0.14459295261239369</v>
      </c>
      <c r="J39" s="3">
        <v>0.23111443530291698</v>
      </c>
      <c r="K39" s="3">
        <v>1.5490943755958055</v>
      </c>
      <c r="L39" s="3">
        <v>0.50935251798561154</v>
      </c>
      <c r="M39" s="3">
        <v>0.74623115577889443</v>
      </c>
      <c r="N39" s="3">
        <v>0.18805970149253731</v>
      </c>
      <c r="O39" s="3">
        <v>5.6782334384858045E-2</v>
      </c>
      <c r="P39" s="3">
        <v>0.13214285714285715</v>
      </c>
      <c r="Q39" s="3">
        <v>0.14285714285714285</v>
      </c>
      <c r="R39" s="3">
        <v>-7.5471698113207544E-2</v>
      </c>
      <c r="S39" s="3">
        <v>0.29268292682926828</v>
      </c>
      <c r="T39" s="3">
        <v>-1.9138755980861243E-2</v>
      </c>
    </row>
    <row r="40" spans="1:20" x14ac:dyDescent="0.2">
      <c r="A40" s="3" t="s">
        <v>161</v>
      </c>
      <c r="B40" s="3">
        <v>-0.15083686227061907</v>
      </c>
      <c r="C40" s="3">
        <v>2.1149497487437188</v>
      </c>
      <c r="D40" s="3">
        <v>0.15195369030390737</v>
      </c>
      <c r="E40" s="3">
        <v>2.5983667409057165E-2</v>
      </c>
      <c r="F40" s="3">
        <v>-0.30387596899224806</v>
      </c>
      <c r="G40" s="3">
        <v>0.13224107665301346</v>
      </c>
      <c r="H40" s="3">
        <v>0.61837121212121215</v>
      </c>
      <c r="I40" s="3">
        <v>0.33840304182509506</v>
      </c>
      <c r="J40" s="3">
        <v>-2.1091811414392061E-2</v>
      </c>
      <c r="K40" s="3">
        <v>0.65843621399176955</v>
      </c>
      <c r="L40" s="3">
        <v>0.1941031941031941</v>
      </c>
      <c r="M40" s="3">
        <v>0.83333333333333337</v>
      </c>
      <c r="N40" s="3">
        <v>0.11557788944723618</v>
      </c>
      <c r="O40" s="3">
        <v>-9.5454545454545459E-2</v>
      </c>
      <c r="P40" s="3">
        <v>0.12244897959183673</v>
      </c>
      <c r="Q40" s="3">
        <v>0.15976331360946747</v>
      </c>
      <c r="R40" s="3">
        <v>-0.13775510204081631</v>
      </c>
      <c r="S40" s="3">
        <v>1.5544041450777202E-2</v>
      </c>
      <c r="T40" s="3">
        <v>-0.28518518518518521</v>
      </c>
    </row>
  </sheetData>
  <mergeCells count="1">
    <mergeCell ref="B4:T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50FE8-264A-FD46-B713-66C6C5161716}">
  <dimension ref="A1:BU38"/>
  <sheetViews>
    <sheetView workbookViewId="0"/>
  </sheetViews>
  <sheetFormatPr baseColWidth="10" defaultRowHeight="16" x14ac:dyDescent="0.2"/>
  <cols>
    <col min="1" max="1" width="37.33203125" bestFit="1" customWidth="1"/>
    <col min="2" max="11" width="17" bestFit="1" customWidth="1"/>
    <col min="12" max="33" width="15.83203125" bestFit="1" customWidth="1"/>
    <col min="34" max="35" width="16.6640625" bestFit="1" customWidth="1"/>
    <col min="36" max="41" width="15.83203125" bestFit="1" customWidth="1"/>
    <col min="42" max="42" width="16.6640625" bestFit="1" customWidth="1"/>
    <col min="43" max="73" width="15.83203125" bestFit="1" customWidth="1"/>
  </cols>
  <sheetData>
    <row r="1" spans="1:73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</row>
    <row r="2" spans="1:73" x14ac:dyDescent="0.2">
      <c r="A2" t="s">
        <v>1</v>
      </c>
      <c r="B2" t="s">
        <v>2</v>
      </c>
    </row>
    <row r="3" spans="1:73" x14ac:dyDescent="0.2">
      <c r="A3" t="s">
        <v>3</v>
      </c>
      <c r="B3" t="s">
        <v>4</v>
      </c>
    </row>
    <row r="4" spans="1:73" x14ac:dyDescent="0.2">
      <c r="A4" t="s">
        <v>32</v>
      </c>
      <c r="B4" t="s">
        <v>195</v>
      </c>
      <c r="C4" t="s">
        <v>196</v>
      </c>
      <c r="D4" t="s">
        <v>197</v>
      </c>
      <c r="E4" t="s">
        <v>198</v>
      </c>
      <c r="F4" t="s">
        <v>195</v>
      </c>
      <c r="G4" t="s">
        <v>196</v>
      </c>
      <c r="H4" t="s">
        <v>197</v>
      </c>
      <c r="I4" t="s">
        <v>198</v>
      </c>
      <c r="J4" t="s">
        <v>195</v>
      </c>
      <c r="K4" t="s">
        <v>196</v>
      </c>
      <c r="L4" t="s">
        <v>197</v>
      </c>
      <c r="M4" t="s">
        <v>198</v>
      </c>
      <c r="N4" t="s">
        <v>195</v>
      </c>
      <c r="O4" t="s">
        <v>196</v>
      </c>
      <c r="P4" t="s">
        <v>197</v>
      </c>
      <c r="Q4" t="s">
        <v>198</v>
      </c>
      <c r="R4" t="s">
        <v>195</v>
      </c>
      <c r="S4" t="s">
        <v>196</v>
      </c>
      <c r="T4" t="s">
        <v>197</v>
      </c>
      <c r="U4" t="s">
        <v>198</v>
      </c>
      <c r="V4" t="s">
        <v>195</v>
      </c>
      <c r="W4" t="s">
        <v>196</v>
      </c>
      <c r="X4" t="s">
        <v>197</v>
      </c>
      <c r="Y4" t="s">
        <v>198</v>
      </c>
      <c r="Z4" t="s">
        <v>195</v>
      </c>
      <c r="AA4" t="s">
        <v>196</v>
      </c>
      <c r="AB4" t="s">
        <v>197</v>
      </c>
      <c r="AC4" t="s">
        <v>198</v>
      </c>
      <c r="AD4" t="s">
        <v>195</v>
      </c>
      <c r="AE4" t="s">
        <v>196</v>
      </c>
      <c r="AF4" t="s">
        <v>197</v>
      </c>
      <c r="AG4" t="s">
        <v>198</v>
      </c>
      <c r="AH4" t="s">
        <v>195</v>
      </c>
      <c r="AI4" t="s">
        <v>196</v>
      </c>
      <c r="AJ4" t="s">
        <v>197</v>
      </c>
      <c r="AK4" t="s">
        <v>198</v>
      </c>
      <c r="AL4" t="s">
        <v>195</v>
      </c>
      <c r="AM4" t="s">
        <v>196</v>
      </c>
      <c r="AN4" t="s">
        <v>197</v>
      </c>
      <c r="AO4" t="s">
        <v>198</v>
      </c>
      <c r="AP4" t="s">
        <v>195</v>
      </c>
      <c r="AQ4" t="s">
        <v>196</v>
      </c>
      <c r="AR4" t="s">
        <v>197</v>
      </c>
      <c r="AS4" t="s">
        <v>198</v>
      </c>
      <c r="AT4" t="s">
        <v>195</v>
      </c>
      <c r="AU4" t="s">
        <v>196</v>
      </c>
      <c r="AV4" t="s">
        <v>197</v>
      </c>
      <c r="AW4" t="s">
        <v>198</v>
      </c>
      <c r="AX4" t="s">
        <v>195</v>
      </c>
      <c r="AY4" t="s">
        <v>196</v>
      </c>
      <c r="AZ4" t="s">
        <v>197</v>
      </c>
      <c r="BA4" t="s">
        <v>198</v>
      </c>
      <c r="BB4" t="s">
        <v>195</v>
      </c>
      <c r="BC4" t="s">
        <v>196</v>
      </c>
      <c r="BD4" t="s">
        <v>197</v>
      </c>
      <c r="BE4" t="s">
        <v>198</v>
      </c>
      <c r="BF4" t="s">
        <v>195</v>
      </c>
      <c r="BG4" t="s">
        <v>196</v>
      </c>
      <c r="BH4" t="s">
        <v>197</v>
      </c>
      <c r="BI4" t="s">
        <v>198</v>
      </c>
      <c r="BJ4" t="s">
        <v>195</v>
      </c>
      <c r="BK4" t="s">
        <v>196</v>
      </c>
      <c r="BL4" t="s">
        <v>197</v>
      </c>
      <c r="BM4" t="s">
        <v>198</v>
      </c>
      <c r="BN4" t="s">
        <v>195</v>
      </c>
      <c r="BO4" t="s">
        <v>196</v>
      </c>
      <c r="BP4" t="s">
        <v>197</v>
      </c>
      <c r="BQ4" t="s">
        <v>198</v>
      </c>
      <c r="BR4" t="s">
        <v>195</v>
      </c>
      <c r="BS4" t="s">
        <v>196</v>
      </c>
      <c r="BT4" t="s">
        <v>197</v>
      </c>
      <c r="BU4" t="s">
        <v>198</v>
      </c>
    </row>
    <row r="5" spans="1:73" x14ac:dyDescent="0.2">
      <c r="A5" t="s">
        <v>34</v>
      </c>
      <c r="B5" s="8">
        <v>46145</v>
      </c>
      <c r="C5" s="8">
        <v>46054</v>
      </c>
      <c r="D5" s="8">
        <v>45963</v>
      </c>
      <c r="E5" s="8">
        <v>45872</v>
      </c>
      <c r="F5" s="8">
        <v>45781</v>
      </c>
      <c r="G5" s="8">
        <v>45690</v>
      </c>
      <c r="H5" s="8">
        <v>45599</v>
      </c>
      <c r="I5" s="8">
        <v>45508</v>
      </c>
      <c r="J5" s="8">
        <v>45417</v>
      </c>
      <c r="K5" s="8">
        <v>45326</v>
      </c>
      <c r="L5" s="8">
        <v>45228</v>
      </c>
      <c r="M5" s="8">
        <v>45137</v>
      </c>
      <c r="N5" s="8">
        <v>45046</v>
      </c>
      <c r="O5" s="8">
        <v>44955</v>
      </c>
      <c r="P5" s="8">
        <v>44864</v>
      </c>
      <c r="Q5" s="8">
        <v>44773</v>
      </c>
      <c r="R5" s="8">
        <v>44682</v>
      </c>
      <c r="S5" s="8">
        <v>44591</v>
      </c>
      <c r="T5" s="8">
        <v>44500</v>
      </c>
      <c r="U5" s="8">
        <v>44409</v>
      </c>
      <c r="V5" s="8">
        <v>44318</v>
      </c>
      <c r="W5" s="8">
        <v>44227</v>
      </c>
      <c r="X5" s="8">
        <v>44136</v>
      </c>
      <c r="Y5" s="8">
        <v>44045</v>
      </c>
      <c r="Z5" s="8">
        <v>43954</v>
      </c>
      <c r="AA5" s="8">
        <v>43863</v>
      </c>
      <c r="AB5" s="8">
        <v>43772</v>
      </c>
      <c r="AC5" s="8">
        <v>43681</v>
      </c>
      <c r="AD5" s="8">
        <v>43590</v>
      </c>
      <c r="AE5" s="8">
        <v>43499</v>
      </c>
      <c r="AF5" s="8">
        <v>43408</v>
      </c>
      <c r="AG5" s="8">
        <v>43317</v>
      </c>
      <c r="AH5" s="8">
        <v>43226</v>
      </c>
      <c r="AI5" s="8">
        <v>43131</v>
      </c>
      <c r="AJ5" s="8">
        <v>43039</v>
      </c>
      <c r="AK5" s="8">
        <v>42947</v>
      </c>
      <c r="AL5" s="8">
        <v>42855</v>
      </c>
      <c r="AM5" s="8">
        <v>42766</v>
      </c>
      <c r="AN5" s="8">
        <v>42674</v>
      </c>
      <c r="AO5" s="8">
        <v>42582</v>
      </c>
      <c r="AP5" s="8">
        <v>42490</v>
      </c>
      <c r="AQ5" s="8">
        <v>42400</v>
      </c>
      <c r="AR5" s="8">
        <v>42308</v>
      </c>
      <c r="AS5" s="8">
        <v>42216</v>
      </c>
      <c r="AT5" s="8">
        <v>42124</v>
      </c>
      <c r="AU5" s="8">
        <v>42035</v>
      </c>
      <c r="AV5" s="8">
        <v>41943</v>
      </c>
      <c r="AW5" s="8">
        <v>41851</v>
      </c>
      <c r="AX5" s="8">
        <v>41759</v>
      </c>
      <c r="AY5" s="8">
        <v>41670</v>
      </c>
      <c r="AZ5" s="8">
        <v>41578</v>
      </c>
      <c r="BA5" s="8">
        <v>41486</v>
      </c>
      <c r="BB5" s="8">
        <v>41394</v>
      </c>
      <c r="BC5" s="8">
        <v>41305</v>
      </c>
      <c r="BD5" s="8">
        <v>41213</v>
      </c>
      <c r="BE5" s="8">
        <v>41121</v>
      </c>
      <c r="BF5" s="8">
        <v>41029</v>
      </c>
      <c r="BG5" s="8">
        <v>40939</v>
      </c>
      <c r="BH5" s="8">
        <v>40847</v>
      </c>
      <c r="BI5" s="8">
        <v>40755</v>
      </c>
      <c r="BJ5" s="8">
        <v>40663</v>
      </c>
      <c r="BK5" s="8">
        <v>40574</v>
      </c>
      <c r="BL5" s="8">
        <v>40482</v>
      </c>
      <c r="BM5" s="8">
        <v>40390</v>
      </c>
      <c r="BN5" s="8">
        <v>40298</v>
      </c>
      <c r="BO5" s="8">
        <v>40209</v>
      </c>
      <c r="BP5" s="8">
        <v>40117</v>
      </c>
      <c r="BQ5" s="8">
        <v>40025</v>
      </c>
      <c r="BR5" s="8">
        <v>39933</v>
      </c>
      <c r="BS5" s="8">
        <v>39844</v>
      </c>
      <c r="BT5" s="8">
        <v>39752</v>
      </c>
      <c r="BU5" s="8">
        <v>39660</v>
      </c>
    </row>
    <row r="7" spans="1:73" x14ac:dyDescent="0.2">
      <c r="A7" s="1" t="s">
        <v>31</v>
      </c>
      <c r="B7" s="1">
        <v>22187000000</v>
      </c>
      <c r="C7" s="1">
        <v>19311000000</v>
      </c>
      <c r="D7" s="1">
        <v>18015000000</v>
      </c>
      <c r="E7" s="1">
        <v>15952000000</v>
      </c>
      <c r="F7" s="1">
        <v>15004000000</v>
      </c>
      <c r="G7" s="1">
        <v>14916000000</v>
      </c>
      <c r="H7" s="1">
        <v>14054000000</v>
      </c>
      <c r="I7" s="1">
        <v>13072000000</v>
      </c>
      <c r="J7" s="1">
        <v>12487000000</v>
      </c>
      <c r="K7" s="1">
        <v>11961000000</v>
      </c>
      <c r="L7" s="1">
        <v>9295000000</v>
      </c>
      <c r="M7" s="1">
        <v>8876000000</v>
      </c>
      <c r="N7" s="1">
        <v>8733000000</v>
      </c>
      <c r="O7" s="1">
        <v>8915000000</v>
      </c>
      <c r="P7" s="1">
        <v>8930000000</v>
      </c>
      <c r="Q7" s="1">
        <v>8464000000</v>
      </c>
      <c r="R7" s="1">
        <v>8103000000</v>
      </c>
      <c r="S7" s="1">
        <v>7706000000</v>
      </c>
      <c r="T7" s="1">
        <v>7407000000</v>
      </c>
      <c r="U7" s="1">
        <v>6778000000</v>
      </c>
      <c r="V7" s="1">
        <v>6610000000</v>
      </c>
      <c r="W7" s="1">
        <v>6655000000</v>
      </c>
      <c r="X7" s="1">
        <v>6467000000</v>
      </c>
      <c r="Y7" s="1">
        <v>5821000000</v>
      </c>
      <c r="Z7" s="1">
        <v>5742000000</v>
      </c>
      <c r="AA7" s="1">
        <v>5858000000</v>
      </c>
      <c r="AB7" s="1">
        <v>5776000000</v>
      </c>
      <c r="AC7" s="1">
        <v>5515000000</v>
      </c>
      <c r="AD7" s="1">
        <v>5517000000</v>
      </c>
      <c r="AE7" s="1">
        <v>5789000000</v>
      </c>
      <c r="AF7" s="1">
        <v>5444000000</v>
      </c>
      <c r="AG7" s="1">
        <v>5063000000</v>
      </c>
      <c r="AH7" s="1">
        <v>5014000000</v>
      </c>
      <c r="AI7" s="1">
        <v>5327000000</v>
      </c>
      <c r="AJ7" s="1">
        <v>4844000000</v>
      </c>
      <c r="AK7" s="1">
        <v>4463000000</v>
      </c>
      <c r="AL7" s="1">
        <v>4190000000</v>
      </c>
      <c r="AM7" s="1">
        <v>4139000000</v>
      </c>
      <c r="AN7" s="1">
        <v>4136000000</v>
      </c>
      <c r="AO7" s="1">
        <v>3792000000</v>
      </c>
      <c r="AP7" s="1">
        <v>3541000000</v>
      </c>
      <c r="AQ7" s="1">
        <v>1771000000</v>
      </c>
      <c r="AR7" s="1">
        <v>1840000000</v>
      </c>
      <c r="AS7" s="1">
        <v>1735000000</v>
      </c>
      <c r="AT7" s="1">
        <v>1614000000</v>
      </c>
      <c r="AU7" s="1">
        <v>1635000000</v>
      </c>
      <c r="AV7" s="1">
        <v>1590000000</v>
      </c>
      <c r="AW7" s="1">
        <v>1269000000</v>
      </c>
      <c r="AX7" s="1">
        <v>701000000</v>
      </c>
      <c r="AY7" s="1">
        <v>709000000</v>
      </c>
      <c r="AZ7" s="1">
        <v>738000000</v>
      </c>
      <c r="BA7" s="1">
        <v>644000000</v>
      </c>
      <c r="BB7" s="1">
        <v>562000000</v>
      </c>
      <c r="BC7" s="1">
        <v>576000000</v>
      </c>
      <c r="BD7" s="1">
        <v>618000000</v>
      </c>
      <c r="BE7" s="1">
        <v>606000000</v>
      </c>
      <c r="BF7" s="1">
        <v>577000000</v>
      </c>
      <c r="BG7" s="1">
        <v>563000000</v>
      </c>
      <c r="BH7" s="1">
        <v>623000000</v>
      </c>
      <c r="BI7" s="1">
        <v>603000000</v>
      </c>
      <c r="BJ7" s="1">
        <v>560000000</v>
      </c>
      <c r="BK7" s="1">
        <v>550000000</v>
      </c>
      <c r="BL7" s="1">
        <v>572000000</v>
      </c>
      <c r="BM7" s="1">
        <v>550000000</v>
      </c>
      <c r="BN7" s="1">
        <v>515000000</v>
      </c>
      <c r="BO7" s="1">
        <v>456000000</v>
      </c>
      <c r="BP7" s="1">
        <v>428000000</v>
      </c>
      <c r="BQ7" s="1">
        <v>363000000</v>
      </c>
      <c r="BR7" s="1">
        <v>325000000</v>
      </c>
      <c r="BS7" s="1">
        <v>368000000</v>
      </c>
      <c r="BT7" s="1">
        <v>447000000</v>
      </c>
      <c r="BU7" s="1">
        <v>439000000</v>
      </c>
    </row>
    <row r="9" spans="1:73" x14ac:dyDescent="0.2">
      <c r="A9" s="1" t="s">
        <v>30</v>
      </c>
      <c r="B9" s="1">
        <v>7268000000</v>
      </c>
      <c r="C9" s="1">
        <v>6648000000</v>
      </c>
      <c r="D9" s="1">
        <v>5766000000</v>
      </c>
      <c r="E9" s="1">
        <v>5249000000</v>
      </c>
      <c r="F9" s="1">
        <v>4807000000</v>
      </c>
      <c r="G9" s="1">
        <v>4771000000</v>
      </c>
      <c r="H9" s="1">
        <v>5052000000</v>
      </c>
      <c r="I9" s="1">
        <v>4716000000</v>
      </c>
      <c r="J9" s="1">
        <v>4711000000</v>
      </c>
      <c r="K9" s="1">
        <v>4586000000</v>
      </c>
      <c r="L9" s="1">
        <v>2888000000</v>
      </c>
      <c r="M9" s="1">
        <v>2712000000</v>
      </c>
      <c r="N9" s="1">
        <v>2618000000</v>
      </c>
      <c r="O9" s="1">
        <v>2911000000</v>
      </c>
      <c r="P9" s="1">
        <v>3004000000</v>
      </c>
      <c r="Q9" s="1">
        <v>2783000000</v>
      </c>
      <c r="R9" s="1">
        <v>2664000000</v>
      </c>
      <c r="S9" s="1">
        <v>2657000000</v>
      </c>
      <c r="T9" s="1">
        <v>2769000000</v>
      </c>
      <c r="U9" s="1">
        <v>2581000000</v>
      </c>
      <c r="V9" s="1">
        <v>2553000000</v>
      </c>
      <c r="W9" s="1">
        <v>2703000000</v>
      </c>
      <c r="X9" s="1">
        <v>2720000000</v>
      </c>
      <c r="Y9" s="1">
        <v>2505000000</v>
      </c>
      <c r="Z9" s="1">
        <v>2553000000</v>
      </c>
      <c r="AA9" s="1">
        <v>2594000000</v>
      </c>
      <c r="AB9" s="1">
        <v>2624000000</v>
      </c>
      <c r="AC9" s="1">
        <v>2481000000</v>
      </c>
      <c r="AD9" s="1">
        <v>2428000000</v>
      </c>
      <c r="AE9" s="1">
        <v>2581000000</v>
      </c>
      <c r="AF9" s="1">
        <v>2509000000</v>
      </c>
      <c r="AG9" s="1">
        <v>2444000000</v>
      </c>
      <c r="AH9" s="1">
        <v>2463000000</v>
      </c>
      <c r="AI9" s="1">
        <v>2699000000</v>
      </c>
      <c r="AJ9" s="1">
        <v>2461000000</v>
      </c>
      <c r="AK9" s="1">
        <v>2314000000</v>
      </c>
      <c r="AL9" s="1">
        <v>2214000000</v>
      </c>
      <c r="AM9" s="1">
        <v>2138000000</v>
      </c>
      <c r="AN9" s="1">
        <v>1965000000</v>
      </c>
      <c r="AO9" s="1">
        <v>2010000000</v>
      </c>
      <c r="AP9" s="1">
        <v>2495000000</v>
      </c>
      <c r="AQ9" s="1">
        <v>830000000</v>
      </c>
      <c r="AR9" s="1">
        <v>843000000</v>
      </c>
      <c r="AS9" s="1">
        <v>851000000</v>
      </c>
      <c r="AT9" s="1">
        <v>768000000</v>
      </c>
      <c r="AU9" s="1">
        <v>809000000</v>
      </c>
      <c r="AV9" s="1">
        <v>802000000</v>
      </c>
      <c r="AW9" s="1">
        <v>876000000</v>
      </c>
      <c r="AX9" s="1">
        <v>344000000</v>
      </c>
      <c r="AY9" s="1">
        <v>370000000</v>
      </c>
      <c r="AZ9" s="1">
        <v>392000000</v>
      </c>
      <c r="BA9" s="1">
        <v>340000000</v>
      </c>
      <c r="BB9" s="1">
        <v>290000000</v>
      </c>
      <c r="BC9" s="1">
        <v>300000000</v>
      </c>
      <c r="BD9" s="1">
        <v>319000000</v>
      </c>
      <c r="BE9" s="1">
        <v>311000000</v>
      </c>
      <c r="BF9" s="1">
        <v>299000000</v>
      </c>
      <c r="BG9" s="1">
        <v>293000000</v>
      </c>
      <c r="BH9" s="1">
        <v>319000000</v>
      </c>
      <c r="BI9" s="1">
        <v>306000000</v>
      </c>
      <c r="BJ9" s="1">
        <v>285000000</v>
      </c>
      <c r="BK9" s="1">
        <v>279000000</v>
      </c>
      <c r="BL9" s="1">
        <v>296000000</v>
      </c>
      <c r="BM9" s="1">
        <v>287000000</v>
      </c>
      <c r="BN9" s="1">
        <v>282000000</v>
      </c>
      <c r="BO9" s="1">
        <v>262000000</v>
      </c>
      <c r="BP9" s="1">
        <v>250000000</v>
      </c>
      <c r="BQ9" s="1">
        <v>222000000</v>
      </c>
      <c r="BR9" s="1">
        <v>227000000</v>
      </c>
      <c r="BS9" s="1">
        <v>225000000</v>
      </c>
      <c r="BT9" s="1">
        <v>279000000</v>
      </c>
      <c r="BU9" s="1">
        <v>268000000</v>
      </c>
    </row>
    <row r="10" spans="1:73" x14ac:dyDescent="0.2">
      <c r="A10" s="6" t="s">
        <v>29</v>
      </c>
      <c r="B10" s="4">
        <v>14919000000</v>
      </c>
      <c r="C10" s="4">
        <v>12663000000</v>
      </c>
      <c r="D10" s="4">
        <v>12249000000</v>
      </c>
      <c r="E10" s="4">
        <v>10703000000</v>
      </c>
      <c r="F10" s="4">
        <v>10197000000</v>
      </c>
      <c r="G10" s="4">
        <v>10145000000</v>
      </c>
      <c r="H10" s="4">
        <v>9002000000</v>
      </c>
      <c r="I10" s="4">
        <v>8356000000</v>
      </c>
      <c r="J10" s="4">
        <v>7776000000</v>
      </c>
      <c r="K10" s="4">
        <v>7375000000</v>
      </c>
      <c r="L10" s="4">
        <v>6407000000</v>
      </c>
      <c r="M10" s="4">
        <v>6164000000</v>
      </c>
      <c r="N10" s="4">
        <v>6115000000</v>
      </c>
      <c r="O10" s="4">
        <v>6004000000</v>
      </c>
      <c r="P10" s="4">
        <v>5926000000</v>
      </c>
      <c r="Q10" s="4">
        <v>5681000000</v>
      </c>
      <c r="R10" s="4">
        <v>5439000000</v>
      </c>
      <c r="S10" s="4">
        <v>5049000000</v>
      </c>
      <c r="T10" s="4">
        <v>4638000000</v>
      </c>
      <c r="U10" s="4">
        <v>4197000000</v>
      </c>
      <c r="V10" s="4">
        <v>4057000000</v>
      </c>
      <c r="W10" s="4">
        <v>3952000000</v>
      </c>
      <c r="X10" s="4">
        <v>3747000000</v>
      </c>
      <c r="Y10" s="4">
        <v>3316000000</v>
      </c>
      <c r="Z10" s="4">
        <v>3189000000</v>
      </c>
      <c r="AA10" s="4">
        <v>3264000000</v>
      </c>
      <c r="AB10" s="4">
        <v>3152000000</v>
      </c>
      <c r="AC10" s="4">
        <v>3034000000</v>
      </c>
      <c r="AD10" s="4">
        <v>3089000000</v>
      </c>
      <c r="AE10" s="4">
        <v>3208000000</v>
      </c>
      <c r="AF10" s="4">
        <v>2935000000</v>
      </c>
      <c r="AG10" s="4">
        <v>2619000000</v>
      </c>
      <c r="AH10" s="4">
        <v>2551000000</v>
      </c>
      <c r="AI10" s="4">
        <v>2628000000</v>
      </c>
      <c r="AJ10" s="4">
        <v>2383000000</v>
      </c>
      <c r="AK10" s="4">
        <v>2149000000</v>
      </c>
      <c r="AL10" s="4">
        <v>1976000000</v>
      </c>
      <c r="AM10" s="4">
        <v>2001000000</v>
      </c>
      <c r="AN10" s="4">
        <v>2171000000</v>
      </c>
      <c r="AO10" s="4">
        <v>1782000000</v>
      </c>
      <c r="AP10" s="4">
        <v>1046000000</v>
      </c>
      <c r="AQ10" s="4">
        <v>941000000</v>
      </c>
      <c r="AR10" s="4">
        <v>997000000</v>
      </c>
      <c r="AS10" s="4">
        <v>884000000</v>
      </c>
      <c r="AT10" s="4">
        <v>846000000</v>
      </c>
      <c r="AU10" s="4">
        <v>826000000</v>
      </c>
      <c r="AV10" s="4">
        <v>788000000</v>
      </c>
      <c r="AW10" s="4">
        <v>393000000</v>
      </c>
      <c r="AX10" s="4">
        <v>357000000</v>
      </c>
      <c r="AY10" s="4">
        <v>339000000</v>
      </c>
      <c r="AZ10" s="4">
        <v>346000000</v>
      </c>
      <c r="BA10" s="4">
        <v>304000000</v>
      </c>
      <c r="BB10" s="4">
        <v>272000000</v>
      </c>
      <c r="BC10" s="4">
        <v>276000000</v>
      </c>
      <c r="BD10" s="4">
        <v>299000000</v>
      </c>
      <c r="BE10" s="4">
        <v>295000000</v>
      </c>
      <c r="BF10" s="4">
        <v>278000000</v>
      </c>
      <c r="BG10" s="4">
        <v>270000000</v>
      </c>
      <c r="BH10" s="4">
        <v>304000000</v>
      </c>
      <c r="BI10" s="4">
        <v>297000000</v>
      </c>
      <c r="BJ10" s="4">
        <v>275000000</v>
      </c>
      <c r="BK10" s="4">
        <v>271000000</v>
      </c>
      <c r="BL10" s="4">
        <v>276000000</v>
      </c>
      <c r="BM10" s="4">
        <v>263000000</v>
      </c>
      <c r="BN10" s="4">
        <v>233000000</v>
      </c>
      <c r="BO10" s="4">
        <v>194000000</v>
      </c>
      <c r="BP10" s="4">
        <v>178000000</v>
      </c>
      <c r="BQ10" s="4">
        <v>141000000</v>
      </c>
      <c r="BR10" s="4">
        <v>98000000</v>
      </c>
      <c r="BS10" s="4">
        <v>143000000</v>
      </c>
      <c r="BT10" s="4">
        <v>168000000</v>
      </c>
      <c r="BU10" s="4">
        <v>171000000</v>
      </c>
    </row>
    <row r="11" spans="1:73" x14ac:dyDescent="0.2">
      <c r="A11" s="3" t="s">
        <v>28</v>
      </c>
      <c r="B11" s="3">
        <v>0.67242078689999996</v>
      </c>
      <c r="C11" s="3">
        <v>0.65574025170000005</v>
      </c>
      <c r="D11" s="3">
        <v>0.67993338879999998</v>
      </c>
      <c r="E11" s="3">
        <v>0.67095035110000001</v>
      </c>
      <c r="F11" s="3">
        <v>0.67961876830000001</v>
      </c>
      <c r="G11" s="3">
        <v>0.68014212929999995</v>
      </c>
      <c r="H11" s="3">
        <v>0.64052938670000004</v>
      </c>
      <c r="I11" s="3">
        <v>0.63922888619999996</v>
      </c>
      <c r="J11" s="3">
        <v>0.62272763669999998</v>
      </c>
      <c r="K11" s="3">
        <v>0.61658724190000003</v>
      </c>
      <c r="L11" s="3">
        <v>0.68929532010000005</v>
      </c>
      <c r="M11" s="3">
        <v>0.69445696260000001</v>
      </c>
      <c r="N11" s="3">
        <v>0.70021756560000004</v>
      </c>
      <c r="O11" s="3">
        <v>0.67347167689999998</v>
      </c>
      <c r="P11" s="3">
        <v>0.66360582310000005</v>
      </c>
      <c r="Q11" s="3">
        <v>0.67119565219999999</v>
      </c>
      <c r="R11" s="3">
        <v>0.67123287669999998</v>
      </c>
      <c r="S11" s="3">
        <v>0.65520373730000003</v>
      </c>
      <c r="T11" s="3">
        <v>0.62616443899999996</v>
      </c>
      <c r="U11" s="3">
        <v>0.61920920629999998</v>
      </c>
      <c r="V11" s="3">
        <v>0.61376701970000003</v>
      </c>
      <c r="W11" s="3">
        <v>0.5938392186</v>
      </c>
      <c r="X11" s="3">
        <v>0.57940312360000001</v>
      </c>
      <c r="Y11" s="3">
        <v>0.56966157019999997</v>
      </c>
      <c r="Z11" s="3">
        <v>0.55538140020000004</v>
      </c>
      <c r="AA11" s="3">
        <v>0.5571867532</v>
      </c>
      <c r="AB11" s="3">
        <v>0.54570637119999998</v>
      </c>
      <c r="AC11" s="3">
        <v>0.55013599270000002</v>
      </c>
      <c r="AD11" s="3">
        <v>0.55990574589999997</v>
      </c>
      <c r="AE11" s="3">
        <v>0.55415443080000004</v>
      </c>
      <c r="AF11" s="3">
        <v>0.53912564289999998</v>
      </c>
      <c r="AG11" s="3">
        <v>0.51728224369999998</v>
      </c>
      <c r="AH11" s="3">
        <v>0.50877542880000004</v>
      </c>
      <c r="AI11" s="3">
        <v>0.4933358363</v>
      </c>
      <c r="AJ11" s="3">
        <v>0.49194880260000001</v>
      </c>
      <c r="AK11" s="3">
        <v>0.48151467619999999</v>
      </c>
      <c r="AL11" s="3">
        <v>0.47159904530000002</v>
      </c>
      <c r="AM11" s="3">
        <v>0.48345010869999999</v>
      </c>
      <c r="AN11" s="3">
        <v>0.52490328819999998</v>
      </c>
      <c r="AO11" s="3">
        <v>0.4699367089</v>
      </c>
      <c r="AP11" s="3">
        <v>0.29539678060000002</v>
      </c>
      <c r="AQ11" s="3">
        <v>0.531338227</v>
      </c>
      <c r="AR11" s="3">
        <v>0.54184782610000004</v>
      </c>
      <c r="AS11" s="3">
        <v>0.50951008649999996</v>
      </c>
      <c r="AT11" s="3">
        <v>0.52416356880000003</v>
      </c>
      <c r="AU11" s="3">
        <v>0.50519877680000003</v>
      </c>
      <c r="AV11" s="3">
        <v>0.4955974843</v>
      </c>
      <c r="AW11" s="3">
        <v>0.30969267140000001</v>
      </c>
      <c r="AX11" s="3">
        <v>0.50927246790000003</v>
      </c>
      <c r="AY11" s="3">
        <v>0.47813822280000001</v>
      </c>
      <c r="AZ11" s="3">
        <v>0.46883468830000002</v>
      </c>
      <c r="BA11" s="3">
        <v>0.47204968940000003</v>
      </c>
      <c r="BB11" s="3">
        <v>0.48398576510000002</v>
      </c>
      <c r="BC11" s="3">
        <v>0.47916666670000002</v>
      </c>
      <c r="BD11" s="3">
        <v>0.48381877020000003</v>
      </c>
      <c r="BE11" s="3">
        <v>0.48679867989999998</v>
      </c>
      <c r="BF11" s="3">
        <v>0.48180242629999998</v>
      </c>
      <c r="BG11" s="3">
        <v>0.47957371230000001</v>
      </c>
      <c r="BH11" s="3">
        <v>0.48796147670000001</v>
      </c>
      <c r="BI11" s="3">
        <v>0.49253731340000001</v>
      </c>
      <c r="BJ11" s="3">
        <v>0.49107142860000003</v>
      </c>
      <c r="BK11" s="3">
        <v>0.4927272727</v>
      </c>
      <c r="BL11" s="3">
        <v>0.48251748249999998</v>
      </c>
      <c r="BM11" s="3">
        <v>0.4781818182</v>
      </c>
      <c r="BN11" s="3">
        <v>0.45242718450000002</v>
      </c>
      <c r="BO11" s="3">
        <v>0.42543859649999999</v>
      </c>
      <c r="BP11" s="3">
        <v>0.41588785049999999</v>
      </c>
      <c r="BQ11" s="3">
        <v>0.38842975210000003</v>
      </c>
      <c r="BR11" s="3">
        <v>0.30153846150000002</v>
      </c>
      <c r="BS11" s="3">
        <v>0.38858695650000002</v>
      </c>
      <c r="BT11" s="3">
        <v>0.37583892619999998</v>
      </c>
      <c r="BU11" s="3">
        <v>0.38952164010000001</v>
      </c>
    </row>
    <row r="13" spans="1:73" x14ac:dyDescent="0.2">
      <c r="A13" s="1" t="s">
        <v>27</v>
      </c>
      <c r="B13" s="1">
        <v>2995000000</v>
      </c>
      <c r="C13" s="1">
        <v>2965000000</v>
      </c>
      <c r="D13" s="1">
        <v>2981000000</v>
      </c>
      <c r="E13" s="1">
        <v>3050000000</v>
      </c>
      <c r="F13" s="1">
        <v>2693000000</v>
      </c>
      <c r="G13" s="1">
        <v>2253000000</v>
      </c>
      <c r="H13" s="1">
        <v>2234000000</v>
      </c>
      <c r="I13" s="1">
        <v>2353000000</v>
      </c>
      <c r="J13" s="1">
        <v>2415000000</v>
      </c>
      <c r="K13" s="1">
        <v>2308000000</v>
      </c>
      <c r="L13" s="1">
        <v>1388000000</v>
      </c>
      <c r="M13" s="1">
        <v>1358000000</v>
      </c>
      <c r="N13" s="1">
        <v>1312000000</v>
      </c>
      <c r="O13" s="1">
        <v>1195000000</v>
      </c>
      <c r="P13" s="1">
        <v>1197000000</v>
      </c>
      <c r="Q13" s="1">
        <v>1255000000</v>
      </c>
      <c r="R13" s="1">
        <v>1261000000</v>
      </c>
      <c r="S13" s="1">
        <v>1206000000</v>
      </c>
      <c r="T13" s="1">
        <v>1200000000</v>
      </c>
      <c r="U13" s="1">
        <v>1205000000</v>
      </c>
      <c r="V13" s="1">
        <v>1238000000</v>
      </c>
      <c r="W13" s="1">
        <v>1211000000</v>
      </c>
      <c r="X13" s="1">
        <v>1182000000</v>
      </c>
      <c r="Y13" s="1">
        <v>1228000000</v>
      </c>
      <c r="Z13" s="1">
        <v>1269000000</v>
      </c>
      <c r="AA13" s="1">
        <v>1289000000</v>
      </c>
      <c r="AB13" s="1">
        <v>1177000000</v>
      </c>
      <c r="AC13" s="1">
        <v>1235000000</v>
      </c>
      <c r="AD13" s="1">
        <v>1151000000</v>
      </c>
      <c r="AE13" s="1">
        <v>1133000000</v>
      </c>
      <c r="AF13" s="1">
        <v>948000000</v>
      </c>
      <c r="AG13" s="1">
        <v>959000000</v>
      </c>
      <c r="AH13" s="1">
        <v>936000000</v>
      </c>
      <c r="AI13" s="1">
        <v>925000000</v>
      </c>
      <c r="AJ13" s="1">
        <v>828000000</v>
      </c>
      <c r="AK13" s="1">
        <v>827000000</v>
      </c>
      <c r="AL13" s="1">
        <v>829000000</v>
      </c>
      <c r="AM13" s="1">
        <v>808000000</v>
      </c>
      <c r="AN13" s="1">
        <v>806000000</v>
      </c>
      <c r="AO13" s="1">
        <v>814000000</v>
      </c>
      <c r="AP13" s="1">
        <v>787000000</v>
      </c>
      <c r="AQ13" s="1">
        <v>267000000</v>
      </c>
      <c r="AR13" s="1">
        <v>287000000</v>
      </c>
      <c r="AS13" s="1">
        <v>276000000</v>
      </c>
      <c r="AT13" s="1">
        <v>251000000</v>
      </c>
      <c r="AU13" s="1">
        <v>235000000</v>
      </c>
      <c r="AV13" s="1">
        <v>234000000</v>
      </c>
      <c r="AW13" s="1">
        <v>240000000</v>
      </c>
      <c r="AX13" s="1">
        <v>114000000</v>
      </c>
      <c r="AY13" s="1">
        <v>107000000</v>
      </c>
      <c r="AZ13" s="1">
        <v>109000000</v>
      </c>
      <c r="BA13" s="1">
        <v>101000000</v>
      </c>
      <c r="BB13" s="1">
        <v>95000000</v>
      </c>
      <c r="BC13" s="1">
        <v>93000000</v>
      </c>
      <c r="BD13" s="1">
        <v>80000000</v>
      </c>
      <c r="BE13" s="1">
        <v>89000000</v>
      </c>
      <c r="BF13" s="1">
        <v>84000000</v>
      </c>
      <c r="BG13" s="1">
        <v>82000000</v>
      </c>
      <c r="BH13" s="1">
        <v>83000000</v>
      </c>
      <c r="BI13" s="1">
        <v>85000000</v>
      </c>
      <c r="BJ13" s="1">
        <v>76000000</v>
      </c>
      <c r="BK13" s="1">
        <v>73000000</v>
      </c>
      <c r="BL13" s="1">
        <v>75000000</v>
      </c>
      <c r="BM13" s="1">
        <v>71000000</v>
      </c>
      <c r="BN13" s="1">
        <v>70000000</v>
      </c>
      <c r="BO13" s="1">
        <v>64000000</v>
      </c>
      <c r="BP13" s="1">
        <v>65000000</v>
      </c>
      <c r="BQ13" s="1">
        <v>59000000</v>
      </c>
      <c r="BR13" s="1">
        <v>59000000</v>
      </c>
      <c r="BS13" s="1">
        <v>62000000</v>
      </c>
      <c r="BT13" s="1">
        <v>69000000</v>
      </c>
      <c r="BU13" s="1">
        <v>68000000</v>
      </c>
    </row>
    <row r="14" spans="1:73" x14ac:dyDescent="0.2">
      <c r="A14" s="1" t="s">
        <v>24</v>
      </c>
      <c r="B14" s="1">
        <v>1055000000</v>
      </c>
      <c r="C14" s="1">
        <v>1017000000</v>
      </c>
      <c r="D14" s="1">
        <v>1107000000</v>
      </c>
      <c r="E14" s="1">
        <v>1072000000</v>
      </c>
      <c r="F14" s="1">
        <v>1083000000</v>
      </c>
      <c r="G14" s="1">
        <v>949000000</v>
      </c>
      <c r="H14" s="1">
        <v>1010000000</v>
      </c>
      <c r="I14" s="1">
        <v>1100000000</v>
      </c>
      <c r="J14" s="1">
        <v>1277000000</v>
      </c>
      <c r="K14" s="1">
        <v>1572000000</v>
      </c>
      <c r="L14" s="1">
        <v>418000000</v>
      </c>
      <c r="M14" s="1">
        <v>388000000</v>
      </c>
      <c r="N14" s="1">
        <v>438000000</v>
      </c>
      <c r="O14" s="1">
        <v>348000000</v>
      </c>
      <c r="P14" s="1">
        <v>370000000</v>
      </c>
      <c r="Q14" s="1">
        <v>323000000</v>
      </c>
      <c r="R14" s="1">
        <v>368000000</v>
      </c>
      <c r="S14" s="1">
        <v>321000000</v>
      </c>
      <c r="T14" s="1">
        <v>337000000</v>
      </c>
      <c r="U14" s="1">
        <v>346000000</v>
      </c>
      <c r="V14" s="1">
        <v>325000000</v>
      </c>
      <c r="W14" s="1">
        <v>339000000</v>
      </c>
      <c r="X14" s="1">
        <v>405000000</v>
      </c>
      <c r="Y14" s="1">
        <v>428000000</v>
      </c>
      <c r="Z14" s="1">
        <v>501000000</v>
      </c>
      <c r="AA14" s="1">
        <v>601000000</v>
      </c>
      <c r="AB14" s="1">
        <v>409000000</v>
      </c>
      <c r="AC14" s="1">
        <v>410000000</v>
      </c>
      <c r="AD14" s="1">
        <v>419000000</v>
      </c>
      <c r="AE14" s="1">
        <v>471000000</v>
      </c>
      <c r="AF14" s="1">
        <v>237000000</v>
      </c>
      <c r="AG14" s="1">
        <v>234000000</v>
      </c>
      <c r="AH14" s="1">
        <v>294000000</v>
      </c>
      <c r="AI14" s="1">
        <v>291000000</v>
      </c>
      <c r="AJ14" s="1">
        <v>182000000</v>
      </c>
      <c r="AK14" s="1">
        <v>200000000</v>
      </c>
      <c r="AL14" s="1">
        <v>204000000</v>
      </c>
      <c r="AM14" s="1">
        <v>201000000</v>
      </c>
      <c r="AN14" s="1">
        <v>224000000</v>
      </c>
      <c r="AO14" s="1">
        <v>230000000</v>
      </c>
      <c r="AP14" s="1">
        <v>238000000</v>
      </c>
      <c r="AQ14" s="1">
        <v>114000000</v>
      </c>
      <c r="AR14" s="1">
        <v>118000000</v>
      </c>
      <c r="AS14" s="1">
        <v>143000000</v>
      </c>
      <c r="AT14" s="1">
        <v>108000000</v>
      </c>
      <c r="AU14" s="1">
        <v>117000000</v>
      </c>
      <c r="AV14" s="1">
        <v>129000000</v>
      </c>
      <c r="AW14" s="1">
        <v>137000000</v>
      </c>
      <c r="AX14" s="1">
        <v>67000000</v>
      </c>
      <c r="AY14" s="1">
        <v>74000000</v>
      </c>
      <c r="AZ14" s="1">
        <v>60000000</v>
      </c>
      <c r="BA14" s="1">
        <v>57000000</v>
      </c>
      <c r="BB14" s="1">
        <v>52000000</v>
      </c>
      <c r="BC14" s="1">
        <v>53000000</v>
      </c>
      <c r="BD14" s="1">
        <v>49000000</v>
      </c>
      <c r="BE14" s="1">
        <v>49000000</v>
      </c>
      <c r="BF14" s="1">
        <v>51000000</v>
      </c>
      <c r="BG14" s="1">
        <v>50000000</v>
      </c>
      <c r="BH14" s="1">
        <v>55000000</v>
      </c>
      <c r="BI14" s="1">
        <v>60000000</v>
      </c>
      <c r="BJ14" s="1">
        <v>55000000</v>
      </c>
      <c r="BK14" s="1">
        <v>50000000</v>
      </c>
      <c r="BL14" s="1">
        <v>51000000</v>
      </c>
      <c r="BM14" s="1">
        <v>51000000</v>
      </c>
      <c r="BN14" s="1">
        <v>48000000</v>
      </c>
      <c r="BO14" s="1">
        <v>46000000</v>
      </c>
      <c r="BP14" s="1">
        <v>47000000</v>
      </c>
      <c r="BQ14" s="1">
        <v>40000000</v>
      </c>
      <c r="BR14" s="1">
        <v>42000000</v>
      </c>
      <c r="BS14" s="1">
        <v>40000000</v>
      </c>
      <c r="BT14" s="1">
        <v>48000000</v>
      </c>
      <c r="BU14" s="1">
        <v>50000000</v>
      </c>
    </row>
    <row r="15" spans="1:73" x14ac:dyDescent="0.2">
      <c r="A15" s="1" t="s">
        <v>26</v>
      </c>
      <c r="B15" s="1">
        <v>0</v>
      </c>
      <c r="C15" s="1">
        <v>0</v>
      </c>
      <c r="D15" s="1">
        <v>0</v>
      </c>
      <c r="E15" s="1">
        <v>0</v>
      </c>
      <c r="F15" s="1">
        <v>1083000000</v>
      </c>
      <c r="G15" s="1">
        <v>949000000</v>
      </c>
      <c r="H15" s="1">
        <v>1010000000</v>
      </c>
      <c r="I15" s="1">
        <v>1100000000</v>
      </c>
      <c r="J15" s="1">
        <v>1277000000</v>
      </c>
      <c r="K15" s="1">
        <v>1572000000</v>
      </c>
      <c r="L15" s="1">
        <v>418000000</v>
      </c>
      <c r="M15" s="1">
        <v>388000000</v>
      </c>
      <c r="N15" s="1">
        <v>438000000</v>
      </c>
      <c r="O15" s="1">
        <v>348000000</v>
      </c>
      <c r="P15" s="1">
        <v>370000000</v>
      </c>
      <c r="Q15" s="1">
        <v>323000000</v>
      </c>
      <c r="R15" s="1">
        <v>368000000</v>
      </c>
      <c r="S15" s="1">
        <v>321000000</v>
      </c>
      <c r="T15" s="1">
        <v>337000000</v>
      </c>
      <c r="U15" s="1">
        <v>346000000</v>
      </c>
      <c r="V15" s="1">
        <v>325000000</v>
      </c>
      <c r="W15" s="1">
        <v>339000000</v>
      </c>
      <c r="X15" s="1">
        <v>405000000</v>
      </c>
      <c r="Y15" s="1">
        <v>428000000</v>
      </c>
      <c r="Z15" s="1">
        <v>501000000</v>
      </c>
      <c r="AA15" s="1">
        <v>601000000</v>
      </c>
      <c r="AB15" s="1">
        <v>409000000</v>
      </c>
      <c r="AC15" s="1">
        <v>410000000</v>
      </c>
      <c r="AD15" s="1">
        <v>419000000</v>
      </c>
      <c r="AE15" s="1">
        <v>471000000</v>
      </c>
      <c r="AF15" s="1">
        <v>237000000</v>
      </c>
      <c r="AG15" s="1">
        <v>234000000</v>
      </c>
      <c r="AH15" s="1">
        <v>294000000</v>
      </c>
      <c r="AI15" s="1">
        <v>291000000</v>
      </c>
      <c r="AJ15" s="1">
        <v>182000000</v>
      </c>
      <c r="AK15" s="1">
        <v>200000000</v>
      </c>
      <c r="AL15" s="1">
        <v>204000000</v>
      </c>
      <c r="AM15" s="1">
        <v>201000000</v>
      </c>
      <c r="AN15" s="1">
        <v>224000000</v>
      </c>
      <c r="AO15" s="1">
        <v>230000000</v>
      </c>
      <c r="AP15" s="1">
        <v>238000000</v>
      </c>
      <c r="AQ15" s="1">
        <v>114000000</v>
      </c>
      <c r="AR15" s="1">
        <v>118000000</v>
      </c>
      <c r="AS15" s="1">
        <v>143000000</v>
      </c>
      <c r="AT15" s="1">
        <v>108000000</v>
      </c>
      <c r="AU15" s="1">
        <v>117000000</v>
      </c>
      <c r="AV15" s="1">
        <v>129000000</v>
      </c>
      <c r="AW15" s="1">
        <v>137000000</v>
      </c>
      <c r="AX15" s="1">
        <v>67000000</v>
      </c>
      <c r="AY15" s="1">
        <v>74000000</v>
      </c>
      <c r="AZ15" s="1">
        <v>60000000</v>
      </c>
      <c r="BA15" s="1">
        <v>57000000</v>
      </c>
      <c r="BB15" s="1">
        <v>52000000</v>
      </c>
      <c r="BC15" s="1">
        <v>53000000</v>
      </c>
      <c r="BD15" s="1">
        <v>49000000</v>
      </c>
      <c r="BE15" s="1">
        <v>49000000</v>
      </c>
      <c r="BF15" s="1">
        <v>51000000</v>
      </c>
      <c r="BG15" s="1">
        <v>50000000</v>
      </c>
      <c r="BH15" s="1">
        <v>55000000</v>
      </c>
      <c r="BI15" s="1">
        <v>60000000</v>
      </c>
      <c r="BJ15" s="1">
        <v>55000000</v>
      </c>
      <c r="BK15" s="1">
        <v>50000000</v>
      </c>
      <c r="BL15" s="1">
        <v>51000000</v>
      </c>
      <c r="BM15" s="1">
        <v>51000000</v>
      </c>
      <c r="BN15" s="1">
        <v>48000000</v>
      </c>
      <c r="BO15" s="1">
        <v>46000000</v>
      </c>
      <c r="BP15" s="1">
        <v>47000000</v>
      </c>
      <c r="BQ15" s="1">
        <v>40000000</v>
      </c>
      <c r="BR15" s="1">
        <v>42000000</v>
      </c>
      <c r="BS15" s="1">
        <v>40000000</v>
      </c>
      <c r="BT15" s="1">
        <v>48000000</v>
      </c>
      <c r="BU15" s="1">
        <v>50000000</v>
      </c>
    </row>
    <row r="16" spans="1:73" x14ac:dyDescent="0.2">
      <c r="A16" s="1" t="s">
        <v>25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</row>
    <row r="17" spans="1:73" x14ac:dyDescent="0.2">
      <c r="A17" s="1" t="s">
        <v>23</v>
      </c>
      <c r="B17" s="1">
        <v>0</v>
      </c>
      <c r="C17" s="1">
        <v>0</v>
      </c>
      <c r="D17" s="1">
        <v>653000000</v>
      </c>
      <c r="E17" s="1">
        <v>694000000</v>
      </c>
      <c r="F17" s="1">
        <v>592000000</v>
      </c>
      <c r="G17" s="1">
        <v>683000000</v>
      </c>
      <c r="H17" s="1">
        <v>1131000000</v>
      </c>
      <c r="I17" s="1">
        <v>1115000000</v>
      </c>
      <c r="J17" s="1">
        <v>1119000000</v>
      </c>
      <c r="K17" s="1">
        <v>1412000000</v>
      </c>
      <c r="L17" s="1">
        <v>348000000</v>
      </c>
      <c r="M17" s="1">
        <v>562000000</v>
      </c>
      <c r="N17" s="1">
        <v>348000000</v>
      </c>
      <c r="O17" s="1">
        <v>358000000</v>
      </c>
      <c r="P17" s="1">
        <v>358000000</v>
      </c>
      <c r="Q17" s="1">
        <v>359000000</v>
      </c>
      <c r="R17" s="1">
        <v>398000000</v>
      </c>
      <c r="S17" s="1">
        <v>397000000</v>
      </c>
      <c r="T17" s="1">
        <v>520000000</v>
      </c>
      <c r="U17" s="1">
        <v>520000000</v>
      </c>
      <c r="V17" s="1">
        <v>519000000</v>
      </c>
      <c r="W17" s="1">
        <v>565000000</v>
      </c>
      <c r="X17" s="1">
        <v>634000000</v>
      </c>
      <c r="Y17" s="1">
        <v>652000000</v>
      </c>
      <c r="Z17" s="1">
        <v>653000000</v>
      </c>
      <c r="AA17" s="1">
        <v>660000000</v>
      </c>
      <c r="AB17" s="1">
        <v>512000000</v>
      </c>
      <c r="AC17" s="1">
        <v>524000000</v>
      </c>
      <c r="AD17" s="1">
        <v>549000000</v>
      </c>
      <c r="AE17" s="1">
        <v>1049000000</v>
      </c>
      <c r="AF17" s="1">
        <v>98000000</v>
      </c>
      <c r="AG17" s="1">
        <v>87000000</v>
      </c>
      <c r="AH17" s="1">
        <v>120000000</v>
      </c>
      <c r="AI17" s="1">
        <v>469000000</v>
      </c>
      <c r="AJ17" s="1">
        <v>618000000</v>
      </c>
      <c r="AK17" s="1">
        <v>474000000</v>
      </c>
      <c r="AL17" s="1">
        <v>469000000</v>
      </c>
      <c r="AM17" s="1">
        <v>486000000</v>
      </c>
      <c r="AN17" s="1">
        <v>760000000</v>
      </c>
      <c r="AO17" s="1">
        <v>1002000000</v>
      </c>
      <c r="AP17" s="1">
        <v>1022000000</v>
      </c>
      <c r="AQ17" s="1">
        <v>85000000</v>
      </c>
      <c r="AR17" s="1">
        <v>78000000</v>
      </c>
      <c r="AS17" s="1">
        <v>166000000</v>
      </c>
      <c r="AT17" s="1">
        <v>69000000</v>
      </c>
      <c r="AU17" s="1">
        <v>73000000</v>
      </c>
      <c r="AV17" s="1">
        <v>124000000</v>
      </c>
      <c r="AW17" s="1">
        <v>178000000</v>
      </c>
      <c r="AX17" s="1">
        <v>16000000</v>
      </c>
      <c r="AY17" s="1">
        <v>19000000</v>
      </c>
      <c r="AZ17" s="1">
        <v>7000000</v>
      </c>
      <c r="BA17" s="1">
        <v>6000000</v>
      </c>
      <c r="BB17" s="1">
        <v>6000000</v>
      </c>
      <c r="BC17" s="1">
        <v>5000000</v>
      </c>
      <c r="BD17" s="1">
        <v>5000000</v>
      </c>
      <c r="BE17" s="1">
        <v>6000000</v>
      </c>
      <c r="BF17" s="1">
        <v>5000000</v>
      </c>
      <c r="BG17" s="1">
        <v>5000000</v>
      </c>
      <c r="BH17" s="1">
        <v>6000000</v>
      </c>
      <c r="BI17" s="1">
        <v>5000000</v>
      </c>
      <c r="BJ17" s="1">
        <v>5000000</v>
      </c>
      <c r="BK17" s="1">
        <v>6000000</v>
      </c>
      <c r="BL17" s="1">
        <v>5000000</v>
      </c>
      <c r="BM17" s="1">
        <v>5000000</v>
      </c>
      <c r="BN17" s="1">
        <v>6000000</v>
      </c>
      <c r="BO17" s="1">
        <v>5000000</v>
      </c>
      <c r="BP17" s="1">
        <v>61000000</v>
      </c>
      <c r="BQ17" s="1">
        <v>18000000</v>
      </c>
      <c r="BR17" s="1">
        <v>8000000</v>
      </c>
      <c r="BS17" s="1">
        <v>11000000</v>
      </c>
      <c r="BT17" s="1">
        <v>8000000</v>
      </c>
      <c r="BU17" s="1">
        <v>9000000</v>
      </c>
    </row>
    <row r="18" spans="1:73" x14ac:dyDescent="0.2">
      <c r="A18" s="6" t="s">
        <v>22</v>
      </c>
      <c r="B18" s="4">
        <v>4050000000</v>
      </c>
      <c r="C18" s="4">
        <v>3982000000</v>
      </c>
      <c r="D18" s="4">
        <v>4741000000</v>
      </c>
      <c r="E18" s="4">
        <v>4816000000</v>
      </c>
      <c r="F18" s="4">
        <v>4368000000</v>
      </c>
      <c r="G18" s="4">
        <v>3885000000</v>
      </c>
      <c r="H18" s="4">
        <v>4375000000</v>
      </c>
      <c r="I18" s="4">
        <v>4568000000</v>
      </c>
      <c r="J18" s="4">
        <v>4811000000</v>
      </c>
      <c r="K18" s="4">
        <v>5292000000</v>
      </c>
      <c r="L18" s="4">
        <v>2154000000</v>
      </c>
      <c r="M18" s="4">
        <v>2308000000</v>
      </c>
      <c r="N18" s="4">
        <v>2098000000</v>
      </c>
      <c r="O18" s="4">
        <v>1901000000</v>
      </c>
      <c r="P18" s="4">
        <v>1925000000</v>
      </c>
      <c r="Q18" s="4">
        <v>1937000000</v>
      </c>
      <c r="R18" s="4">
        <v>2027000000</v>
      </c>
      <c r="S18" s="4">
        <v>1924000000</v>
      </c>
      <c r="T18" s="4">
        <v>2057000000</v>
      </c>
      <c r="U18" s="4">
        <v>2071000000</v>
      </c>
      <c r="V18" s="4">
        <v>2082000000</v>
      </c>
      <c r="W18" s="4">
        <v>2115000000</v>
      </c>
      <c r="X18" s="4">
        <v>2221000000</v>
      </c>
      <c r="Y18" s="4">
        <v>2308000000</v>
      </c>
      <c r="Z18" s="4">
        <v>2423000000</v>
      </c>
      <c r="AA18" s="4">
        <v>2550000000</v>
      </c>
      <c r="AB18" s="4">
        <v>2098000000</v>
      </c>
      <c r="AC18" s="4">
        <v>2169000000</v>
      </c>
      <c r="AD18" s="4">
        <v>2119000000</v>
      </c>
      <c r="AE18" s="4">
        <v>2653000000</v>
      </c>
      <c r="AF18" s="4">
        <v>1283000000</v>
      </c>
      <c r="AG18" s="4">
        <v>1280000000</v>
      </c>
      <c r="AH18" s="4">
        <v>1350000000</v>
      </c>
      <c r="AI18" s="4">
        <v>1685000000</v>
      </c>
      <c r="AJ18" s="4">
        <v>1628000000</v>
      </c>
      <c r="AK18" s="4">
        <v>1501000000</v>
      </c>
      <c r="AL18" s="4">
        <v>1502000000</v>
      </c>
      <c r="AM18" s="4">
        <v>1495000000</v>
      </c>
      <c r="AN18" s="4">
        <v>1790000000</v>
      </c>
      <c r="AO18" s="4">
        <v>2046000000</v>
      </c>
      <c r="AP18" s="4">
        <v>2047000000</v>
      </c>
      <c r="AQ18" s="4">
        <v>466000000</v>
      </c>
      <c r="AR18" s="4">
        <v>483000000</v>
      </c>
      <c r="AS18" s="4">
        <v>585000000</v>
      </c>
      <c r="AT18" s="4">
        <v>428000000</v>
      </c>
      <c r="AU18" s="4">
        <v>425000000</v>
      </c>
      <c r="AV18" s="4">
        <v>487000000</v>
      </c>
      <c r="AW18" s="4">
        <v>555000000</v>
      </c>
      <c r="AX18" s="4">
        <v>197000000</v>
      </c>
      <c r="AY18" s="4">
        <v>200000000</v>
      </c>
      <c r="AZ18" s="4">
        <v>176000000</v>
      </c>
      <c r="BA18" s="4">
        <v>164000000</v>
      </c>
      <c r="BB18" s="4">
        <v>153000000</v>
      </c>
      <c r="BC18" s="4">
        <v>151000000</v>
      </c>
      <c r="BD18" s="4">
        <v>134000000</v>
      </c>
      <c r="BE18" s="4">
        <v>144000000</v>
      </c>
      <c r="BF18" s="4">
        <v>140000000</v>
      </c>
      <c r="BG18" s="4">
        <v>137000000</v>
      </c>
      <c r="BH18" s="4">
        <v>144000000</v>
      </c>
      <c r="BI18" s="4">
        <v>150000000</v>
      </c>
      <c r="BJ18" s="4">
        <v>136000000</v>
      </c>
      <c r="BK18" s="4">
        <v>129000000</v>
      </c>
      <c r="BL18" s="4">
        <v>131000000</v>
      </c>
      <c r="BM18" s="4">
        <v>127000000</v>
      </c>
      <c r="BN18" s="4">
        <v>124000000</v>
      </c>
      <c r="BO18" s="4">
        <v>115000000</v>
      </c>
      <c r="BP18" s="4">
        <v>173000000</v>
      </c>
      <c r="BQ18" s="4">
        <v>117000000</v>
      </c>
      <c r="BR18" s="4">
        <v>109000000</v>
      </c>
      <c r="BS18" s="4">
        <v>113000000</v>
      </c>
      <c r="BT18" s="4">
        <v>125000000</v>
      </c>
      <c r="BU18" s="4">
        <v>127000000</v>
      </c>
    </row>
    <row r="20" spans="1:73" x14ac:dyDescent="0.2">
      <c r="A20" s="1" t="s">
        <v>21</v>
      </c>
      <c r="B20" s="1">
        <v>11318000000</v>
      </c>
      <c r="C20" s="1">
        <v>10630000000</v>
      </c>
      <c r="D20" s="1">
        <v>10507000000</v>
      </c>
      <c r="E20" s="1">
        <v>10065000000</v>
      </c>
      <c r="F20" s="1">
        <v>9175000000</v>
      </c>
      <c r="G20" s="1">
        <v>8656000000</v>
      </c>
      <c r="H20" s="1">
        <v>9427000000</v>
      </c>
      <c r="I20" s="1">
        <v>9284000000</v>
      </c>
      <c r="J20" s="1">
        <v>9522000000</v>
      </c>
      <c r="K20" s="1">
        <v>9878000000</v>
      </c>
      <c r="L20" s="1">
        <v>5042000000</v>
      </c>
      <c r="M20" s="1">
        <v>5020000000</v>
      </c>
      <c r="N20" s="1">
        <v>4716000000</v>
      </c>
      <c r="O20" s="1">
        <v>4812000000</v>
      </c>
      <c r="P20" s="1">
        <v>4929000000</v>
      </c>
      <c r="Q20" s="1">
        <v>4720000000</v>
      </c>
      <c r="R20" s="1">
        <v>4691000000</v>
      </c>
      <c r="S20" s="1">
        <v>4581000000</v>
      </c>
      <c r="T20" s="1">
        <v>4826000000</v>
      </c>
      <c r="U20" s="1">
        <v>4652000000</v>
      </c>
      <c r="V20" s="1">
        <v>4635000000</v>
      </c>
      <c r="W20" s="1">
        <v>4818000000</v>
      </c>
      <c r="X20" s="1">
        <v>4941000000</v>
      </c>
      <c r="Y20" s="1">
        <v>4813000000</v>
      </c>
      <c r="Z20" s="1">
        <v>4976000000</v>
      </c>
      <c r="AA20" s="1">
        <v>5144000000</v>
      </c>
      <c r="AB20" s="1">
        <v>4722000000</v>
      </c>
      <c r="AC20" s="1">
        <v>4650000000</v>
      </c>
      <c r="AD20" s="1">
        <v>4547000000</v>
      </c>
      <c r="AE20" s="1">
        <v>5234000000</v>
      </c>
      <c r="AF20" s="1">
        <v>3792000000</v>
      </c>
      <c r="AG20" s="1">
        <v>3724000000</v>
      </c>
      <c r="AH20" s="1">
        <v>3813000000</v>
      </c>
      <c r="AI20" s="1">
        <v>4384000000</v>
      </c>
      <c r="AJ20" s="1">
        <v>4089000000</v>
      </c>
      <c r="AK20" s="1">
        <v>3815000000</v>
      </c>
      <c r="AL20" s="1">
        <v>3716000000</v>
      </c>
      <c r="AM20" s="1">
        <v>3633000000</v>
      </c>
      <c r="AN20" s="1">
        <v>3755000000</v>
      </c>
      <c r="AO20" s="1">
        <v>4056000000</v>
      </c>
      <c r="AP20" s="1">
        <v>4542000000</v>
      </c>
      <c r="AQ20" s="1">
        <v>1296000000</v>
      </c>
      <c r="AR20" s="1">
        <v>1326000000</v>
      </c>
      <c r="AS20" s="1">
        <v>1436000000</v>
      </c>
      <c r="AT20" s="1">
        <v>1196000000</v>
      </c>
      <c r="AU20" s="1">
        <v>1234000000</v>
      </c>
      <c r="AV20" s="1">
        <v>1289000000</v>
      </c>
      <c r="AW20" s="1">
        <v>1431000000</v>
      </c>
      <c r="AX20" s="1">
        <v>541000000</v>
      </c>
      <c r="AY20" s="1">
        <v>570000000</v>
      </c>
      <c r="AZ20" s="1">
        <v>568000000</v>
      </c>
      <c r="BA20" s="1">
        <v>504000000</v>
      </c>
      <c r="BB20" s="1">
        <v>443000000</v>
      </c>
      <c r="BC20" s="1">
        <v>451000000</v>
      </c>
      <c r="BD20" s="1">
        <v>453000000</v>
      </c>
      <c r="BE20" s="1">
        <v>455000000</v>
      </c>
      <c r="BF20" s="1">
        <v>439000000</v>
      </c>
      <c r="BG20" s="1">
        <v>430000000</v>
      </c>
      <c r="BH20" s="1">
        <v>463000000</v>
      </c>
      <c r="BI20" s="1">
        <v>456000000</v>
      </c>
      <c r="BJ20" s="1">
        <v>421000000</v>
      </c>
      <c r="BK20" s="1">
        <v>408000000</v>
      </c>
      <c r="BL20" s="1">
        <v>427000000</v>
      </c>
      <c r="BM20" s="1">
        <v>414000000</v>
      </c>
      <c r="BN20" s="1">
        <v>406000000</v>
      </c>
      <c r="BO20" s="1">
        <v>377000000</v>
      </c>
      <c r="BP20" s="1">
        <v>421000000</v>
      </c>
      <c r="BQ20" s="1">
        <v>339000000</v>
      </c>
      <c r="BR20" s="1">
        <v>336000000</v>
      </c>
      <c r="BS20" s="1">
        <v>338000000</v>
      </c>
      <c r="BT20" s="1">
        <v>403000000</v>
      </c>
      <c r="BU20" s="1">
        <v>395000000</v>
      </c>
    </row>
    <row r="21" spans="1:73" x14ac:dyDescent="0.2">
      <c r="A21" s="1" t="s">
        <v>18</v>
      </c>
      <c r="B21" s="1">
        <v>13034000000</v>
      </c>
      <c r="C21" s="1">
        <v>10834000000</v>
      </c>
      <c r="D21" s="1">
        <v>9863000000</v>
      </c>
      <c r="E21" s="1">
        <v>8028000000</v>
      </c>
      <c r="F21" s="1">
        <v>10194000000</v>
      </c>
      <c r="G21" s="1">
        <v>6260000000</v>
      </c>
      <c r="H21" s="1">
        <v>7290000000</v>
      </c>
      <c r="I21" s="1">
        <v>6394000000</v>
      </c>
      <c r="J21" s="1">
        <v>5582000000</v>
      </c>
      <c r="K21" s="1">
        <v>4613000000</v>
      </c>
      <c r="L21" s="1">
        <v>5304000000</v>
      </c>
      <c r="M21" s="1">
        <v>4912000000</v>
      </c>
      <c r="N21" s="1">
        <v>5060000000</v>
      </c>
      <c r="O21" s="1">
        <v>5278000000</v>
      </c>
      <c r="P21" s="1">
        <v>5242000000</v>
      </c>
      <c r="Q21" s="1">
        <v>4960000000</v>
      </c>
      <c r="R21" s="1">
        <v>4572000000</v>
      </c>
      <c r="S21" s="1">
        <v>4381000000</v>
      </c>
      <c r="T21" s="1">
        <v>4104000000</v>
      </c>
      <c r="U21" s="1">
        <v>3644000000</v>
      </c>
      <c r="V21" s="1">
        <v>3456000000</v>
      </c>
      <c r="W21" s="1">
        <v>3487000000</v>
      </c>
      <c r="X21" s="1">
        <v>3285000000</v>
      </c>
      <c r="Y21" s="1">
        <v>2776000000</v>
      </c>
      <c r="Z21" s="1">
        <v>2626000000</v>
      </c>
      <c r="AA21" s="1">
        <v>2438000000</v>
      </c>
      <c r="AB21" s="1">
        <v>2560000000</v>
      </c>
      <c r="AC21" s="1">
        <v>2356000000</v>
      </c>
      <c r="AD21" s="1">
        <v>2480000000</v>
      </c>
      <c r="AE21" s="1">
        <v>2082000000</v>
      </c>
      <c r="AF21" s="1">
        <v>2538000000</v>
      </c>
      <c r="AG21" s="1">
        <v>2343000000</v>
      </c>
      <c r="AH21" s="1">
        <v>2211000000</v>
      </c>
      <c r="AI21" s="1">
        <v>2162000000</v>
      </c>
      <c r="AJ21" s="1">
        <v>1983000000</v>
      </c>
      <c r="AK21" s="1">
        <v>1871000000</v>
      </c>
      <c r="AL21" s="1">
        <v>1670000000</v>
      </c>
      <c r="AM21" s="1">
        <v>1492000000</v>
      </c>
      <c r="AN21" s="1">
        <v>1041000000</v>
      </c>
      <c r="AO21" s="1">
        <v>777000000</v>
      </c>
      <c r="AP21" s="1">
        <v>-20000000</v>
      </c>
      <c r="AQ21" s="1">
        <v>722000000</v>
      </c>
      <c r="AR21" s="1">
        <v>776000000</v>
      </c>
      <c r="AS21" s="1">
        <v>566000000</v>
      </c>
      <c r="AT21" s="1">
        <v>647000000</v>
      </c>
      <c r="AU21" s="1">
        <v>631000000</v>
      </c>
      <c r="AV21" s="1">
        <v>567000000</v>
      </c>
      <c r="AW21" s="1">
        <v>93000000</v>
      </c>
      <c r="AX21" s="1">
        <v>221000000</v>
      </c>
      <c r="AY21" s="1">
        <v>196000000</v>
      </c>
      <c r="AZ21" s="1">
        <v>237000000</v>
      </c>
      <c r="BA21" s="1">
        <v>191000000</v>
      </c>
      <c r="BB21" s="1">
        <v>161000000</v>
      </c>
      <c r="BC21" s="1">
        <v>166000000</v>
      </c>
      <c r="BD21" s="1">
        <v>205000000</v>
      </c>
      <c r="BE21" s="1">
        <v>190000000</v>
      </c>
      <c r="BF21" s="1">
        <v>178000000</v>
      </c>
      <c r="BG21" s="1">
        <v>168000000</v>
      </c>
      <c r="BH21" s="1">
        <v>198000000</v>
      </c>
      <c r="BI21" s="1">
        <v>184000000</v>
      </c>
      <c r="BJ21" s="1">
        <v>176000000</v>
      </c>
      <c r="BK21" s="1">
        <v>164000000</v>
      </c>
      <c r="BL21" s="1">
        <v>185000000</v>
      </c>
      <c r="BM21" s="1">
        <v>175000000</v>
      </c>
      <c r="BN21" s="1">
        <v>147000000</v>
      </c>
      <c r="BO21" s="1">
        <v>92000000</v>
      </c>
      <c r="BP21" s="1">
        <v>37000000</v>
      </c>
      <c r="BQ21" s="1">
        <v>68000000</v>
      </c>
      <c r="BR21" s="1">
        <v>26000000</v>
      </c>
      <c r="BS21" s="1">
        <v>70000000</v>
      </c>
      <c r="BT21" s="1">
        <v>79000000</v>
      </c>
      <c r="BU21" s="1">
        <v>84000000</v>
      </c>
    </row>
    <row r="22" spans="1:73" x14ac:dyDescent="0.2">
      <c r="A22" s="3" t="s">
        <v>17</v>
      </c>
      <c r="B22" s="3">
        <v>0.58746112589999999</v>
      </c>
      <c r="C22" s="3">
        <v>0.56102739369999999</v>
      </c>
      <c r="D22" s="3">
        <v>0.5474882043</v>
      </c>
      <c r="E22" s="3">
        <v>0.50325977929999999</v>
      </c>
      <c r="F22" s="3">
        <v>0.6794188216</v>
      </c>
      <c r="G22" s="3">
        <v>0.41968356130000001</v>
      </c>
      <c r="H22" s="3">
        <v>0.51871353350000005</v>
      </c>
      <c r="I22" s="3">
        <v>0.48913708690000002</v>
      </c>
      <c r="J22" s="3">
        <v>0.44702490589999999</v>
      </c>
      <c r="K22" s="3">
        <v>0.3856700945</v>
      </c>
      <c r="L22" s="3">
        <v>0.57062937059999996</v>
      </c>
      <c r="M22" s="3">
        <v>0.55340243349999996</v>
      </c>
      <c r="N22" s="3">
        <v>0.5794114279</v>
      </c>
      <c r="O22" s="3">
        <v>0.59203589459999995</v>
      </c>
      <c r="P22" s="3">
        <v>0.58701007839999997</v>
      </c>
      <c r="Q22" s="3">
        <v>0.58601134219999995</v>
      </c>
      <c r="R22" s="3">
        <v>0.56423546830000004</v>
      </c>
      <c r="S22" s="3">
        <v>0.5685180379</v>
      </c>
      <c r="T22" s="3">
        <v>0.55407047389999997</v>
      </c>
      <c r="U22" s="3">
        <v>0.53762171729999997</v>
      </c>
      <c r="V22" s="3">
        <v>0.52284417549999995</v>
      </c>
      <c r="W22" s="3">
        <v>0.52396694210000005</v>
      </c>
      <c r="X22" s="3">
        <v>0.50796350700000004</v>
      </c>
      <c r="Y22" s="3">
        <v>0.47689400450000002</v>
      </c>
      <c r="Z22" s="3">
        <v>0.4573319401</v>
      </c>
      <c r="AA22" s="3">
        <v>0.41618299759999999</v>
      </c>
      <c r="AB22" s="3">
        <v>0.44321329640000001</v>
      </c>
      <c r="AC22" s="3">
        <v>0.42719854940000002</v>
      </c>
      <c r="AD22" s="3">
        <v>0.44951966650000003</v>
      </c>
      <c r="AE22" s="3">
        <v>0.35964760750000002</v>
      </c>
      <c r="AF22" s="3">
        <v>0.46620132260000002</v>
      </c>
      <c r="AG22" s="3">
        <v>0.46276910919999997</v>
      </c>
      <c r="AH22" s="3">
        <v>0.44096529719999999</v>
      </c>
      <c r="AI22" s="3">
        <v>0.40585695510000003</v>
      </c>
      <c r="AJ22" s="3">
        <v>0.40937241949999997</v>
      </c>
      <c r="AK22" s="3">
        <v>0.41922473669999999</v>
      </c>
      <c r="AL22" s="3">
        <v>0.3985680191</v>
      </c>
      <c r="AM22" s="3">
        <v>0.3604735443</v>
      </c>
      <c r="AN22" s="3">
        <v>0.25169245649999999</v>
      </c>
      <c r="AO22" s="3">
        <v>0.2049050633</v>
      </c>
      <c r="AP22" s="3">
        <v>-5.6481220000000002E-3</v>
      </c>
      <c r="AQ22" s="3">
        <v>0.40767927720000002</v>
      </c>
      <c r="AR22" s="3">
        <v>0.4217391304</v>
      </c>
      <c r="AS22" s="3">
        <v>0.32622478389999998</v>
      </c>
      <c r="AT22" s="3">
        <v>0.4008674102</v>
      </c>
      <c r="AU22" s="3">
        <v>0.38593272169999998</v>
      </c>
      <c r="AV22" s="3">
        <v>0.35660377360000001</v>
      </c>
      <c r="AW22" s="3">
        <v>7.3286052000000004E-2</v>
      </c>
      <c r="AX22" s="3">
        <v>0.31526390869999998</v>
      </c>
      <c r="AY22" s="3">
        <v>0.27644569819999998</v>
      </c>
      <c r="AZ22" s="3">
        <v>0.32113821139999998</v>
      </c>
      <c r="BA22" s="3">
        <v>0.2965838509</v>
      </c>
      <c r="BB22" s="3">
        <v>0.28647686830000002</v>
      </c>
      <c r="BC22" s="3">
        <v>0.28819444440000003</v>
      </c>
      <c r="BD22" s="3">
        <v>0.33171521040000002</v>
      </c>
      <c r="BE22" s="3">
        <v>0.31353135310000002</v>
      </c>
      <c r="BF22" s="3">
        <v>0.30849220100000002</v>
      </c>
      <c r="BG22" s="3">
        <v>0.298401421</v>
      </c>
      <c r="BH22" s="3">
        <v>0.31781701439999999</v>
      </c>
      <c r="BI22" s="3">
        <v>0.30514096190000001</v>
      </c>
      <c r="BJ22" s="3">
        <v>0.31428571430000002</v>
      </c>
      <c r="BK22" s="3">
        <v>0.2981818182</v>
      </c>
      <c r="BL22" s="3">
        <v>0.32342657339999997</v>
      </c>
      <c r="BM22" s="3">
        <v>0.31818181820000002</v>
      </c>
      <c r="BN22" s="3">
        <v>0.28543689319999999</v>
      </c>
      <c r="BO22" s="3">
        <v>0.20175438600000001</v>
      </c>
      <c r="BP22" s="3">
        <v>8.6448598099999996E-2</v>
      </c>
      <c r="BQ22" s="3">
        <v>0.18732782370000001</v>
      </c>
      <c r="BR22" s="3">
        <v>0.08</v>
      </c>
      <c r="BS22" s="3">
        <v>0.19021739130000001</v>
      </c>
      <c r="BT22" s="3">
        <v>0.17673378079999999</v>
      </c>
      <c r="BU22" s="3">
        <v>0.1913439636</v>
      </c>
    </row>
    <row r="23" spans="1:73" x14ac:dyDescent="0.2">
      <c r="A23" s="1" t="s">
        <v>20</v>
      </c>
      <c r="B23" s="1">
        <v>745000000</v>
      </c>
      <c r="C23" s="1">
        <v>746000000</v>
      </c>
      <c r="D23" s="1">
        <v>761000000</v>
      </c>
      <c r="E23" s="1">
        <v>754000000</v>
      </c>
      <c r="F23" s="1">
        <v>769000000</v>
      </c>
      <c r="G23" s="1">
        <v>873000000</v>
      </c>
      <c r="H23" s="1">
        <v>864000000</v>
      </c>
      <c r="I23" s="1">
        <v>1064000000</v>
      </c>
      <c r="J23" s="1">
        <v>1047000000</v>
      </c>
      <c r="K23" s="1">
        <v>926000000</v>
      </c>
      <c r="L23" s="1">
        <v>405000000</v>
      </c>
      <c r="M23" s="1">
        <v>406000000</v>
      </c>
      <c r="N23" s="1">
        <v>405000000</v>
      </c>
      <c r="O23" s="1">
        <v>406000000</v>
      </c>
      <c r="P23" s="1">
        <v>406000000</v>
      </c>
      <c r="Q23" s="1">
        <v>406000000</v>
      </c>
      <c r="R23" s="1">
        <v>518000000</v>
      </c>
      <c r="S23" s="1">
        <v>407000000</v>
      </c>
      <c r="T23" s="1">
        <v>411000000</v>
      </c>
      <c r="U23" s="1">
        <v>415000000</v>
      </c>
      <c r="V23" s="1">
        <v>466000000</v>
      </c>
      <c r="W23" s="1">
        <v>570000000</v>
      </c>
      <c r="X23" s="1">
        <v>420000000</v>
      </c>
      <c r="Y23" s="1">
        <v>464000000</v>
      </c>
      <c r="Z23" s="1">
        <v>487000000</v>
      </c>
      <c r="AA23" s="1">
        <v>406000000</v>
      </c>
      <c r="AB23" s="1">
        <v>361000000</v>
      </c>
      <c r="AC23" s="1">
        <v>362000000</v>
      </c>
      <c r="AD23" s="1">
        <v>376000000</v>
      </c>
      <c r="AE23" s="1">
        <v>345000000</v>
      </c>
      <c r="AF23" s="1">
        <v>148000000</v>
      </c>
      <c r="AG23" s="1">
        <v>149000000</v>
      </c>
      <c r="AH23" s="1">
        <v>148000000</v>
      </c>
      <c r="AI23" s="1">
        <v>183000000</v>
      </c>
      <c r="AJ23" s="1">
        <v>119000000</v>
      </c>
      <c r="AK23" s="1">
        <v>112000000</v>
      </c>
      <c r="AL23" s="1">
        <v>112000000</v>
      </c>
      <c r="AM23" s="1">
        <v>111000000</v>
      </c>
      <c r="AN23" s="1">
        <v>106000000</v>
      </c>
      <c r="AO23" s="1">
        <v>139000000</v>
      </c>
      <c r="AP23" s="1">
        <v>256000000</v>
      </c>
      <c r="AQ23" s="1">
        <v>84000000</v>
      </c>
      <c r="AR23" s="1">
        <v>41000000</v>
      </c>
      <c r="AS23" s="1">
        <v>43000000</v>
      </c>
      <c r="AT23" s="1">
        <v>53000000</v>
      </c>
      <c r="AU23" s="1">
        <v>54000000</v>
      </c>
      <c r="AV23" s="1">
        <v>54000000</v>
      </c>
      <c r="AW23" s="1">
        <v>55000000</v>
      </c>
      <c r="AX23" s="1">
        <v>1000000</v>
      </c>
      <c r="AY23" s="1">
        <v>24000000</v>
      </c>
      <c r="AZ23" s="1">
        <v>0</v>
      </c>
      <c r="BA23" s="1">
        <v>1000000</v>
      </c>
      <c r="BB23" s="1">
        <v>1000000</v>
      </c>
      <c r="BC23" s="1">
        <v>1000000</v>
      </c>
      <c r="BD23" s="1">
        <v>0</v>
      </c>
      <c r="BE23" s="1">
        <v>1000000</v>
      </c>
      <c r="BF23" s="1">
        <v>0</v>
      </c>
      <c r="BG23" s="1">
        <v>1000000</v>
      </c>
      <c r="BH23" s="1">
        <v>-2000000</v>
      </c>
      <c r="BI23" s="1">
        <v>2000000</v>
      </c>
      <c r="BJ23" s="1">
        <v>1000000</v>
      </c>
      <c r="BK23" s="1">
        <v>3000000</v>
      </c>
      <c r="BL23" s="1">
        <v>7000000</v>
      </c>
      <c r="BM23" s="1">
        <v>8000000</v>
      </c>
      <c r="BN23" s="1">
        <v>8000000</v>
      </c>
      <c r="BO23" s="1">
        <v>11000000</v>
      </c>
      <c r="BP23" s="1">
        <v>19000000</v>
      </c>
      <c r="BQ23" s="1">
        <v>20000000</v>
      </c>
      <c r="BR23" s="1">
        <v>20000000</v>
      </c>
      <c r="BS23" s="1">
        <v>18000000</v>
      </c>
      <c r="BT23" s="1">
        <v>21000000</v>
      </c>
      <c r="BU23" s="1">
        <v>20000000</v>
      </c>
    </row>
    <row r="24" spans="1:73" x14ac:dyDescent="0.2">
      <c r="A24" s="1" t="s">
        <v>19</v>
      </c>
      <c r="B24" s="1">
        <v>2165000000</v>
      </c>
      <c r="C24" s="1">
        <v>2153000000</v>
      </c>
      <c r="D24" s="1">
        <v>2233000000</v>
      </c>
      <c r="E24" s="1">
        <v>2202000000</v>
      </c>
      <c r="F24" s="1">
        <v>4340000000</v>
      </c>
      <c r="G24" s="1">
        <v>-103000000</v>
      </c>
      <c r="H24" s="1">
        <v>2611000000</v>
      </c>
      <c r="I24" s="1">
        <v>2524000000</v>
      </c>
      <c r="J24" s="1">
        <v>2530000000</v>
      </c>
      <c r="K24" s="1">
        <v>2345000000</v>
      </c>
      <c r="L24" s="1">
        <v>932000000</v>
      </c>
      <c r="M24" s="1">
        <v>932000000</v>
      </c>
      <c r="N24" s="1">
        <v>939000000</v>
      </c>
      <c r="O24" s="1">
        <v>1032000000</v>
      </c>
      <c r="P24" s="1">
        <v>1216000000</v>
      </c>
      <c r="Q24" s="1">
        <v>1217000000</v>
      </c>
      <c r="R24" s="1">
        <v>1264000000</v>
      </c>
      <c r="S24" s="1">
        <v>1287000000</v>
      </c>
      <c r="T24" s="1">
        <v>1501000000</v>
      </c>
      <c r="U24" s="1">
        <v>1503000000</v>
      </c>
      <c r="V24" s="1">
        <v>1504000000</v>
      </c>
      <c r="W24" s="1">
        <v>1533000000</v>
      </c>
      <c r="X24" s="1">
        <v>1728000000</v>
      </c>
      <c r="Y24" s="1">
        <v>1719000000</v>
      </c>
      <c r="Z24" s="1">
        <v>1730000000</v>
      </c>
      <c r="AA24" s="1">
        <v>1728000000</v>
      </c>
      <c r="AB24" s="1">
        <v>1452000000</v>
      </c>
      <c r="AC24" s="1">
        <v>1450000000</v>
      </c>
      <c r="AD24" s="1">
        <v>1447000000</v>
      </c>
      <c r="AE24" s="1">
        <v>1459000000</v>
      </c>
      <c r="AF24" s="1">
        <v>968000000</v>
      </c>
      <c r="AG24" s="1">
        <v>965000000</v>
      </c>
      <c r="AH24" s="1">
        <v>964000000</v>
      </c>
      <c r="AI24" s="1">
        <v>1184000000</v>
      </c>
      <c r="AJ24" s="1">
        <v>1219000000</v>
      </c>
      <c r="AK24" s="1">
        <v>1211000000</v>
      </c>
      <c r="AL24" s="1">
        <v>1193000000</v>
      </c>
      <c r="AM24" s="1">
        <v>1114000000</v>
      </c>
      <c r="AN24" s="1">
        <v>700000000</v>
      </c>
      <c r="AO24" s="1">
        <v>1058000000</v>
      </c>
      <c r="AP24" s="1">
        <v>1040000000</v>
      </c>
      <c r="AQ24" s="1">
        <v>244000000</v>
      </c>
      <c r="AR24" s="1">
        <v>250000000</v>
      </c>
      <c r="AS24" s="1">
        <v>256000000</v>
      </c>
      <c r="AT24" s="1">
        <v>230000000</v>
      </c>
      <c r="AU24" s="1">
        <v>226000000</v>
      </c>
      <c r="AV24" s="1">
        <v>250000000</v>
      </c>
      <c r="AW24" s="1">
        <v>257000000</v>
      </c>
      <c r="AX24" s="1">
        <v>61000000</v>
      </c>
      <c r="AY24" s="1">
        <v>57000000</v>
      </c>
      <c r="AZ24" s="1">
        <v>58000000</v>
      </c>
      <c r="BA24" s="1">
        <v>46000000</v>
      </c>
      <c r="BB24" s="1">
        <v>42000000</v>
      </c>
      <c r="BC24" s="1">
        <v>41000000</v>
      </c>
      <c r="BD24" s="1">
        <v>40000000</v>
      </c>
      <c r="BE24" s="1">
        <v>40000000</v>
      </c>
      <c r="BF24" s="1">
        <v>38000000</v>
      </c>
      <c r="BG24" s="1">
        <v>37000000</v>
      </c>
      <c r="BH24" s="1">
        <v>39000000</v>
      </c>
      <c r="BI24" s="1">
        <v>39000000</v>
      </c>
      <c r="BJ24" s="1">
        <v>38000000</v>
      </c>
      <c r="BK24" s="1">
        <v>41000000</v>
      </c>
      <c r="BL24" s="1">
        <v>40000000</v>
      </c>
      <c r="BM24" s="1">
        <v>40000000</v>
      </c>
      <c r="BN24" s="1">
        <v>40000000</v>
      </c>
      <c r="BO24" s="1">
        <v>39000000</v>
      </c>
      <c r="BP24" s="1">
        <v>40000000</v>
      </c>
      <c r="BQ24" s="1">
        <v>40000000</v>
      </c>
      <c r="BR24" s="1">
        <v>39000000</v>
      </c>
      <c r="BS24" s="1">
        <v>41000000</v>
      </c>
      <c r="BT24" s="1">
        <v>42000000</v>
      </c>
      <c r="BU24" s="1">
        <v>40000000</v>
      </c>
    </row>
    <row r="25" spans="1:73" x14ac:dyDescent="0.2">
      <c r="A25" s="6" t="s">
        <v>16</v>
      </c>
      <c r="B25" s="5">
        <v>10869000000</v>
      </c>
      <c r="C25" s="5">
        <v>8681000000</v>
      </c>
      <c r="D25" s="5">
        <v>7508000000</v>
      </c>
      <c r="E25" s="5">
        <v>5887000000</v>
      </c>
      <c r="F25" s="5">
        <v>5829000000</v>
      </c>
      <c r="G25" s="5">
        <v>6260000000</v>
      </c>
      <c r="H25" s="5">
        <v>4627000000</v>
      </c>
      <c r="I25" s="5">
        <v>3788000000</v>
      </c>
      <c r="J25" s="5">
        <v>2965000000</v>
      </c>
      <c r="K25" s="5">
        <v>2083000000</v>
      </c>
      <c r="L25" s="5">
        <v>4240000000</v>
      </c>
      <c r="M25" s="5">
        <v>3856000000</v>
      </c>
      <c r="N25" s="5">
        <v>4008000000</v>
      </c>
      <c r="O25" s="5">
        <v>4103000000</v>
      </c>
      <c r="P25" s="5">
        <v>3986000000</v>
      </c>
      <c r="Q25" s="5">
        <v>3737000000</v>
      </c>
      <c r="R25" s="5">
        <v>3413000000</v>
      </c>
      <c r="S25" s="5">
        <v>3127000000</v>
      </c>
      <c r="T25" s="5">
        <v>2581000000</v>
      </c>
      <c r="U25" s="5">
        <v>2126000000</v>
      </c>
      <c r="V25" s="5">
        <v>1975000000</v>
      </c>
      <c r="W25" s="5">
        <v>1837000000</v>
      </c>
      <c r="X25" s="5">
        <v>1526000000</v>
      </c>
      <c r="Y25" s="5">
        <v>1008000000</v>
      </c>
      <c r="Z25" s="5">
        <v>766000000</v>
      </c>
      <c r="AA25" s="5">
        <v>714000000</v>
      </c>
      <c r="AB25" s="5">
        <v>1054000000</v>
      </c>
      <c r="AC25" s="5">
        <v>865000000</v>
      </c>
      <c r="AD25" s="5">
        <v>970000000</v>
      </c>
      <c r="AE25" s="5">
        <v>555000000</v>
      </c>
      <c r="AF25" s="5">
        <v>1652000000</v>
      </c>
      <c r="AG25" s="5">
        <v>1339000000</v>
      </c>
      <c r="AH25" s="5">
        <v>1201000000</v>
      </c>
      <c r="AI25" s="5">
        <v>943000000</v>
      </c>
      <c r="AJ25" s="5">
        <v>755000000</v>
      </c>
      <c r="AK25" s="5">
        <v>648000000</v>
      </c>
      <c r="AL25" s="5">
        <v>474000000</v>
      </c>
      <c r="AM25" s="5">
        <v>506000000</v>
      </c>
      <c r="AN25" s="5">
        <v>381000000</v>
      </c>
      <c r="AO25" s="5">
        <v>-264000000</v>
      </c>
      <c r="AP25" s="5">
        <v>-1001000000</v>
      </c>
      <c r="AQ25" s="5">
        <v>475000000</v>
      </c>
      <c r="AR25" s="5">
        <v>514000000</v>
      </c>
      <c r="AS25" s="5">
        <v>299000000</v>
      </c>
      <c r="AT25" s="5">
        <v>418000000</v>
      </c>
      <c r="AU25" s="5">
        <v>401000000</v>
      </c>
      <c r="AV25" s="5">
        <v>301000000</v>
      </c>
      <c r="AW25" s="5">
        <v>-162000000</v>
      </c>
      <c r="AX25" s="5">
        <v>160000000</v>
      </c>
      <c r="AY25" s="5">
        <v>139000000</v>
      </c>
      <c r="AZ25" s="5">
        <v>170000000</v>
      </c>
      <c r="BA25" s="5">
        <v>140000000</v>
      </c>
      <c r="BB25" s="5">
        <v>118000000</v>
      </c>
      <c r="BC25" s="5">
        <v>124000000</v>
      </c>
      <c r="BD25" s="5">
        <v>164000000</v>
      </c>
      <c r="BE25" s="5">
        <v>149000000</v>
      </c>
      <c r="BF25" s="5">
        <v>137000000</v>
      </c>
      <c r="BG25" s="5">
        <v>132000000</v>
      </c>
      <c r="BH25" s="5">
        <v>159000000</v>
      </c>
      <c r="BI25" s="5">
        <v>145000000</v>
      </c>
      <c r="BJ25" s="5">
        <v>138000000</v>
      </c>
      <c r="BK25" s="5">
        <v>142000000</v>
      </c>
      <c r="BL25" s="5">
        <v>145000000</v>
      </c>
      <c r="BM25" s="5">
        <v>135000000</v>
      </c>
      <c r="BN25" s="5">
        <v>108000000</v>
      </c>
      <c r="BO25" s="5">
        <v>78000000</v>
      </c>
      <c r="BP25" s="5">
        <v>5000000</v>
      </c>
      <c r="BQ25" s="5">
        <v>24000000</v>
      </c>
      <c r="BR25" s="5">
        <v>-11000000</v>
      </c>
      <c r="BS25" s="5">
        <v>30000000</v>
      </c>
      <c r="BT25" s="5">
        <v>43000000</v>
      </c>
      <c r="BU25" s="5">
        <v>44000000</v>
      </c>
    </row>
    <row r="26" spans="1:73" x14ac:dyDescent="0.2">
      <c r="A26" s="3" t="s">
        <v>15</v>
      </c>
      <c r="B26" s="7">
        <v>0.4898814621</v>
      </c>
      <c r="C26" s="7">
        <v>0.44953653360000001</v>
      </c>
      <c r="D26" s="7">
        <v>0.41676380790000001</v>
      </c>
      <c r="E26" s="7">
        <v>0.36904463389999997</v>
      </c>
      <c r="F26" s="7">
        <v>0.38849640099999999</v>
      </c>
      <c r="G26" s="7">
        <v>0.41968356130000001</v>
      </c>
      <c r="H26" s="7">
        <v>0.3292301124</v>
      </c>
      <c r="I26" s="7">
        <v>0.28977968180000002</v>
      </c>
      <c r="J26" s="7">
        <v>0.2374469448</v>
      </c>
      <c r="K26" s="7">
        <v>0.17414931859999999</v>
      </c>
      <c r="L26" s="7">
        <v>0.45615922539999998</v>
      </c>
      <c r="M26" s="7">
        <v>0.43442992339999997</v>
      </c>
      <c r="N26" s="7">
        <v>0.45894881479999999</v>
      </c>
      <c r="O26" s="7">
        <v>0.46023555799999999</v>
      </c>
      <c r="P26" s="7">
        <v>0.44636058229999998</v>
      </c>
      <c r="Q26" s="7">
        <v>0.44151701319999997</v>
      </c>
      <c r="R26" s="7">
        <v>0.4212020239</v>
      </c>
      <c r="S26" s="7">
        <v>0.40578769790000002</v>
      </c>
      <c r="T26" s="7">
        <v>0.34845416499999998</v>
      </c>
      <c r="U26" s="7">
        <v>0.31366184720000001</v>
      </c>
      <c r="V26" s="7">
        <v>0.29878971259999998</v>
      </c>
      <c r="W26" s="7">
        <v>0.27603305789999999</v>
      </c>
      <c r="X26" s="7">
        <v>0.2359672182</v>
      </c>
      <c r="Y26" s="7">
        <v>0.17316612270000001</v>
      </c>
      <c r="Z26" s="7">
        <v>0.13340299550000001</v>
      </c>
      <c r="AA26" s="7">
        <v>0.12188460230000001</v>
      </c>
      <c r="AB26" s="7">
        <v>0.1824792244</v>
      </c>
      <c r="AC26" s="7">
        <v>0.1568449683</v>
      </c>
      <c r="AD26" s="7">
        <v>0.17582019209999999</v>
      </c>
      <c r="AE26" s="7">
        <v>9.58714804E-2</v>
      </c>
      <c r="AF26" s="7">
        <v>0.30345334309999999</v>
      </c>
      <c r="AG26" s="7">
        <v>0.26446770689999999</v>
      </c>
      <c r="AH26" s="7">
        <v>0.23952931790000001</v>
      </c>
      <c r="AI26" s="7">
        <v>0.17702271450000001</v>
      </c>
      <c r="AJ26" s="7">
        <v>0.1558629232</v>
      </c>
      <c r="AK26" s="7">
        <v>0.14519381579999999</v>
      </c>
      <c r="AL26" s="7">
        <v>0.1131264916</v>
      </c>
      <c r="AM26" s="7">
        <v>0.1222517516</v>
      </c>
      <c r="AN26" s="7">
        <v>9.2117988400000003E-2</v>
      </c>
      <c r="AO26" s="7">
        <v>-6.9620253199999996E-2</v>
      </c>
      <c r="AP26" s="7">
        <v>-0.28268850610000001</v>
      </c>
      <c r="AQ26" s="7">
        <v>0.26821005079999999</v>
      </c>
      <c r="AR26" s="7">
        <v>0.27934782609999997</v>
      </c>
      <c r="AS26" s="7">
        <v>0.17233429389999999</v>
      </c>
      <c r="AT26" s="7">
        <v>0.25898389100000002</v>
      </c>
      <c r="AU26" s="7">
        <v>0.24525993879999999</v>
      </c>
      <c r="AV26" s="7">
        <v>0.1893081761</v>
      </c>
      <c r="AW26" s="7">
        <v>-0.12765957450000001</v>
      </c>
      <c r="AX26" s="7">
        <v>0.22824536379999999</v>
      </c>
      <c r="AY26" s="7">
        <v>0.19605077570000001</v>
      </c>
      <c r="AZ26" s="7">
        <v>0.23035230349999999</v>
      </c>
      <c r="BA26" s="7">
        <v>0.2173913043</v>
      </c>
      <c r="BB26" s="7">
        <v>0.2099644128</v>
      </c>
      <c r="BC26" s="7">
        <v>0.21527777779999999</v>
      </c>
      <c r="BD26" s="7">
        <v>0.26537216829999999</v>
      </c>
      <c r="BE26" s="7">
        <v>0.24587458749999999</v>
      </c>
      <c r="BF26" s="7">
        <v>0.23743500870000001</v>
      </c>
      <c r="BG26" s="7">
        <v>0.2344582593</v>
      </c>
      <c r="BH26" s="7">
        <v>0.25521669340000003</v>
      </c>
      <c r="BI26" s="7">
        <v>0.24046434489999999</v>
      </c>
      <c r="BJ26" s="7">
        <v>0.24642857139999999</v>
      </c>
      <c r="BK26" s="7">
        <v>0.25818181820000002</v>
      </c>
      <c r="BL26" s="7">
        <v>0.25349650350000003</v>
      </c>
      <c r="BM26" s="7">
        <v>0.24545454550000001</v>
      </c>
      <c r="BN26" s="7">
        <v>0.2097087379</v>
      </c>
      <c r="BO26" s="7">
        <v>0.1710526316</v>
      </c>
      <c r="BP26" s="7">
        <v>1.1682243E-2</v>
      </c>
      <c r="BQ26" s="7">
        <v>6.6115702499999998E-2</v>
      </c>
      <c r="BR26" s="7">
        <v>-3.3846153800000001E-2</v>
      </c>
      <c r="BS26" s="7">
        <v>8.1521739100000004E-2</v>
      </c>
      <c r="BT26" s="7">
        <v>9.6196868000000005E-2</v>
      </c>
      <c r="BU26" s="7">
        <v>0.1002277904</v>
      </c>
    </row>
    <row r="28" spans="1:73" x14ac:dyDescent="0.2">
      <c r="A28" s="1" t="s">
        <v>14</v>
      </c>
      <c r="B28" s="1">
        <v>-739000000</v>
      </c>
      <c r="C28" s="1">
        <v>-486000000</v>
      </c>
      <c r="D28" s="1">
        <v>-639000000</v>
      </c>
      <c r="E28" s="1">
        <v>-602000000</v>
      </c>
      <c r="F28" s="1">
        <v>-744000000</v>
      </c>
      <c r="G28" s="1">
        <v>-770000000</v>
      </c>
      <c r="H28" s="1">
        <v>-864000000</v>
      </c>
      <c r="I28" s="1">
        <v>-982000000</v>
      </c>
      <c r="J28" s="1">
        <v>-960000000</v>
      </c>
      <c r="K28" s="1">
        <v>-741000000</v>
      </c>
      <c r="L28" s="1">
        <v>-273000000</v>
      </c>
      <c r="M28" s="1">
        <v>-282000000</v>
      </c>
      <c r="N28" s="1">
        <v>-292000000</v>
      </c>
      <c r="O28" s="1">
        <v>-263000000</v>
      </c>
      <c r="P28" s="1">
        <v>-366000000</v>
      </c>
      <c r="Q28" s="1">
        <v>-400000000</v>
      </c>
      <c r="R28" s="1">
        <v>-623000000</v>
      </c>
      <c r="S28" s="1">
        <v>-440000000</v>
      </c>
      <c r="T28" s="1">
        <v>-412000000</v>
      </c>
      <c r="U28" s="1">
        <v>-400000000</v>
      </c>
      <c r="V28" s="1">
        <v>-489000000</v>
      </c>
      <c r="W28" s="1">
        <v>-453000000</v>
      </c>
      <c r="X28" s="1">
        <v>-389000000</v>
      </c>
      <c r="Y28" s="1">
        <v>-415000000</v>
      </c>
      <c r="Z28" s="1">
        <v>-357000000</v>
      </c>
      <c r="AA28" s="1">
        <v>-410000000</v>
      </c>
      <c r="AB28" s="1">
        <v>-307000000</v>
      </c>
      <c r="AC28" s="1">
        <v>-321000000</v>
      </c>
      <c r="AD28" s="1">
        <v>-313000000</v>
      </c>
      <c r="AE28" s="1">
        <v>-277000000</v>
      </c>
      <c r="AF28" s="1">
        <v>-230000000</v>
      </c>
      <c r="AG28" s="1">
        <v>-110000000</v>
      </c>
      <c r="AH28" s="1">
        <v>-102000000</v>
      </c>
      <c r="AI28" s="1">
        <v>-148000000</v>
      </c>
      <c r="AJ28" s="1">
        <v>-110000000</v>
      </c>
      <c r="AK28" s="1">
        <v>-100000000</v>
      </c>
      <c r="AL28" s="1">
        <v>-109000000</v>
      </c>
      <c r="AM28" s="1">
        <v>-239000000</v>
      </c>
      <c r="AN28" s="1">
        <v>-146000000</v>
      </c>
      <c r="AO28" s="1">
        <v>-156000000</v>
      </c>
      <c r="AP28" s="1">
        <v>-315000000</v>
      </c>
      <c r="AQ28" s="1">
        <v>-81000000</v>
      </c>
      <c r="AR28" s="1">
        <v>-29000000</v>
      </c>
      <c r="AS28" s="1">
        <v>-32000000</v>
      </c>
      <c r="AT28" s="1">
        <v>-54000000</v>
      </c>
      <c r="AU28" s="1">
        <v>-50000000</v>
      </c>
      <c r="AV28" s="1">
        <v>-38000000</v>
      </c>
      <c r="AW28" s="1">
        <v>-57000000</v>
      </c>
      <c r="AX28" s="1">
        <v>-1000000</v>
      </c>
      <c r="AY28" s="1">
        <v>0</v>
      </c>
      <c r="AZ28" s="1">
        <v>10000000</v>
      </c>
      <c r="BA28" s="1">
        <v>4000000</v>
      </c>
      <c r="BB28" s="1">
        <v>-1000000</v>
      </c>
      <c r="BC28" s="1">
        <v>2000000</v>
      </c>
      <c r="BD28" s="1">
        <v>-1000000</v>
      </c>
      <c r="BE28" s="1">
        <v>1000000</v>
      </c>
      <c r="BF28" s="1">
        <v>3000000</v>
      </c>
      <c r="BG28" s="1">
        <v>-2000000</v>
      </c>
      <c r="BH28" s="1">
        <v>0</v>
      </c>
      <c r="BI28" s="1">
        <v>0</v>
      </c>
      <c r="BJ28" s="1">
        <v>-1000000</v>
      </c>
      <c r="BK28" s="1">
        <v>-22000000</v>
      </c>
      <c r="BL28" s="1">
        <v>-7000000</v>
      </c>
      <c r="BM28" s="1">
        <v>-8000000</v>
      </c>
      <c r="BN28" s="1">
        <v>-9000000</v>
      </c>
      <c r="BO28" s="1">
        <v>-36000000</v>
      </c>
      <c r="BP28" s="1">
        <v>-27000000</v>
      </c>
      <c r="BQ28" s="1">
        <v>-16000000</v>
      </c>
      <c r="BR28" s="1">
        <v>-22000000</v>
      </c>
      <c r="BS28" s="1">
        <v>-19000000</v>
      </c>
      <c r="BT28" s="1">
        <v>-27000000</v>
      </c>
      <c r="BU28" s="1">
        <v>-20000000</v>
      </c>
    </row>
    <row r="29" spans="1:73" x14ac:dyDescent="0.2">
      <c r="A29" s="1" t="s">
        <v>13</v>
      </c>
      <c r="B29" s="1">
        <v>10130000000</v>
      </c>
      <c r="C29" s="1">
        <v>8195000000</v>
      </c>
      <c r="D29" s="1">
        <v>6869000000</v>
      </c>
      <c r="E29" s="1">
        <v>5285000000</v>
      </c>
      <c r="F29" s="1">
        <v>5085000000</v>
      </c>
      <c r="G29" s="1">
        <v>5490000000</v>
      </c>
      <c r="H29" s="1">
        <v>3763000000</v>
      </c>
      <c r="I29" s="1">
        <v>2806000000</v>
      </c>
      <c r="J29" s="1">
        <v>2005000000</v>
      </c>
      <c r="K29" s="1">
        <v>1342000000</v>
      </c>
      <c r="L29" s="1">
        <v>3967000000</v>
      </c>
      <c r="M29" s="1">
        <v>3574000000</v>
      </c>
      <c r="N29" s="1">
        <v>3716000000</v>
      </c>
      <c r="O29" s="1">
        <v>3840000000</v>
      </c>
      <c r="P29" s="1">
        <v>3620000000</v>
      </c>
      <c r="Q29" s="1">
        <v>3337000000</v>
      </c>
      <c r="R29" s="1">
        <v>2790000000</v>
      </c>
      <c r="S29" s="1">
        <v>2687000000</v>
      </c>
      <c r="T29" s="1">
        <v>2169000000</v>
      </c>
      <c r="U29" s="1">
        <v>1726000000</v>
      </c>
      <c r="V29" s="1">
        <v>1486000000</v>
      </c>
      <c r="W29" s="1">
        <v>1384000000</v>
      </c>
      <c r="X29" s="1">
        <v>1137000000</v>
      </c>
      <c r="Y29" s="1">
        <v>593000000</v>
      </c>
      <c r="Z29" s="1">
        <v>409000000</v>
      </c>
      <c r="AA29" s="1">
        <v>304000000</v>
      </c>
      <c r="AB29" s="1">
        <v>747000000</v>
      </c>
      <c r="AC29" s="1">
        <v>544000000</v>
      </c>
      <c r="AD29" s="1">
        <v>657000000</v>
      </c>
      <c r="AE29" s="1">
        <v>278000000</v>
      </c>
      <c r="AF29" s="1">
        <v>1422000000</v>
      </c>
      <c r="AG29" s="1">
        <v>1229000000</v>
      </c>
      <c r="AH29" s="1">
        <v>1099000000</v>
      </c>
      <c r="AI29" s="1">
        <v>795000000</v>
      </c>
      <c r="AJ29" s="1">
        <v>645000000</v>
      </c>
      <c r="AK29" s="1">
        <v>548000000</v>
      </c>
      <c r="AL29" s="1">
        <v>365000000</v>
      </c>
      <c r="AM29" s="1">
        <v>267000000</v>
      </c>
      <c r="AN29" s="1">
        <v>235000000</v>
      </c>
      <c r="AO29" s="1">
        <v>-420000000</v>
      </c>
      <c r="AP29" s="1">
        <v>-1316000000</v>
      </c>
      <c r="AQ29" s="1">
        <v>394000000</v>
      </c>
      <c r="AR29" s="1">
        <v>485000000</v>
      </c>
      <c r="AS29" s="1">
        <v>267000000</v>
      </c>
      <c r="AT29" s="1">
        <v>364000000</v>
      </c>
      <c r="AU29" s="1">
        <v>351000000</v>
      </c>
      <c r="AV29" s="1">
        <v>263000000</v>
      </c>
      <c r="AW29" s="1">
        <v>-219000000</v>
      </c>
      <c r="AX29" s="1">
        <v>159000000</v>
      </c>
      <c r="AY29" s="1">
        <v>139000000</v>
      </c>
      <c r="AZ29" s="1">
        <v>180000000</v>
      </c>
      <c r="BA29" s="1">
        <v>144000000</v>
      </c>
      <c r="BB29" s="1">
        <v>118000000</v>
      </c>
      <c r="BC29" s="1">
        <v>126000000</v>
      </c>
      <c r="BD29" s="1">
        <v>165000000</v>
      </c>
      <c r="BE29" s="1">
        <v>150000000</v>
      </c>
      <c r="BF29" s="1">
        <v>140000000</v>
      </c>
      <c r="BG29" s="1">
        <v>130000000</v>
      </c>
      <c r="BH29" s="1">
        <v>159000000</v>
      </c>
      <c r="BI29" s="1">
        <v>145000000</v>
      </c>
      <c r="BJ29" s="1">
        <v>137000000</v>
      </c>
      <c r="BK29" s="1">
        <v>120000000</v>
      </c>
      <c r="BL29" s="1">
        <v>138000000</v>
      </c>
      <c r="BM29" s="1">
        <v>127000000</v>
      </c>
      <c r="BN29" s="1">
        <v>99000000</v>
      </c>
      <c r="BO29" s="1">
        <v>42000000</v>
      </c>
      <c r="BP29" s="1">
        <v>-22000000</v>
      </c>
      <c r="BQ29" s="1">
        <v>8000000</v>
      </c>
      <c r="BR29" s="1">
        <v>-33000000</v>
      </c>
      <c r="BS29" s="1">
        <v>11000000</v>
      </c>
      <c r="BT29" s="1">
        <v>16000000</v>
      </c>
      <c r="BU29" s="1">
        <v>24000000</v>
      </c>
    </row>
    <row r="30" spans="1:73" x14ac:dyDescent="0.2">
      <c r="A30" s="2" t="s">
        <v>12</v>
      </c>
      <c r="B30" s="2">
        <v>0.45657366929999998</v>
      </c>
      <c r="C30" s="2">
        <v>0.42436953030000002</v>
      </c>
      <c r="D30" s="2">
        <v>0.38129336660000002</v>
      </c>
      <c r="E30" s="2">
        <v>0.33130641929999999</v>
      </c>
      <c r="F30" s="2">
        <v>0.33890962409999997</v>
      </c>
      <c r="G30" s="2">
        <v>0.36806114239999999</v>
      </c>
      <c r="H30" s="2">
        <v>0.26775295290000001</v>
      </c>
      <c r="I30" s="2">
        <v>0.21465728270000001</v>
      </c>
      <c r="J30" s="2">
        <v>0.1605669897</v>
      </c>
      <c r="K30" s="2">
        <v>0.1121979768</v>
      </c>
      <c r="L30" s="2">
        <v>0.42678859600000002</v>
      </c>
      <c r="M30" s="2">
        <v>0.40265885530000001</v>
      </c>
      <c r="N30" s="2">
        <v>0.42551242410000001</v>
      </c>
      <c r="O30" s="2">
        <v>0.43073471679999997</v>
      </c>
      <c r="P30" s="2">
        <v>0.40537514000000002</v>
      </c>
      <c r="Q30" s="2">
        <v>0.39425803399999998</v>
      </c>
      <c r="R30" s="2">
        <v>0.3443169197</v>
      </c>
      <c r="S30" s="2">
        <v>0.34868933299999999</v>
      </c>
      <c r="T30" s="2">
        <v>0.29283110569999998</v>
      </c>
      <c r="U30" s="2">
        <v>0.25464738860000002</v>
      </c>
      <c r="V30" s="2">
        <v>0.22481089260000001</v>
      </c>
      <c r="W30" s="2">
        <v>0.20796393690000001</v>
      </c>
      <c r="X30" s="2">
        <v>0.1758156796</v>
      </c>
      <c r="Y30" s="2">
        <v>0.1018725305</v>
      </c>
      <c r="Z30" s="2">
        <v>7.1229536699999998E-2</v>
      </c>
      <c r="AA30" s="2">
        <v>5.1894844699999998E-2</v>
      </c>
      <c r="AB30" s="2">
        <v>0.12932825479999999</v>
      </c>
      <c r="AC30" s="2">
        <v>9.8640072499999995E-2</v>
      </c>
      <c r="AD30" s="2">
        <v>0.11908646000000001</v>
      </c>
      <c r="AE30" s="2">
        <v>4.8022110899999998E-2</v>
      </c>
      <c r="AF30" s="2">
        <v>0.26120499629999999</v>
      </c>
      <c r="AG30" s="2">
        <v>0.24274145759999999</v>
      </c>
      <c r="AH30" s="2">
        <v>0.21918627839999999</v>
      </c>
      <c r="AI30" s="2">
        <v>0.14923972220000001</v>
      </c>
      <c r="AJ30" s="2">
        <v>0.13315441780000001</v>
      </c>
      <c r="AK30" s="2">
        <v>0.12278736279999999</v>
      </c>
      <c r="AL30" s="2">
        <v>8.7112171799999999E-2</v>
      </c>
      <c r="AM30" s="2">
        <v>6.4508335299999997E-2</v>
      </c>
      <c r="AN30" s="2">
        <v>5.6818181799999999E-2</v>
      </c>
      <c r="AO30" s="2">
        <v>-0.1107594937</v>
      </c>
      <c r="AP30" s="2">
        <v>-0.3716464276</v>
      </c>
      <c r="AQ30" s="2">
        <v>0.22247317899999999</v>
      </c>
      <c r="AR30" s="2">
        <v>0.26358695650000002</v>
      </c>
      <c r="AS30" s="2">
        <v>0.15389048990000001</v>
      </c>
      <c r="AT30" s="2">
        <v>0.22552664189999999</v>
      </c>
      <c r="AU30" s="2">
        <v>0.21467889909999999</v>
      </c>
      <c r="AV30" s="2">
        <v>0.16540880499999999</v>
      </c>
      <c r="AW30" s="2">
        <v>-0.1725768322</v>
      </c>
      <c r="AX30" s="2">
        <v>0.22681883019999999</v>
      </c>
      <c r="AY30" s="2">
        <v>0.19605077570000001</v>
      </c>
      <c r="AZ30" s="2">
        <v>0.243902439</v>
      </c>
      <c r="BA30" s="2">
        <v>0.2236024845</v>
      </c>
      <c r="BB30" s="2">
        <v>0.2099644128</v>
      </c>
      <c r="BC30" s="2">
        <v>0.21875</v>
      </c>
      <c r="BD30" s="2">
        <v>0.26699029130000002</v>
      </c>
      <c r="BE30" s="2">
        <v>0.2475247525</v>
      </c>
      <c r="BF30" s="2">
        <v>0.24263431539999999</v>
      </c>
      <c r="BG30" s="2">
        <v>0.2309058615</v>
      </c>
      <c r="BH30" s="2">
        <v>0.25521669340000003</v>
      </c>
      <c r="BI30" s="2">
        <v>0.24046434489999999</v>
      </c>
      <c r="BJ30" s="2">
        <v>0.2446428571</v>
      </c>
      <c r="BK30" s="2">
        <v>0.21818181819999999</v>
      </c>
      <c r="BL30" s="2">
        <v>0.2412587413</v>
      </c>
      <c r="BM30" s="2">
        <v>0.2309090909</v>
      </c>
      <c r="BN30" s="2">
        <v>0.19223300970000001</v>
      </c>
      <c r="BO30" s="2">
        <v>9.2105263199999995E-2</v>
      </c>
      <c r="BP30" s="2">
        <v>-5.1401869199999999E-2</v>
      </c>
      <c r="BQ30" s="2">
        <v>2.2038567500000002E-2</v>
      </c>
      <c r="BR30" s="2">
        <v>-0.1015384615</v>
      </c>
      <c r="BS30" s="2">
        <v>2.9891304300000001E-2</v>
      </c>
      <c r="BT30" s="2">
        <v>3.5794183399999999E-2</v>
      </c>
      <c r="BU30" s="2">
        <v>5.4669703899999998E-2</v>
      </c>
    </row>
    <row r="31" spans="1:73" x14ac:dyDescent="0.2">
      <c r="A31" s="1" t="s">
        <v>11</v>
      </c>
      <c r="B31" s="1">
        <v>820000000</v>
      </c>
      <c r="C31" s="1">
        <v>846000000</v>
      </c>
      <c r="D31" s="1">
        <v>-1649000000</v>
      </c>
      <c r="E31" s="1">
        <v>1145000000</v>
      </c>
      <c r="F31" s="1">
        <v>120000000</v>
      </c>
      <c r="G31" s="1">
        <v>-13000000</v>
      </c>
      <c r="H31" s="1">
        <v>-442000000</v>
      </c>
      <c r="I31" s="1">
        <v>4238000000</v>
      </c>
      <c r="J31" s="1">
        <v>-116000000</v>
      </c>
      <c r="K31" s="1">
        <v>68000000</v>
      </c>
      <c r="L31" s="1">
        <v>443000000</v>
      </c>
      <c r="M31" s="1">
        <v>271000000</v>
      </c>
      <c r="N31" s="1">
        <v>235000000</v>
      </c>
      <c r="O31" s="1">
        <v>66000000</v>
      </c>
      <c r="P31" s="1">
        <v>261000000</v>
      </c>
      <c r="Q31" s="1">
        <v>263000000</v>
      </c>
      <c r="R31" s="1">
        <v>200000000</v>
      </c>
      <c r="S31" s="1">
        <v>215000000</v>
      </c>
      <c r="T31" s="1">
        <v>180000000</v>
      </c>
      <c r="U31" s="1">
        <v>-150000000</v>
      </c>
      <c r="V31" s="1">
        <v>-7000000</v>
      </c>
      <c r="W31" s="1">
        <v>6000000</v>
      </c>
      <c r="X31" s="1">
        <v>-187000000</v>
      </c>
      <c r="Y31" s="1">
        <v>-96000000</v>
      </c>
      <c r="Z31" s="1">
        <v>-159000000</v>
      </c>
      <c r="AA31" s="1">
        <v>-76000000</v>
      </c>
      <c r="AB31" s="1">
        <v>-100000000</v>
      </c>
      <c r="AC31" s="1">
        <v>-171000000</v>
      </c>
      <c r="AD31" s="1">
        <v>-36000000</v>
      </c>
      <c r="AE31" s="1">
        <v>-203000000</v>
      </c>
      <c r="AF31" s="1">
        <v>307000000</v>
      </c>
      <c r="AG31" s="1">
        <v>32000000</v>
      </c>
      <c r="AH31" s="1">
        <v>-2637000000</v>
      </c>
      <c r="AI31" s="1">
        <v>-5786000000</v>
      </c>
      <c r="AJ31" s="1">
        <v>89000000</v>
      </c>
      <c r="AK31" s="1">
        <v>39000000</v>
      </c>
      <c r="AL31" s="1">
        <v>-103000000</v>
      </c>
      <c r="AM31" s="1">
        <v>10000000</v>
      </c>
      <c r="AN31" s="1">
        <v>841000000</v>
      </c>
      <c r="AO31" s="1">
        <v>-117000000</v>
      </c>
      <c r="AP31" s="1">
        <v>-99000000</v>
      </c>
      <c r="AQ31" s="1">
        <v>17000000</v>
      </c>
      <c r="AR31" s="1">
        <v>15000000</v>
      </c>
      <c r="AS31" s="1">
        <v>23000000</v>
      </c>
      <c r="AT31" s="1">
        <v>25000000</v>
      </c>
      <c r="AU31" s="1">
        <v>13000000</v>
      </c>
      <c r="AV31" s="1">
        <v>126000000</v>
      </c>
      <c r="AW31" s="1">
        <v>-99000000</v>
      </c>
      <c r="AX31" s="1">
        <v>1000000</v>
      </c>
      <c r="AY31" s="1">
        <v>5000000</v>
      </c>
      <c r="AZ31" s="1">
        <v>8000000</v>
      </c>
      <c r="BA31" s="1">
        <v>2000000</v>
      </c>
      <c r="BB31" s="1">
        <v>5000000</v>
      </c>
      <c r="BC31" s="1">
        <v>1000000</v>
      </c>
      <c r="BD31" s="1">
        <v>6000000</v>
      </c>
      <c r="BE31" s="1">
        <v>5000000</v>
      </c>
      <c r="BF31" s="1">
        <v>6000000</v>
      </c>
      <c r="BG31" s="1">
        <v>5000000</v>
      </c>
      <c r="BH31" s="1">
        <v>5000000</v>
      </c>
      <c r="BI31" s="1">
        <v>1000000</v>
      </c>
      <c r="BJ31" s="1">
        <v>2000000</v>
      </c>
      <c r="BK31" s="1">
        <v>1000000</v>
      </c>
      <c r="BL31" s="1">
        <v>-26000000</v>
      </c>
      <c r="BM31" s="1">
        <v>4000000</v>
      </c>
      <c r="BN31" s="1">
        <v>9000000</v>
      </c>
      <c r="BO31" s="1">
        <v>4000000</v>
      </c>
      <c r="BP31" s="1">
        <v>-1000000</v>
      </c>
      <c r="BQ31" s="1">
        <v>6000000</v>
      </c>
      <c r="BR31" s="1">
        <v>-2000000</v>
      </c>
      <c r="BS31" s="1">
        <v>5000000</v>
      </c>
      <c r="BT31" s="1">
        <v>-9000000</v>
      </c>
      <c r="BU31" s="1">
        <v>5000000</v>
      </c>
    </row>
    <row r="32" spans="1:73" x14ac:dyDescent="0.2">
      <c r="A32" s="6" t="s">
        <v>10</v>
      </c>
      <c r="B32" s="5">
        <v>9310000000</v>
      </c>
      <c r="C32" s="5">
        <v>7349000000</v>
      </c>
      <c r="D32" s="5">
        <v>8518000000</v>
      </c>
      <c r="E32" s="5">
        <v>4140000000</v>
      </c>
      <c r="F32" s="5">
        <v>4965000000</v>
      </c>
      <c r="G32" s="5">
        <v>5503000000</v>
      </c>
      <c r="H32" s="5">
        <v>4324000000</v>
      </c>
      <c r="I32" s="5">
        <v>-1875000000</v>
      </c>
      <c r="J32" s="5">
        <v>2121000000</v>
      </c>
      <c r="K32" s="5">
        <v>1325000000</v>
      </c>
      <c r="L32" s="5">
        <v>3524000000</v>
      </c>
      <c r="M32" s="5">
        <v>3303000000</v>
      </c>
      <c r="N32" s="5">
        <v>3481000000</v>
      </c>
      <c r="O32" s="5">
        <v>3774000000</v>
      </c>
      <c r="P32" s="5">
        <v>3359000000</v>
      </c>
      <c r="Q32" s="5">
        <v>3074000000</v>
      </c>
      <c r="R32" s="5">
        <v>2590000000</v>
      </c>
      <c r="S32" s="5">
        <v>2472000000</v>
      </c>
      <c r="T32" s="5">
        <v>1989000000</v>
      </c>
      <c r="U32" s="5">
        <v>1876000000</v>
      </c>
      <c r="V32" s="5">
        <v>1493000000</v>
      </c>
      <c r="W32" s="5">
        <v>1378000000</v>
      </c>
      <c r="X32" s="5">
        <v>1324000000</v>
      </c>
      <c r="Y32" s="5">
        <v>688000000</v>
      </c>
      <c r="Z32" s="5">
        <v>563000000</v>
      </c>
      <c r="AA32" s="5">
        <v>385000000</v>
      </c>
      <c r="AB32" s="5">
        <v>847000000</v>
      </c>
      <c r="AC32" s="5">
        <v>715000000</v>
      </c>
      <c r="AD32" s="5">
        <v>691000000</v>
      </c>
      <c r="AE32" s="5">
        <v>471000000</v>
      </c>
      <c r="AF32" s="5">
        <v>1115000000</v>
      </c>
      <c r="AG32" s="5">
        <v>1196000000</v>
      </c>
      <c r="AH32" s="5">
        <v>3718000000</v>
      </c>
      <c r="AI32" s="5">
        <v>6230000000</v>
      </c>
      <c r="AJ32" s="5">
        <v>532000000</v>
      </c>
      <c r="AK32" s="5">
        <v>481000000</v>
      </c>
      <c r="AL32" s="5">
        <v>440000000</v>
      </c>
      <c r="AM32" s="5">
        <v>239000000</v>
      </c>
      <c r="AN32" s="5">
        <v>-632000000</v>
      </c>
      <c r="AO32" s="5">
        <v>-298000000</v>
      </c>
      <c r="AP32" s="5">
        <v>-1186000000</v>
      </c>
      <c r="AQ32" s="5">
        <v>377000000</v>
      </c>
      <c r="AR32" s="5">
        <v>429000000</v>
      </c>
      <c r="AS32" s="5">
        <v>240000000</v>
      </c>
      <c r="AT32" s="5">
        <v>344000000</v>
      </c>
      <c r="AU32" s="5">
        <v>351000000</v>
      </c>
      <c r="AV32" s="5">
        <v>135000000</v>
      </c>
      <c r="AW32" s="5">
        <v>-164000000</v>
      </c>
      <c r="AX32" s="5">
        <v>158000000</v>
      </c>
      <c r="AY32" s="5">
        <v>134000000</v>
      </c>
      <c r="AZ32" s="5">
        <v>172000000</v>
      </c>
      <c r="BA32" s="5">
        <v>142000000</v>
      </c>
      <c r="BB32" s="5">
        <v>113000000</v>
      </c>
      <c r="BC32" s="5">
        <v>125000000</v>
      </c>
      <c r="BD32" s="5">
        <v>159000000</v>
      </c>
      <c r="BE32" s="5">
        <v>145000000</v>
      </c>
      <c r="BF32" s="5">
        <v>134000000</v>
      </c>
      <c r="BG32" s="5">
        <v>125000000</v>
      </c>
      <c r="BH32" s="5">
        <v>154000000</v>
      </c>
      <c r="BI32" s="5">
        <v>144000000</v>
      </c>
      <c r="BJ32" s="5">
        <v>135000000</v>
      </c>
      <c r="BK32" s="5">
        <v>119000000</v>
      </c>
      <c r="BL32" s="5">
        <v>164000000</v>
      </c>
      <c r="BM32" s="5">
        <v>123000000</v>
      </c>
      <c r="BN32" s="5">
        <v>90000000</v>
      </c>
      <c r="BO32" s="5">
        <v>38000000</v>
      </c>
      <c r="BP32" s="5">
        <v>-21000000</v>
      </c>
      <c r="BQ32" s="5">
        <v>2000000</v>
      </c>
      <c r="BR32" s="5">
        <v>-31000000</v>
      </c>
      <c r="BS32" s="5">
        <v>6000000</v>
      </c>
      <c r="BT32" s="5">
        <v>18000000</v>
      </c>
      <c r="BU32" s="5">
        <v>44000000</v>
      </c>
    </row>
    <row r="34" spans="1:73" x14ac:dyDescent="0.2">
      <c r="A34" s="3" t="s">
        <v>9</v>
      </c>
      <c r="B34" s="3">
        <v>0.41961508990000002</v>
      </c>
      <c r="C34" s="3">
        <v>0.38056030239999999</v>
      </c>
      <c r="D34" s="3">
        <v>0.47282819869999998</v>
      </c>
      <c r="E34" s="3">
        <v>0.25952858579999999</v>
      </c>
      <c r="F34" s="3">
        <v>0.33091175690000002</v>
      </c>
      <c r="G34" s="3">
        <v>0.36893268969999998</v>
      </c>
      <c r="H34" s="3">
        <v>0.30767041410000001</v>
      </c>
      <c r="I34" s="3">
        <v>-0.1434363525</v>
      </c>
      <c r="J34" s="3">
        <v>0.16985665089999999</v>
      </c>
      <c r="K34" s="3">
        <v>0.1107766909</v>
      </c>
      <c r="L34" s="3">
        <v>0.37912856369999998</v>
      </c>
      <c r="M34" s="3">
        <v>0.37212708430000002</v>
      </c>
      <c r="N34" s="3">
        <v>0.39860300009999999</v>
      </c>
      <c r="O34" s="3">
        <v>0.42333146379999997</v>
      </c>
      <c r="P34" s="3">
        <v>0.37614781629999999</v>
      </c>
      <c r="Q34" s="3">
        <v>0.3631852552</v>
      </c>
      <c r="R34" s="3">
        <v>0.31963470319999998</v>
      </c>
      <c r="S34" s="3">
        <v>0.32078899560000002</v>
      </c>
      <c r="T34" s="3">
        <v>0.26852976909999998</v>
      </c>
      <c r="U34" s="3">
        <v>0.27677781060000001</v>
      </c>
      <c r="V34" s="3">
        <v>0.2258698941</v>
      </c>
      <c r="W34" s="3">
        <v>0.20706235910000001</v>
      </c>
      <c r="X34" s="3">
        <v>0.2047317149</v>
      </c>
      <c r="Y34" s="3">
        <v>0.1181927504</v>
      </c>
      <c r="Z34" s="3">
        <v>9.8049460099999999E-2</v>
      </c>
      <c r="AA34" s="3">
        <v>6.5722089499999997E-2</v>
      </c>
      <c r="AB34" s="3">
        <v>0.1466412742</v>
      </c>
      <c r="AC34" s="3">
        <v>0.1296464189</v>
      </c>
      <c r="AD34" s="3">
        <v>0.12524922969999999</v>
      </c>
      <c r="AE34" s="3">
        <v>8.1361202300000005E-2</v>
      </c>
      <c r="AF34" s="3">
        <v>0.2048126378</v>
      </c>
      <c r="AG34" s="3">
        <v>0.23622358290000001</v>
      </c>
      <c r="AH34" s="3">
        <v>0.7415237335</v>
      </c>
      <c r="AI34" s="3">
        <v>1.1695137976000001</v>
      </c>
      <c r="AJ34" s="3">
        <v>0.1098265896</v>
      </c>
      <c r="AK34" s="3">
        <v>0.10777503920000001</v>
      </c>
      <c r="AL34" s="3">
        <v>0.1050119332</v>
      </c>
      <c r="AM34" s="3">
        <v>5.7743416300000003E-2</v>
      </c>
      <c r="AN34" s="3">
        <v>-0.15280464220000001</v>
      </c>
      <c r="AO34" s="3">
        <v>-7.8586497899999996E-2</v>
      </c>
      <c r="AP34" s="3">
        <v>-0.33493363459999997</v>
      </c>
      <c r="AQ34" s="3">
        <v>0.2128740824</v>
      </c>
      <c r="AR34" s="3">
        <v>0.23315217390000001</v>
      </c>
      <c r="AS34" s="3">
        <v>0.1383285303</v>
      </c>
      <c r="AT34" s="3">
        <v>0.2131350682</v>
      </c>
      <c r="AU34" s="3">
        <v>0.21467889909999999</v>
      </c>
      <c r="AV34" s="3">
        <v>8.4905660399999999E-2</v>
      </c>
      <c r="AW34" s="3">
        <v>-0.12923561859999999</v>
      </c>
      <c r="AX34" s="3">
        <v>0.22539229669999999</v>
      </c>
      <c r="AY34" s="3">
        <v>0.18899858959999999</v>
      </c>
      <c r="AZ34" s="3">
        <v>0.23306233060000001</v>
      </c>
      <c r="BA34" s="3">
        <v>0.2204968944</v>
      </c>
      <c r="BB34" s="3">
        <v>0.20106761570000001</v>
      </c>
      <c r="BC34" s="3">
        <v>0.21701388890000001</v>
      </c>
      <c r="BD34" s="3">
        <v>0.25728155339999997</v>
      </c>
      <c r="BE34" s="3">
        <v>0.2392739274</v>
      </c>
      <c r="BF34" s="3">
        <v>0.23223570190000001</v>
      </c>
      <c r="BG34" s="3">
        <v>0.2220248668</v>
      </c>
      <c r="BH34" s="3">
        <v>0.2471910112</v>
      </c>
      <c r="BI34" s="3">
        <v>0.23880597009999999</v>
      </c>
      <c r="BJ34" s="3">
        <v>0.2410714286</v>
      </c>
      <c r="BK34" s="3">
        <v>0.2163636364</v>
      </c>
      <c r="BL34" s="3">
        <v>0.28671328670000001</v>
      </c>
      <c r="BM34" s="3">
        <v>0.2236363636</v>
      </c>
      <c r="BN34" s="3">
        <v>0.17475728160000001</v>
      </c>
      <c r="BO34" s="3">
        <v>8.3333333300000006E-2</v>
      </c>
      <c r="BP34" s="3">
        <v>-4.90654206E-2</v>
      </c>
      <c r="BQ34" s="3">
        <v>5.5096418999999999E-3</v>
      </c>
      <c r="BR34" s="3">
        <v>-9.5384615399999997E-2</v>
      </c>
      <c r="BS34" s="3">
        <v>1.6304347800000001E-2</v>
      </c>
      <c r="BT34" s="3">
        <v>4.0268456399999999E-2</v>
      </c>
      <c r="BU34" s="3">
        <v>0.1002277904</v>
      </c>
    </row>
    <row r="35" spans="1:73" x14ac:dyDescent="0.2">
      <c r="A35" s="2" t="s">
        <v>8</v>
      </c>
      <c r="B35" s="2">
        <v>1.96</v>
      </c>
      <c r="C35" s="2">
        <v>1.55</v>
      </c>
      <c r="D35" s="2">
        <v>1.8</v>
      </c>
      <c r="E35" s="2">
        <v>0.88</v>
      </c>
      <c r="F35" s="2">
        <v>1.05</v>
      </c>
      <c r="G35" s="2">
        <v>1.17</v>
      </c>
      <c r="H35" s="2">
        <v>0.92</v>
      </c>
      <c r="I35" s="2">
        <v>-0.4</v>
      </c>
      <c r="J35" s="2">
        <v>0.46</v>
      </c>
      <c r="K35" s="2">
        <v>0.28999999999999998</v>
      </c>
      <c r="L35" s="2">
        <v>0.85</v>
      </c>
      <c r="M35" s="2">
        <v>0.8</v>
      </c>
      <c r="N35" s="2">
        <v>0.84</v>
      </c>
      <c r="O35" s="2">
        <v>0.9</v>
      </c>
      <c r="P35" s="2">
        <v>0.81</v>
      </c>
      <c r="Q35" s="2">
        <v>0.74</v>
      </c>
      <c r="R35" s="2">
        <v>0.62</v>
      </c>
      <c r="S35" s="2">
        <v>0.57999999999999996</v>
      </c>
      <c r="T35" s="2">
        <v>0.46</v>
      </c>
      <c r="U35" s="2">
        <v>0.44</v>
      </c>
      <c r="V35" s="2">
        <v>0.35</v>
      </c>
      <c r="W35" s="2">
        <v>0.32</v>
      </c>
      <c r="X35" s="2">
        <v>0.31</v>
      </c>
      <c r="Y35" s="2">
        <v>0.15</v>
      </c>
      <c r="Z35" s="2">
        <v>0.12</v>
      </c>
      <c r="AA35" s="2">
        <v>7.8E-2</v>
      </c>
      <c r="AB35" s="2">
        <v>0.21</v>
      </c>
      <c r="AC35" s="2">
        <v>0.18</v>
      </c>
      <c r="AD35" s="2">
        <v>0.17</v>
      </c>
      <c r="AE35" s="2">
        <v>0.12</v>
      </c>
      <c r="AF35" s="2">
        <v>0.27</v>
      </c>
      <c r="AG35" s="2">
        <v>0.28000000000000003</v>
      </c>
      <c r="AH35" s="2">
        <v>0.88</v>
      </c>
      <c r="AI35" s="2">
        <v>1.52</v>
      </c>
      <c r="AJ35" s="2">
        <v>0.13</v>
      </c>
      <c r="AK35" s="2">
        <v>0.12</v>
      </c>
      <c r="AL35" s="2">
        <v>0.11</v>
      </c>
      <c r="AM35" s="2">
        <v>0.06</v>
      </c>
      <c r="AN35" s="2">
        <v>-0.16</v>
      </c>
      <c r="AO35" s="2">
        <v>-7.5300000000000006E-2</v>
      </c>
      <c r="AP35" s="2">
        <v>-0.3</v>
      </c>
      <c r="AQ35" s="2">
        <v>0.14000000000000001</v>
      </c>
      <c r="AR35" s="2">
        <v>0.16</v>
      </c>
      <c r="AS35" s="2">
        <v>9.0999999999999998E-2</v>
      </c>
      <c r="AT35" s="2">
        <v>0.13</v>
      </c>
      <c r="AU35" s="2">
        <v>0.14000000000000001</v>
      </c>
      <c r="AV35" s="2">
        <v>5.2999999999999999E-2</v>
      </c>
      <c r="AW35" s="2">
        <v>-6.5600000000000006E-2</v>
      </c>
      <c r="AX35" s="2">
        <v>6.3E-2</v>
      </c>
      <c r="AY35" s="2">
        <v>5.3999999999999999E-2</v>
      </c>
      <c r="AZ35" s="2">
        <v>6.9400000000000003E-2</v>
      </c>
      <c r="BA35" s="2">
        <v>5.7299999999999997E-2</v>
      </c>
      <c r="BB35" s="2">
        <v>4.5999999999999999E-2</v>
      </c>
      <c r="BC35" s="2">
        <v>5.0999999999999997E-2</v>
      </c>
      <c r="BD35" s="2">
        <v>6.5000000000000002E-2</v>
      </c>
      <c r="BE35" s="2">
        <v>5.8999999999999997E-2</v>
      </c>
      <c r="BF35" s="2">
        <v>5.5E-2</v>
      </c>
      <c r="BG35" s="2">
        <v>5.0999999999999997E-2</v>
      </c>
      <c r="BH35" s="2">
        <v>6.3E-2</v>
      </c>
      <c r="BI35" s="2">
        <v>5.8999999999999997E-2</v>
      </c>
      <c r="BJ35" s="2">
        <v>5.5E-2</v>
      </c>
      <c r="BK35" s="2">
        <v>4.9000000000000002E-2</v>
      </c>
      <c r="BL35" s="2">
        <v>6.8000000000000005E-2</v>
      </c>
      <c r="BM35" s="2">
        <v>5.0999999999999997E-2</v>
      </c>
      <c r="BN35" s="2">
        <v>3.7999999999999999E-2</v>
      </c>
      <c r="BO35" s="2">
        <v>1.6E-2</v>
      </c>
      <c r="BP35" s="2">
        <v>-8.8999999999999999E-3</v>
      </c>
      <c r="BQ35" s="2">
        <v>1E-3</v>
      </c>
      <c r="BR35" s="2">
        <v>-1.4500000000000001E-2</v>
      </c>
      <c r="BS35" s="2">
        <v>3.0000000000000001E-3</v>
      </c>
      <c r="BT35" s="2">
        <v>1.2E-2</v>
      </c>
      <c r="BU35" s="2">
        <v>2.1000000000000001E-2</v>
      </c>
    </row>
    <row r="36" spans="1:73" x14ac:dyDescent="0.2">
      <c r="A36" s="2" t="s">
        <v>7</v>
      </c>
      <c r="B36" s="2">
        <v>1.91</v>
      </c>
      <c r="C36" s="2">
        <v>1.5</v>
      </c>
      <c r="D36" s="2">
        <v>1.74</v>
      </c>
      <c r="E36" s="2">
        <v>0.85</v>
      </c>
      <c r="F36" s="2">
        <v>1.03</v>
      </c>
      <c r="G36" s="2">
        <v>1.1399999999999999</v>
      </c>
      <c r="H36" s="2">
        <v>0.9</v>
      </c>
      <c r="I36" s="2">
        <v>-0.4</v>
      </c>
      <c r="J36" s="2">
        <v>0.44</v>
      </c>
      <c r="K36" s="2">
        <v>0.28000000000000003</v>
      </c>
      <c r="L36" s="2">
        <v>0.83</v>
      </c>
      <c r="M36" s="2">
        <v>0.77</v>
      </c>
      <c r="N36" s="2">
        <v>0.82</v>
      </c>
      <c r="O36" s="2">
        <v>0.88</v>
      </c>
      <c r="P36" s="2">
        <v>0.77</v>
      </c>
      <c r="Q36" s="2">
        <v>0.7</v>
      </c>
      <c r="R36" s="2">
        <v>0.59</v>
      </c>
      <c r="S36" s="2">
        <v>0.56000000000000005</v>
      </c>
      <c r="T36" s="2">
        <v>0.45</v>
      </c>
      <c r="U36" s="2">
        <v>0.42</v>
      </c>
      <c r="V36" s="2">
        <v>0.33</v>
      </c>
      <c r="W36" s="2">
        <v>0.3</v>
      </c>
      <c r="X36" s="2">
        <v>0.28999999999999998</v>
      </c>
      <c r="Y36" s="2">
        <v>0.15</v>
      </c>
      <c r="Z36" s="2">
        <v>0.12</v>
      </c>
      <c r="AA36" s="2">
        <v>7.3999999999999996E-2</v>
      </c>
      <c r="AB36" s="2">
        <v>0.2</v>
      </c>
      <c r="AC36" s="2">
        <v>0.17</v>
      </c>
      <c r="AD36" s="2">
        <v>0.16</v>
      </c>
      <c r="AE36" s="2">
        <v>0.11</v>
      </c>
      <c r="AF36" s="2">
        <v>0.26</v>
      </c>
      <c r="AG36" s="2">
        <v>0.27</v>
      </c>
      <c r="AH36" s="2">
        <v>0.83</v>
      </c>
      <c r="AI36" s="2">
        <v>1.46</v>
      </c>
      <c r="AJ36" s="2">
        <v>0.11</v>
      </c>
      <c r="AK36" s="2">
        <v>0.11</v>
      </c>
      <c r="AL36" s="2">
        <v>0.1</v>
      </c>
      <c r="AM36" s="2">
        <v>5.4399999999999997E-2</v>
      </c>
      <c r="AN36" s="2">
        <v>-0.15</v>
      </c>
      <c r="AO36" s="2">
        <v>-7.4999999999999997E-2</v>
      </c>
      <c r="AP36" s="2">
        <v>-0.3</v>
      </c>
      <c r="AQ36" s="2">
        <v>0.13</v>
      </c>
      <c r="AR36" s="2">
        <v>0.15</v>
      </c>
      <c r="AS36" s="2">
        <v>8.4000000000000005E-2</v>
      </c>
      <c r="AT36" s="2">
        <v>0.12</v>
      </c>
      <c r="AU36" s="2">
        <v>0.13</v>
      </c>
      <c r="AV36" s="2">
        <v>0.05</v>
      </c>
      <c r="AW36" s="2">
        <v>-6.5100000000000005E-2</v>
      </c>
      <c r="AX36" s="2">
        <v>6.0999999999999999E-2</v>
      </c>
      <c r="AY36" s="2">
        <v>5.2999999999999999E-2</v>
      </c>
      <c r="AZ36" s="2">
        <v>6.8000000000000005E-2</v>
      </c>
      <c r="BA36" s="2">
        <v>5.6000000000000001E-2</v>
      </c>
      <c r="BB36" s="2">
        <v>4.4999999999999998E-2</v>
      </c>
      <c r="BC36" s="2">
        <v>0.05</v>
      </c>
      <c r="BD36" s="2">
        <v>6.3E-2</v>
      </c>
      <c r="BE36" s="2">
        <v>5.8000000000000003E-2</v>
      </c>
      <c r="BF36" s="2">
        <v>5.3999999999999999E-2</v>
      </c>
      <c r="BG36" s="2">
        <v>0.05</v>
      </c>
      <c r="BH36" s="2">
        <v>6.2E-2</v>
      </c>
      <c r="BI36" s="2">
        <v>5.7000000000000002E-2</v>
      </c>
      <c r="BJ36" s="2">
        <v>5.3999999999999999E-2</v>
      </c>
      <c r="BK36" s="2">
        <v>4.8000000000000001E-2</v>
      </c>
      <c r="BL36" s="2">
        <v>6.6000000000000003E-2</v>
      </c>
      <c r="BM36" s="2">
        <v>0.05</v>
      </c>
      <c r="BN36" s="2">
        <v>3.6999999999999998E-2</v>
      </c>
      <c r="BO36" s="2">
        <v>1.6E-2</v>
      </c>
      <c r="BP36" s="2">
        <v>-8.6E-3</v>
      </c>
      <c r="BQ36" s="2">
        <v>1E-3</v>
      </c>
      <c r="BR36" s="2">
        <v>-1.4500000000000001E-2</v>
      </c>
      <c r="BS36" s="2">
        <v>3.0000000000000001E-3</v>
      </c>
      <c r="BT36" s="2">
        <v>1.0999999999999999E-2</v>
      </c>
      <c r="BU36" s="2">
        <v>0.02</v>
      </c>
    </row>
    <row r="37" spans="1:73" x14ac:dyDescent="0.2">
      <c r="A37" s="1" t="s">
        <v>6</v>
      </c>
      <c r="B37" s="1">
        <v>4747000000</v>
      </c>
      <c r="C37" s="1">
        <v>4741000000</v>
      </c>
      <c r="D37" s="1">
        <v>4732000000</v>
      </c>
      <c r="E37" s="1">
        <v>4714000000</v>
      </c>
      <c r="F37" s="1">
        <v>4707000000</v>
      </c>
      <c r="G37" s="1">
        <v>4695000000</v>
      </c>
      <c r="H37" s="1">
        <v>4679000000</v>
      </c>
      <c r="I37" s="1">
        <v>4663000000</v>
      </c>
      <c r="J37" s="1">
        <v>4650000000</v>
      </c>
      <c r="K37" s="1">
        <v>4520000000</v>
      </c>
      <c r="L37" s="1">
        <v>4130000000</v>
      </c>
      <c r="M37" s="1">
        <v>4130000000</v>
      </c>
      <c r="N37" s="1">
        <v>4150000000</v>
      </c>
      <c r="O37" s="1">
        <v>4180000000</v>
      </c>
      <c r="P37" s="1">
        <v>4110000000</v>
      </c>
      <c r="Q37" s="1">
        <v>4060150000</v>
      </c>
      <c r="R37" s="1">
        <v>4090225000</v>
      </c>
      <c r="S37" s="1">
        <v>4120000000</v>
      </c>
      <c r="T37" s="1">
        <v>4130326000</v>
      </c>
      <c r="U37" s="1">
        <v>4120301000</v>
      </c>
      <c r="V37" s="1">
        <v>4100251000</v>
      </c>
      <c r="W37" s="1">
        <v>4080200000</v>
      </c>
      <c r="X37" s="1">
        <v>4060150000</v>
      </c>
      <c r="Y37" s="1">
        <v>4030000000</v>
      </c>
      <c r="Z37" s="1">
        <v>4010000000</v>
      </c>
      <c r="AA37" s="1">
        <v>3980000000</v>
      </c>
      <c r="AB37" s="1">
        <v>3970000000</v>
      </c>
      <c r="AC37" s="1">
        <v>3980000000</v>
      </c>
      <c r="AD37" s="1">
        <v>3970000000</v>
      </c>
      <c r="AE37" s="1">
        <v>4010000000</v>
      </c>
      <c r="AF37" s="1">
        <v>4120000000</v>
      </c>
      <c r="AG37" s="1">
        <v>4300000000</v>
      </c>
      <c r="AH37" s="1">
        <v>4210000000</v>
      </c>
      <c r="AI37" s="1">
        <v>4100000000</v>
      </c>
      <c r="AJ37" s="1">
        <v>4080000000</v>
      </c>
      <c r="AK37" s="1">
        <v>4070000000</v>
      </c>
      <c r="AL37" s="1">
        <v>4030000000</v>
      </c>
      <c r="AM37" s="1">
        <v>3990000000</v>
      </c>
      <c r="AN37" s="1">
        <v>3980000000</v>
      </c>
      <c r="AO37" s="1">
        <v>3960000000</v>
      </c>
      <c r="AP37" s="1">
        <v>3920000000</v>
      </c>
      <c r="AQ37" s="1">
        <v>2770000000</v>
      </c>
      <c r="AR37" s="1">
        <v>2760000000</v>
      </c>
      <c r="AS37" s="1">
        <v>2650000000</v>
      </c>
      <c r="AT37" s="1">
        <v>2580000000</v>
      </c>
      <c r="AU37" s="1">
        <v>2550000000</v>
      </c>
      <c r="AV37" s="1">
        <v>2540000000</v>
      </c>
      <c r="AW37" s="1">
        <v>2500000000</v>
      </c>
      <c r="AX37" s="1">
        <v>2510000000</v>
      </c>
      <c r="AY37" s="1">
        <v>2490000000</v>
      </c>
      <c r="AZ37" s="1">
        <v>2480000000</v>
      </c>
      <c r="BA37" s="1">
        <v>2480000000</v>
      </c>
      <c r="BB37" s="1">
        <v>2460000000</v>
      </c>
      <c r="BC37" s="1">
        <v>2460000000</v>
      </c>
      <c r="BD37" s="1">
        <v>2460000000</v>
      </c>
      <c r="BE37" s="1">
        <v>2450000000</v>
      </c>
      <c r="BF37" s="1">
        <v>2440000000</v>
      </c>
      <c r="BG37" s="1">
        <v>2450000000</v>
      </c>
      <c r="BH37" s="1">
        <v>2450000000</v>
      </c>
      <c r="BI37" s="1">
        <v>2460000000</v>
      </c>
      <c r="BJ37" s="1">
        <v>2450000000</v>
      </c>
      <c r="BK37" s="1">
        <v>2420000000</v>
      </c>
      <c r="BL37" s="1">
        <v>2420000000</v>
      </c>
      <c r="BM37" s="1">
        <v>2390000000</v>
      </c>
      <c r="BN37" s="1">
        <v>2380000000</v>
      </c>
      <c r="BO37" s="1">
        <v>2360000000</v>
      </c>
      <c r="BP37" s="1">
        <v>2360000000</v>
      </c>
      <c r="BQ37" s="1">
        <v>2130000000</v>
      </c>
      <c r="BR37" s="1">
        <v>2140000000</v>
      </c>
      <c r="BS37" s="1">
        <v>2140000000</v>
      </c>
      <c r="BT37" s="1">
        <v>2140000000</v>
      </c>
      <c r="BU37" s="1">
        <v>2140000000</v>
      </c>
    </row>
    <row r="38" spans="1:73" x14ac:dyDescent="0.2">
      <c r="A38" s="1" t="s">
        <v>5</v>
      </c>
      <c r="B38" s="1">
        <v>4876000000</v>
      </c>
      <c r="C38" s="1">
        <v>4888000000</v>
      </c>
      <c r="D38" s="1">
        <v>4889000000</v>
      </c>
      <c r="E38" s="1">
        <v>4860000000</v>
      </c>
      <c r="F38" s="1">
        <v>4826000000</v>
      </c>
      <c r="G38" s="1">
        <v>4836000000</v>
      </c>
      <c r="H38" s="1">
        <v>4828000000</v>
      </c>
      <c r="I38" s="1">
        <v>4663000000</v>
      </c>
      <c r="J38" s="1">
        <v>4800000000</v>
      </c>
      <c r="K38" s="1">
        <v>4670000000</v>
      </c>
      <c r="L38" s="1">
        <v>4270000000</v>
      </c>
      <c r="M38" s="1">
        <v>4270000000</v>
      </c>
      <c r="N38" s="1">
        <v>4270000000</v>
      </c>
      <c r="O38" s="1">
        <v>4290000000</v>
      </c>
      <c r="P38" s="1">
        <v>4290000000</v>
      </c>
      <c r="Q38" s="1">
        <v>4310777000</v>
      </c>
      <c r="R38" s="1">
        <v>4250626000</v>
      </c>
      <c r="S38" s="1">
        <v>4290000000</v>
      </c>
      <c r="T38" s="1">
        <v>4310777000</v>
      </c>
      <c r="U38" s="1">
        <v>4300752000</v>
      </c>
      <c r="V38" s="1">
        <v>4300752000</v>
      </c>
      <c r="W38" s="1">
        <v>4290727000</v>
      </c>
      <c r="X38" s="1">
        <v>4270677000</v>
      </c>
      <c r="Y38" s="1">
        <v>4220000000</v>
      </c>
      <c r="Z38" s="1">
        <v>4170000000</v>
      </c>
      <c r="AA38" s="1">
        <v>4200000000</v>
      </c>
      <c r="AB38" s="1">
        <v>4160000000</v>
      </c>
      <c r="AC38" s="1">
        <v>4180000000</v>
      </c>
      <c r="AD38" s="1">
        <v>4220000000</v>
      </c>
      <c r="AE38" s="1">
        <v>4190000000</v>
      </c>
      <c r="AF38" s="1">
        <v>4230000000</v>
      </c>
      <c r="AG38" s="1">
        <v>4410000000</v>
      </c>
      <c r="AH38" s="1">
        <v>4480000000</v>
      </c>
      <c r="AI38" s="1">
        <v>4260000000</v>
      </c>
      <c r="AJ38" s="1">
        <v>4240000000</v>
      </c>
      <c r="AK38" s="1">
        <v>4450000000</v>
      </c>
      <c r="AL38" s="1">
        <v>4420000000</v>
      </c>
      <c r="AM38" s="1">
        <v>4390000000</v>
      </c>
      <c r="AN38" s="1">
        <v>4210000000</v>
      </c>
      <c r="AO38" s="1">
        <v>4190000000</v>
      </c>
      <c r="AP38" s="1">
        <v>4150000000</v>
      </c>
      <c r="AQ38" s="1">
        <v>2890000000</v>
      </c>
      <c r="AR38" s="1">
        <v>2870000000</v>
      </c>
      <c r="AS38" s="1">
        <v>2870000000</v>
      </c>
      <c r="AT38" s="1">
        <v>2840000000</v>
      </c>
      <c r="AU38" s="1">
        <v>2780000000</v>
      </c>
      <c r="AV38" s="1">
        <v>2720000000</v>
      </c>
      <c r="AW38" s="1">
        <v>2520000000</v>
      </c>
      <c r="AX38" s="1">
        <v>2580000000</v>
      </c>
      <c r="AY38" s="1">
        <v>2550000000</v>
      </c>
      <c r="AZ38" s="1">
        <v>2530000000</v>
      </c>
      <c r="BA38" s="1">
        <v>2520000000</v>
      </c>
      <c r="BB38" s="1">
        <v>2510000000</v>
      </c>
      <c r="BC38" s="1">
        <v>2510000000</v>
      </c>
      <c r="BD38" s="1">
        <v>2510000000</v>
      </c>
      <c r="BE38" s="1">
        <v>2500000000</v>
      </c>
      <c r="BF38" s="1">
        <v>2500000000</v>
      </c>
      <c r="BG38" s="1">
        <v>2500000000</v>
      </c>
      <c r="BH38" s="1">
        <v>2500000000</v>
      </c>
      <c r="BI38" s="1">
        <v>2530000000</v>
      </c>
      <c r="BJ38" s="1">
        <v>2520000000</v>
      </c>
      <c r="BK38" s="1">
        <v>2500000000</v>
      </c>
      <c r="BL38" s="1">
        <v>2500000000</v>
      </c>
      <c r="BM38" s="1">
        <v>2470000000</v>
      </c>
      <c r="BN38" s="1">
        <v>2460000000</v>
      </c>
      <c r="BO38" s="1">
        <v>2440000000</v>
      </c>
      <c r="BP38" s="1">
        <v>2440000000</v>
      </c>
      <c r="BQ38" s="1">
        <v>2180000000</v>
      </c>
      <c r="BR38" s="1">
        <v>2140000000</v>
      </c>
      <c r="BS38" s="1">
        <v>2190000000</v>
      </c>
      <c r="BT38" s="1">
        <v>2190000000</v>
      </c>
      <c r="BU38" s="1">
        <v>2190000000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8EC3-BB5E-E64B-A3FD-EA591165520D}">
  <dimension ref="A1:BS52"/>
  <sheetViews>
    <sheetView workbookViewId="0"/>
  </sheetViews>
  <sheetFormatPr baseColWidth="10" defaultRowHeight="16" x14ac:dyDescent="0.2"/>
  <cols>
    <col min="1" max="1" width="40.83203125" bestFit="1" customWidth="1"/>
    <col min="2" max="11" width="18" bestFit="1" customWidth="1"/>
    <col min="12" max="44" width="17" bestFit="1" customWidth="1"/>
    <col min="45" max="45" width="15.83203125" bestFit="1" customWidth="1"/>
    <col min="46" max="49" width="17" bestFit="1" customWidth="1"/>
    <col min="50" max="51" width="16.6640625" bestFit="1" customWidth="1"/>
    <col min="52" max="53" width="15.83203125" bestFit="1" customWidth="1"/>
    <col min="54" max="56" width="16.6640625" bestFit="1" customWidth="1"/>
    <col min="57" max="71" width="15.83203125" bestFit="1" customWidth="1"/>
  </cols>
  <sheetData>
    <row r="1" spans="1:71" x14ac:dyDescent="0.2">
      <c r="A1" s="9" t="s">
        <v>35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</row>
    <row r="2" spans="1:71" x14ac:dyDescent="0.2">
      <c r="A2" t="s">
        <v>1</v>
      </c>
      <c r="B2" t="s">
        <v>2</v>
      </c>
    </row>
    <row r="3" spans="1:71" x14ac:dyDescent="0.2">
      <c r="A3" t="s">
        <v>3</v>
      </c>
      <c r="B3" t="str">
        <f>'AVGO - Income Statement Q'!B3</f>
        <v>USD</v>
      </c>
    </row>
    <row r="4" spans="1:71" x14ac:dyDescent="0.2">
      <c r="A4" t="s">
        <v>32</v>
      </c>
      <c r="B4" t="s">
        <v>195</v>
      </c>
      <c r="C4" t="s">
        <v>196</v>
      </c>
      <c r="D4" t="s">
        <v>197</v>
      </c>
      <c r="E4" t="s">
        <v>198</v>
      </c>
      <c r="F4" t="s">
        <v>195</v>
      </c>
      <c r="G4" t="s">
        <v>196</v>
      </c>
      <c r="H4" t="s">
        <v>197</v>
      </c>
      <c r="I4" t="s">
        <v>198</v>
      </c>
      <c r="J4" t="s">
        <v>195</v>
      </c>
      <c r="K4" t="s">
        <v>196</v>
      </c>
      <c r="L4" t="s">
        <v>197</v>
      </c>
      <c r="M4" t="s">
        <v>198</v>
      </c>
      <c r="N4" t="s">
        <v>195</v>
      </c>
      <c r="O4" t="s">
        <v>196</v>
      </c>
      <c r="P4" t="s">
        <v>197</v>
      </c>
      <c r="Q4" t="s">
        <v>198</v>
      </c>
      <c r="R4" t="s">
        <v>195</v>
      </c>
      <c r="S4" t="s">
        <v>196</v>
      </c>
      <c r="T4" t="s">
        <v>197</v>
      </c>
      <c r="U4" t="s">
        <v>198</v>
      </c>
      <c r="V4" t="s">
        <v>195</v>
      </c>
      <c r="W4" t="s">
        <v>196</v>
      </c>
      <c r="X4" t="s">
        <v>197</v>
      </c>
      <c r="Y4" t="s">
        <v>198</v>
      </c>
      <c r="Z4" t="s">
        <v>195</v>
      </c>
      <c r="AA4" t="s">
        <v>196</v>
      </c>
      <c r="AB4" t="s">
        <v>197</v>
      </c>
      <c r="AC4" t="s">
        <v>198</v>
      </c>
      <c r="AD4" t="s">
        <v>195</v>
      </c>
      <c r="AE4" t="s">
        <v>196</v>
      </c>
      <c r="AF4" t="s">
        <v>197</v>
      </c>
      <c r="AG4" t="s">
        <v>198</v>
      </c>
      <c r="AH4" t="s">
        <v>195</v>
      </c>
      <c r="AI4" t="s">
        <v>196</v>
      </c>
      <c r="AJ4" t="s">
        <v>197</v>
      </c>
      <c r="AK4" t="s">
        <v>198</v>
      </c>
      <c r="AL4" t="s">
        <v>195</v>
      </c>
      <c r="AM4" t="s">
        <v>196</v>
      </c>
      <c r="AN4" t="s">
        <v>197</v>
      </c>
      <c r="AO4" t="s">
        <v>198</v>
      </c>
      <c r="AP4" t="s">
        <v>195</v>
      </c>
      <c r="AQ4" t="s">
        <v>196</v>
      </c>
      <c r="AR4" t="s">
        <v>197</v>
      </c>
      <c r="AS4" t="s">
        <v>198</v>
      </c>
      <c r="AT4" t="s">
        <v>195</v>
      </c>
      <c r="AU4" t="s">
        <v>196</v>
      </c>
      <c r="AV4" t="s">
        <v>197</v>
      </c>
      <c r="AW4" t="s">
        <v>198</v>
      </c>
      <c r="AX4" t="s">
        <v>195</v>
      </c>
      <c r="AY4" t="s">
        <v>196</v>
      </c>
      <c r="AZ4" t="s">
        <v>197</v>
      </c>
      <c r="BA4" t="s">
        <v>198</v>
      </c>
      <c r="BB4" t="s">
        <v>195</v>
      </c>
      <c r="BC4" t="s">
        <v>196</v>
      </c>
      <c r="BD4" t="s">
        <v>197</v>
      </c>
      <c r="BE4" t="s">
        <v>198</v>
      </c>
      <c r="BF4" t="s">
        <v>195</v>
      </c>
      <c r="BG4" t="s">
        <v>196</v>
      </c>
      <c r="BH4" t="s">
        <v>197</v>
      </c>
      <c r="BI4" t="s">
        <v>198</v>
      </c>
      <c r="BJ4" t="s">
        <v>195</v>
      </c>
      <c r="BK4" t="s">
        <v>196</v>
      </c>
      <c r="BL4" t="s">
        <v>197</v>
      </c>
      <c r="BM4" t="s">
        <v>198</v>
      </c>
      <c r="BN4" t="s">
        <v>195</v>
      </c>
      <c r="BO4" t="s">
        <v>196</v>
      </c>
      <c r="BP4" t="s">
        <v>197</v>
      </c>
      <c r="BQ4" t="s">
        <v>198</v>
      </c>
      <c r="BR4" t="s">
        <v>195</v>
      </c>
      <c r="BS4" t="s">
        <v>197</v>
      </c>
    </row>
    <row r="5" spans="1:71" x14ac:dyDescent="0.2">
      <c r="A5" t="s">
        <v>34</v>
      </c>
      <c r="B5" s="8">
        <v>46145</v>
      </c>
      <c r="C5" s="8">
        <v>46054</v>
      </c>
      <c r="D5" s="8">
        <v>45963</v>
      </c>
      <c r="E5" s="8">
        <v>45872</v>
      </c>
      <c r="F5" s="8">
        <v>45781</v>
      </c>
      <c r="G5" s="8">
        <v>45690</v>
      </c>
      <c r="H5" s="8">
        <v>45599</v>
      </c>
      <c r="I5" s="8">
        <v>45508</v>
      </c>
      <c r="J5" s="8">
        <v>45417</v>
      </c>
      <c r="K5" s="8">
        <v>45326</v>
      </c>
      <c r="L5" s="8">
        <v>45228</v>
      </c>
      <c r="M5" s="8">
        <v>45137</v>
      </c>
      <c r="N5" s="8">
        <v>45046</v>
      </c>
      <c r="O5" s="8">
        <v>44955</v>
      </c>
      <c r="P5" s="8">
        <v>44864</v>
      </c>
      <c r="Q5" s="8">
        <v>44773</v>
      </c>
      <c r="R5" s="8">
        <v>44682</v>
      </c>
      <c r="S5" s="8">
        <v>44591</v>
      </c>
      <c r="T5" s="8">
        <v>44500</v>
      </c>
      <c r="U5" s="8">
        <v>44409</v>
      </c>
      <c r="V5" s="8">
        <v>44318</v>
      </c>
      <c r="W5" s="8">
        <v>44227</v>
      </c>
      <c r="X5" s="8">
        <v>44136</v>
      </c>
      <c r="Y5" s="8">
        <v>44045</v>
      </c>
      <c r="Z5" s="8">
        <v>43954</v>
      </c>
      <c r="AA5" s="8">
        <v>43863</v>
      </c>
      <c r="AB5" s="8">
        <v>43772</v>
      </c>
      <c r="AC5" s="8">
        <v>43681</v>
      </c>
      <c r="AD5" s="8">
        <v>43590</v>
      </c>
      <c r="AE5" s="8">
        <v>43498</v>
      </c>
      <c r="AF5" s="8">
        <v>43408</v>
      </c>
      <c r="AG5" s="8">
        <v>43317</v>
      </c>
      <c r="AH5" s="8">
        <v>43226</v>
      </c>
      <c r="AI5" s="8">
        <v>43194</v>
      </c>
      <c r="AJ5" s="8">
        <v>43039</v>
      </c>
      <c r="AK5" s="8">
        <v>42947</v>
      </c>
      <c r="AL5" s="8">
        <v>42855</v>
      </c>
      <c r="AM5" s="8">
        <v>42766</v>
      </c>
      <c r="AN5" s="8">
        <v>42674</v>
      </c>
      <c r="AO5" s="8">
        <v>42582</v>
      </c>
      <c r="AP5" s="8">
        <v>42490</v>
      </c>
      <c r="AQ5" s="8">
        <v>42400</v>
      </c>
      <c r="AR5" s="8">
        <v>42308</v>
      </c>
      <c r="AS5" s="8">
        <v>42216</v>
      </c>
      <c r="AT5" s="8">
        <v>42124</v>
      </c>
      <c r="AU5" s="8">
        <v>42035</v>
      </c>
      <c r="AV5" s="8">
        <v>41943</v>
      </c>
      <c r="AW5" s="8">
        <v>41851</v>
      </c>
      <c r="AX5" s="8">
        <v>41759</v>
      </c>
      <c r="AY5" s="8">
        <v>41670</v>
      </c>
      <c r="AZ5" s="8">
        <v>41578</v>
      </c>
      <c r="BA5" s="8">
        <v>41486</v>
      </c>
      <c r="BB5" s="8">
        <v>41394</v>
      </c>
      <c r="BC5" s="8">
        <v>41305</v>
      </c>
      <c r="BD5" s="8">
        <v>41213</v>
      </c>
      <c r="BE5" s="8">
        <v>41121</v>
      </c>
      <c r="BF5" s="8">
        <v>41029</v>
      </c>
      <c r="BG5" s="8">
        <v>40939</v>
      </c>
      <c r="BH5" s="8">
        <v>40847</v>
      </c>
      <c r="BI5" s="8">
        <v>40755</v>
      </c>
      <c r="BJ5" s="8">
        <v>40663</v>
      </c>
      <c r="BK5" s="8">
        <v>40574</v>
      </c>
      <c r="BL5" s="8">
        <v>40482</v>
      </c>
      <c r="BM5" s="8">
        <v>40390</v>
      </c>
      <c r="BN5" s="8">
        <v>40298</v>
      </c>
      <c r="BO5" s="8">
        <v>40209</v>
      </c>
      <c r="BP5" s="8">
        <v>40117</v>
      </c>
      <c r="BQ5" s="8">
        <v>40025</v>
      </c>
      <c r="BR5" s="8">
        <v>39933</v>
      </c>
      <c r="BS5" s="8">
        <v>39752</v>
      </c>
    </row>
    <row r="7" spans="1:71" x14ac:dyDescent="0.2">
      <c r="A7" s="1" t="s">
        <v>74</v>
      </c>
      <c r="B7" s="1">
        <v>19628000000</v>
      </c>
      <c r="C7" s="1">
        <v>14174000000</v>
      </c>
      <c r="D7" s="1">
        <v>16178000000</v>
      </c>
      <c r="E7" s="1">
        <v>10718000000</v>
      </c>
      <c r="F7" s="1">
        <v>9472000000</v>
      </c>
      <c r="G7" s="1">
        <v>9307000000</v>
      </c>
      <c r="H7" s="1">
        <v>9348000000</v>
      </c>
      <c r="I7" s="1">
        <v>9952000000</v>
      </c>
      <c r="J7" s="1">
        <v>9809000000</v>
      </c>
      <c r="K7" s="1">
        <v>11864000000</v>
      </c>
      <c r="L7" s="1">
        <v>14189000000</v>
      </c>
      <c r="M7" s="1">
        <v>12055000000</v>
      </c>
      <c r="N7" s="1">
        <v>11553000000</v>
      </c>
      <c r="O7" s="1">
        <v>12647000000</v>
      </c>
      <c r="P7" s="1">
        <v>12416000000</v>
      </c>
      <c r="Q7" s="1">
        <v>9977000000</v>
      </c>
      <c r="R7" s="1">
        <v>9005000000</v>
      </c>
      <c r="S7" s="1">
        <v>10219000000</v>
      </c>
      <c r="T7" s="1">
        <v>12163000000</v>
      </c>
      <c r="U7" s="1">
        <v>11105000000</v>
      </c>
      <c r="V7" s="1">
        <v>9518000000</v>
      </c>
      <c r="W7" s="1">
        <v>9552000000</v>
      </c>
      <c r="X7" s="1">
        <v>7618000000</v>
      </c>
      <c r="Y7" s="1">
        <v>8857000000</v>
      </c>
      <c r="Z7" s="1">
        <v>9207000000</v>
      </c>
      <c r="AA7" s="1">
        <v>6444000000</v>
      </c>
      <c r="AB7" s="1">
        <v>5055000000</v>
      </c>
      <c r="AC7" s="1">
        <v>5462000000</v>
      </c>
      <c r="AD7" s="1">
        <v>5328000000</v>
      </c>
      <c r="AE7" s="1">
        <v>5093000000</v>
      </c>
      <c r="AF7" s="1">
        <v>4292000000</v>
      </c>
      <c r="AG7" s="1">
        <v>4136000000</v>
      </c>
      <c r="AH7" s="1">
        <v>8187000000</v>
      </c>
      <c r="AI7" s="1">
        <v>7076000000</v>
      </c>
      <c r="AJ7" s="1">
        <v>11204000000</v>
      </c>
      <c r="AK7" s="1">
        <v>5249000000</v>
      </c>
      <c r="AL7" s="1">
        <v>4254000000</v>
      </c>
      <c r="AM7" s="1">
        <v>3536000000</v>
      </c>
      <c r="AN7" s="1">
        <v>3097000000</v>
      </c>
      <c r="AO7" s="1">
        <v>1961000000</v>
      </c>
      <c r="AP7" s="1">
        <v>2041000000</v>
      </c>
      <c r="AQ7" s="1">
        <v>2169000000</v>
      </c>
      <c r="AR7" s="1">
        <v>1822000000</v>
      </c>
      <c r="AS7" s="1">
        <v>1354000000</v>
      </c>
      <c r="AT7" s="1">
        <v>2508000000</v>
      </c>
      <c r="AU7" s="1">
        <v>2569000000</v>
      </c>
      <c r="AV7" s="1">
        <v>1604000000</v>
      </c>
      <c r="AW7" s="1">
        <v>1277000000</v>
      </c>
      <c r="AX7" s="1">
        <v>1278000000</v>
      </c>
      <c r="AY7" s="1">
        <v>1112000000</v>
      </c>
      <c r="AZ7" s="1">
        <v>985000000</v>
      </c>
      <c r="BA7" s="1">
        <v>863000000</v>
      </c>
      <c r="BB7" s="1">
        <v>1219000000</v>
      </c>
      <c r="BC7" s="1">
        <v>1151000000</v>
      </c>
      <c r="BD7" s="1">
        <v>1084000000</v>
      </c>
      <c r="BE7" s="1">
        <v>973000000</v>
      </c>
      <c r="BF7" s="1">
        <v>954000000</v>
      </c>
      <c r="BG7" s="1">
        <v>819000000</v>
      </c>
      <c r="BH7" s="1">
        <v>829000000</v>
      </c>
      <c r="BI7" s="1">
        <v>704000000</v>
      </c>
      <c r="BJ7" s="1">
        <v>596000000</v>
      </c>
      <c r="BK7" s="1">
        <v>363000000</v>
      </c>
      <c r="BL7" s="1">
        <v>561000000</v>
      </c>
      <c r="BM7" s="1">
        <v>367000000</v>
      </c>
      <c r="BN7" s="1">
        <v>256000000</v>
      </c>
      <c r="BO7" s="1">
        <v>144000000</v>
      </c>
      <c r="BP7" s="1">
        <v>472000000</v>
      </c>
      <c r="BQ7" s="1">
        <v>254000000</v>
      </c>
      <c r="BR7" s="1">
        <v>241000000</v>
      </c>
      <c r="BS7" s="1">
        <v>213000000</v>
      </c>
    </row>
    <row r="8" spans="1:71" x14ac:dyDescent="0.2">
      <c r="A8" s="1" t="s">
        <v>73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200000000</v>
      </c>
      <c r="AL8" s="1">
        <v>200000000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24000000</v>
      </c>
      <c r="AW8" s="1">
        <v>0</v>
      </c>
      <c r="AX8" s="1">
        <v>0</v>
      </c>
      <c r="AY8" s="1">
        <v>14000000</v>
      </c>
      <c r="AZ8" s="1">
        <v>14000000</v>
      </c>
      <c r="BA8" s="1">
        <v>0</v>
      </c>
      <c r="BB8" s="1">
        <v>10000000</v>
      </c>
      <c r="BC8" s="1">
        <v>11000000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</row>
    <row r="9" spans="1:71" x14ac:dyDescent="0.2">
      <c r="A9" s="1" t="s">
        <v>72</v>
      </c>
      <c r="B9" s="1">
        <v>19628000000</v>
      </c>
      <c r="C9" s="1">
        <v>14174000000</v>
      </c>
      <c r="D9" s="1">
        <v>16178000000</v>
      </c>
      <c r="E9" s="1">
        <v>10718000000</v>
      </c>
      <c r="F9" s="1">
        <v>9472000000</v>
      </c>
      <c r="G9" s="1">
        <v>9307000000</v>
      </c>
      <c r="H9" s="1">
        <v>9348000000</v>
      </c>
      <c r="I9" s="1">
        <v>9952000000</v>
      </c>
      <c r="J9" s="1">
        <v>9809000000</v>
      </c>
      <c r="K9" s="1">
        <v>11864000000</v>
      </c>
      <c r="L9" s="1">
        <v>14189000000</v>
      </c>
      <c r="M9" s="1">
        <v>12055000000</v>
      </c>
      <c r="N9" s="1">
        <v>11553000000</v>
      </c>
      <c r="O9" s="1">
        <v>12647000000</v>
      </c>
      <c r="P9" s="1">
        <v>12416000000</v>
      </c>
      <c r="Q9" s="1">
        <v>9977000000</v>
      </c>
      <c r="R9" s="1">
        <v>9005000000</v>
      </c>
      <c r="S9" s="1">
        <v>10219000000</v>
      </c>
      <c r="T9" s="1">
        <v>12163000000</v>
      </c>
      <c r="U9" s="1">
        <v>11105000000</v>
      </c>
      <c r="V9" s="1">
        <v>9518000000</v>
      </c>
      <c r="W9" s="1">
        <v>9552000000</v>
      </c>
      <c r="X9" s="1">
        <v>7618000000</v>
      </c>
      <c r="Y9" s="1">
        <v>8857000000</v>
      </c>
      <c r="Z9" s="1">
        <v>9207000000</v>
      </c>
      <c r="AA9" s="1">
        <v>6444000000</v>
      </c>
      <c r="AB9" s="1">
        <v>5055000000</v>
      </c>
      <c r="AC9" s="1">
        <v>5462000000</v>
      </c>
      <c r="AD9" s="1">
        <v>5328000000</v>
      </c>
      <c r="AE9" s="1">
        <v>5093000000</v>
      </c>
      <c r="AF9" s="1">
        <v>4292000000</v>
      </c>
      <c r="AG9" s="1">
        <v>4136000000</v>
      </c>
      <c r="AH9" s="1">
        <v>8187000000</v>
      </c>
      <c r="AI9" s="1">
        <v>7076000000</v>
      </c>
      <c r="AJ9" s="1">
        <v>11204000000</v>
      </c>
      <c r="AK9" s="1">
        <v>5449000000</v>
      </c>
      <c r="AL9" s="1">
        <v>4454000000</v>
      </c>
      <c r="AM9" s="1">
        <v>3536000000</v>
      </c>
      <c r="AN9" s="1">
        <v>3097000000</v>
      </c>
      <c r="AO9" s="1">
        <v>1961000000</v>
      </c>
      <c r="AP9" s="1">
        <v>2041000000</v>
      </c>
      <c r="AQ9" s="1">
        <v>2169000000</v>
      </c>
      <c r="AR9" s="1">
        <v>1822000000</v>
      </c>
      <c r="AS9" s="1">
        <v>1354000000</v>
      </c>
      <c r="AT9" s="1">
        <v>2508000000</v>
      </c>
      <c r="AU9" s="1">
        <v>2569000000</v>
      </c>
      <c r="AV9" s="1">
        <v>1628000000</v>
      </c>
      <c r="AW9" s="1">
        <v>1277000000</v>
      </c>
      <c r="AX9" s="1">
        <v>1278000000</v>
      </c>
      <c r="AY9" s="1">
        <v>1126000000</v>
      </c>
      <c r="AZ9" s="1">
        <v>999000000</v>
      </c>
      <c r="BA9" s="1">
        <v>863000000</v>
      </c>
      <c r="BB9" s="1">
        <v>1229000000</v>
      </c>
      <c r="BC9" s="1">
        <v>1162000000</v>
      </c>
      <c r="BD9" s="1">
        <v>1084000000</v>
      </c>
      <c r="BE9" s="1">
        <v>973000000</v>
      </c>
      <c r="BF9" s="1">
        <v>954000000</v>
      </c>
      <c r="BG9" s="1">
        <v>819000000</v>
      </c>
      <c r="BH9" s="1">
        <v>829000000</v>
      </c>
      <c r="BI9" s="1">
        <v>704000000</v>
      </c>
      <c r="BJ9" s="1">
        <v>596000000</v>
      </c>
      <c r="BK9" s="1">
        <v>363000000</v>
      </c>
      <c r="BL9" s="1">
        <v>561000000</v>
      </c>
      <c r="BM9" s="1">
        <v>367000000</v>
      </c>
      <c r="BN9" s="1">
        <v>256000000</v>
      </c>
      <c r="BO9" s="1">
        <v>144000000</v>
      </c>
      <c r="BP9" s="1">
        <v>472000000</v>
      </c>
      <c r="BQ9" s="1">
        <v>254000000</v>
      </c>
      <c r="BR9" s="1">
        <v>241000000</v>
      </c>
      <c r="BS9" s="1">
        <v>213000000</v>
      </c>
    </row>
    <row r="10" spans="1:71" x14ac:dyDescent="0.2">
      <c r="A10" s="1" t="s">
        <v>71</v>
      </c>
      <c r="B10" s="1">
        <v>10830000000</v>
      </c>
      <c r="C10" s="1">
        <v>13996000000</v>
      </c>
      <c r="D10" s="1">
        <v>12150000000</v>
      </c>
      <c r="E10" s="1">
        <v>10651000000</v>
      </c>
      <c r="F10" s="1">
        <v>8797000000</v>
      </c>
      <c r="G10" s="1">
        <v>7677000000</v>
      </c>
      <c r="H10" s="1">
        <v>6332000000</v>
      </c>
      <c r="I10" s="1">
        <v>6222000000</v>
      </c>
      <c r="J10" s="1">
        <v>5500000000</v>
      </c>
      <c r="K10" s="1">
        <v>4969000000</v>
      </c>
      <c r="L10" s="1">
        <v>3653000000</v>
      </c>
      <c r="M10" s="1">
        <v>2914000000</v>
      </c>
      <c r="N10" s="1">
        <v>3031000000</v>
      </c>
      <c r="O10" s="1">
        <v>3234000000</v>
      </c>
      <c r="P10" s="1">
        <v>2958000000</v>
      </c>
      <c r="Q10" s="1">
        <v>2708000000</v>
      </c>
      <c r="R10" s="1">
        <v>3083000000</v>
      </c>
      <c r="S10" s="1">
        <v>2539000000</v>
      </c>
      <c r="T10" s="1">
        <v>2071000000</v>
      </c>
      <c r="U10" s="1">
        <v>2234000000</v>
      </c>
      <c r="V10" s="1">
        <v>2425000000</v>
      </c>
      <c r="W10" s="1">
        <v>2524000000</v>
      </c>
      <c r="X10" s="1">
        <v>2297000000</v>
      </c>
      <c r="Y10" s="1">
        <v>2684000000</v>
      </c>
      <c r="Z10" s="1">
        <v>3211000000</v>
      </c>
      <c r="AA10" s="1">
        <v>3651000000</v>
      </c>
      <c r="AB10" s="1">
        <v>3259000000</v>
      </c>
      <c r="AC10" s="1">
        <v>3539000000</v>
      </c>
      <c r="AD10" s="1">
        <v>3484000000</v>
      </c>
      <c r="AE10" s="1">
        <v>3677000000</v>
      </c>
      <c r="AF10" s="1">
        <v>3325000000</v>
      </c>
      <c r="AG10" s="1">
        <v>3083000000</v>
      </c>
      <c r="AH10" s="1">
        <v>2749000000</v>
      </c>
      <c r="AI10" s="1">
        <v>2459000000</v>
      </c>
      <c r="AJ10" s="1">
        <v>2448000000</v>
      </c>
      <c r="AK10" s="1">
        <v>2417000000</v>
      </c>
      <c r="AL10" s="1">
        <v>2073000000</v>
      </c>
      <c r="AM10" s="1">
        <v>1947000000</v>
      </c>
      <c r="AN10" s="1">
        <v>2181000000</v>
      </c>
      <c r="AO10" s="1">
        <v>2181000000</v>
      </c>
      <c r="AP10" s="1">
        <v>1857000000</v>
      </c>
      <c r="AQ10" s="1">
        <v>1060000000</v>
      </c>
      <c r="AR10" s="1">
        <v>1019000000</v>
      </c>
      <c r="AS10" s="1">
        <v>809000000</v>
      </c>
      <c r="AT10" s="1">
        <v>758000000</v>
      </c>
      <c r="AU10" s="1">
        <v>718000000</v>
      </c>
      <c r="AV10" s="1">
        <v>782000000</v>
      </c>
      <c r="AW10" s="1">
        <v>590000000</v>
      </c>
      <c r="AX10" s="1">
        <v>319000000</v>
      </c>
      <c r="AY10" s="1">
        <v>323000000</v>
      </c>
      <c r="AZ10" s="1">
        <v>418000000</v>
      </c>
      <c r="BA10" s="1">
        <v>365000000</v>
      </c>
      <c r="BB10" s="1">
        <v>271000000</v>
      </c>
      <c r="BC10" s="1">
        <v>266000000</v>
      </c>
      <c r="BD10" s="1">
        <v>359000000</v>
      </c>
      <c r="BE10" s="1">
        <v>330000000</v>
      </c>
      <c r="BF10" s="1">
        <v>274000000</v>
      </c>
      <c r="BG10" s="1">
        <v>308000000</v>
      </c>
      <c r="BH10" s="1">
        <v>328000000</v>
      </c>
      <c r="BI10" s="1">
        <v>285000000</v>
      </c>
      <c r="BJ10" s="1">
        <v>289000000</v>
      </c>
      <c r="BK10" s="1">
        <v>291000000</v>
      </c>
      <c r="BL10" s="1">
        <v>285000000</v>
      </c>
      <c r="BM10" s="1">
        <v>279000000</v>
      </c>
      <c r="BN10" s="1">
        <v>249000000</v>
      </c>
      <c r="BO10" s="1">
        <v>203000000</v>
      </c>
      <c r="BP10" s="1">
        <v>186000000</v>
      </c>
      <c r="BQ10" s="1">
        <v>178000000</v>
      </c>
      <c r="BR10" s="1">
        <v>185000000</v>
      </c>
      <c r="BS10" s="1">
        <v>184000000</v>
      </c>
    </row>
    <row r="11" spans="1:71" x14ac:dyDescent="0.2">
      <c r="A11" s="1" t="s">
        <v>70</v>
      </c>
      <c r="B11" s="1">
        <v>4328000000</v>
      </c>
      <c r="C11" s="1">
        <v>2962000000</v>
      </c>
      <c r="D11" s="1">
        <v>2270000000</v>
      </c>
      <c r="E11" s="1">
        <v>2180000000</v>
      </c>
      <c r="F11" s="1">
        <v>2017000000</v>
      </c>
      <c r="G11" s="1">
        <v>1908000000</v>
      </c>
      <c r="H11" s="1">
        <v>1760000000</v>
      </c>
      <c r="I11" s="1">
        <v>1894000000</v>
      </c>
      <c r="J11" s="1">
        <v>1842000000</v>
      </c>
      <c r="K11" s="1">
        <v>1920000000</v>
      </c>
      <c r="L11" s="1">
        <v>1898000000</v>
      </c>
      <c r="M11" s="1">
        <v>1842000000</v>
      </c>
      <c r="N11" s="1">
        <v>1886000000</v>
      </c>
      <c r="O11" s="1">
        <v>1899000000</v>
      </c>
      <c r="P11" s="1">
        <v>1925000000</v>
      </c>
      <c r="Q11" s="1">
        <v>1838000000</v>
      </c>
      <c r="R11" s="1">
        <v>1668000000</v>
      </c>
      <c r="S11" s="1">
        <v>1520000000</v>
      </c>
      <c r="T11" s="1">
        <v>1297000000</v>
      </c>
      <c r="U11" s="1">
        <v>1160000000</v>
      </c>
      <c r="V11" s="1">
        <v>1004000000</v>
      </c>
      <c r="W11" s="1">
        <v>952000000</v>
      </c>
      <c r="X11" s="1">
        <v>1003000000</v>
      </c>
      <c r="Y11" s="1">
        <v>1081000000</v>
      </c>
      <c r="Z11" s="1">
        <v>953000000</v>
      </c>
      <c r="AA11" s="1">
        <v>944000000</v>
      </c>
      <c r="AB11" s="1">
        <v>874000000</v>
      </c>
      <c r="AC11" s="1">
        <v>1091000000</v>
      </c>
      <c r="AD11" s="1">
        <v>1034000000</v>
      </c>
      <c r="AE11" s="1">
        <v>1074000000</v>
      </c>
      <c r="AF11" s="1">
        <v>1124000000</v>
      </c>
      <c r="AG11" s="1">
        <v>1216000000</v>
      </c>
      <c r="AH11" s="1">
        <v>1235000000</v>
      </c>
      <c r="AI11" s="1">
        <v>1291000000</v>
      </c>
      <c r="AJ11" s="1">
        <v>1447000000</v>
      </c>
      <c r="AK11" s="1">
        <v>1431000000</v>
      </c>
      <c r="AL11" s="1">
        <v>1311000000</v>
      </c>
      <c r="AM11" s="1">
        <v>1336000000</v>
      </c>
      <c r="AN11" s="1">
        <v>1400000000</v>
      </c>
      <c r="AO11" s="1">
        <v>1306000000</v>
      </c>
      <c r="AP11" s="1">
        <v>1467000000</v>
      </c>
      <c r="AQ11" s="1">
        <v>490000000</v>
      </c>
      <c r="AR11" s="1">
        <v>524000000</v>
      </c>
      <c r="AS11" s="1">
        <v>507000000</v>
      </c>
      <c r="AT11" s="1">
        <v>490000000</v>
      </c>
      <c r="AU11" s="1">
        <v>500000000</v>
      </c>
      <c r="AV11" s="1">
        <v>519000000</v>
      </c>
      <c r="AW11" s="1">
        <v>482000000</v>
      </c>
      <c r="AX11" s="1">
        <v>301000000</v>
      </c>
      <c r="AY11" s="1">
        <v>286000000</v>
      </c>
      <c r="AZ11" s="1">
        <v>285000000</v>
      </c>
      <c r="BA11" s="1">
        <v>284000000</v>
      </c>
      <c r="BB11" s="1">
        <v>229000000</v>
      </c>
      <c r="BC11" s="1">
        <v>208000000</v>
      </c>
      <c r="BD11" s="1">
        <v>194000000</v>
      </c>
      <c r="BE11" s="1">
        <v>216000000</v>
      </c>
      <c r="BF11" s="1">
        <v>218000000</v>
      </c>
      <c r="BG11" s="1">
        <v>193000000</v>
      </c>
      <c r="BH11" s="1">
        <v>194000000</v>
      </c>
      <c r="BI11" s="1">
        <v>200000000</v>
      </c>
      <c r="BJ11" s="1">
        <v>194000000</v>
      </c>
      <c r="BK11" s="1">
        <v>203000000</v>
      </c>
      <c r="BL11" s="1">
        <v>189000000</v>
      </c>
      <c r="BM11" s="1">
        <v>185000000</v>
      </c>
      <c r="BN11" s="1">
        <v>178000000</v>
      </c>
      <c r="BO11" s="1">
        <v>166000000</v>
      </c>
      <c r="BP11" s="1">
        <v>162000000</v>
      </c>
      <c r="BQ11" s="1">
        <v>153000000</v>
      </c>
      <c r="BR11" s="1">
        <v>151000000</v>
      </c>
      <c r="BS11" s="1">
        <v>188000000</v>
      </c>
    </row>
    <row r="12" spans="1:71" x14ac:dyDescent="0.2">
      <c r="A12" s="1" t="s">
        <v>69</v>
      </c>
      <c r="B12" s="1">
        <v>7427000000</v>
      </c>
      <c r="C12" s="1">
        <v>930000000</v>
      </c>
      <c r="D12" s="1">
        <v>975000000</v>
      </c>
      <c r="E12" s="1">
        <v>1449000000</v>
      </c>
      <c r="F12" s="1">
        <v>1895000000</v>
      </c>
      <c r="G12" s="1">
        <v>2098000000</v>
      </c>
      <c r="H12" s="1">
        <v>2155000000</v>
      </c>
      <c r="I12" s="1">
        <v>1879000000</v>
      </c>
      <c r="J12" s="1">
        <v>8151000000</v>
      </c>
      <c r="K12" s="1">
        <v>8439000000</v>
      </c>
      <c r="L12" s="1">
        <v>1107000000</v>
      </c>
      <c r="M12" s="1">
        <v>1522000000</v>
      </c>
      <c r="N12" s="1">
        <v>1401000000</v>
      </c>
      <c r="O12" s="1">
        <v>1056000000</v>
      </c>
      <c r="P12" s="1">
        <v>1205000000</v>
      </c>
      <c r="Q12" s="1">
        <v>1038000000</v>
      </c>
      <c r="R12" s="1">
        <v>1054000000</v>
      </c>
      <c r="S12" s="1">
        <v>1063000000</v>
      </c>
      <c r="T12" s="1">
        <v>1055000000</v>
      </c>
      <c r="U12" s="1">
        <v>1137000000</v>
      </c>
      <c r="V12" s="1">
        <v>1298000000</v>
      </c>
      <c r="W12" s="1">
        <v>1272000000</v>
      </c>
      <c r="X12" s="1">
        <v>977000000</v>
      </c>
      <c r="Y12" s="1">
        <v>1059000000</v>
      </c>
      <c r="Z12" s="1">
        <v>851000000</v>
      </c>
      <c r="AA12" s="1">
        <v>1070000000</v>
      </c>
      <c r="AB12" s="1">
        <v>729000000</v>
      </c>
      <c r="AC12" s="1">
        <v>806000000</v>
      </c>
      <c r="AD12" s="1">
        <v>831000000</v>
      </c>
      <c r="AE12" s="1">
        <v>760000000</v>
      </c>
      <c r="AF12" s="1">
        <v>366000000</v>
      </c>
      <c r="AG12" s="1">
        <v>260000000</v>
      </c>
      <c r="AH12" s="1">
        <v>303000000</v>
      </c>
      <c r="AI12" s="1">
        <v>394000000</v>
      </c>
      <c r="AJ12" s="1">
        <v>724000000</v>
      </c>
      <c r="AK12" s="1">
        <v>646000000</v>
      </c>
      <c r="AL12" s="1">
        <v>630000000</v>
      </c>
      <c r="AM12" s="1">
        <v>531000000</v>
      </c>
      <c r="AN12" s="1">
        <v>447000000</v>
      </c>
      <c r="AO12" s="1">
        <v>600000000</v>
      </c>
      <c r="AP12" s="1">
        <v>1322000000</v>
      </c>
      <c r="AQ12" s="1">
        <v>252000000</v>
      </c>
      <c r="AR12" s="1">
        <v>410000000</v>
      </c>
      <c r="AS12" s="1">
        <v>499000000</v>
      </c>
      <c r="AT12" s="1">
        <v>320000000</v>
      </c>
      <c r="AU12" s="1">
        <v>311000000</v>
      </c>
      <c r="AV12" s="1">
        <v>895000000</v>
      </c>
      <c r="AW12" s="1">
        <v>1491000000</v>
      </c>
      <c r="AX12" s="1">
        <v>136000000</v>
      </c>
      <c r="AY12" s="1">
        <v>124000000</v>
      </c>
      <c r="AZ12" s="1">
        <v>116000000</v>
      </c>
      <c r="BA12" s="1">
        <v>129000000</v>
      </c>
      <c r="BB12" s="1">
        <v>89000000</v>
      </c>
      <c r="BC12" s="1">
        <v>77000000</v>
      </c>
      <c r="BD12" s="1">
        <v>54000000</v>
      </c>
      <c r="BE12" s="1">
        <v>62000000</v>
      </c>
      <c r="BF12" s="1">
        <v>62000000</v>
      </c>
      <c r="BG12" s="1">
        <v>52000000</v>
      </c>
      <c r="BH12" s="1">
        <v>42000000</v>
      </c>
      <c r="BI12" s="1">
        <v>40000000</v>
      </c>
      <c r="BJ12" s="1">
        <v>49000000</v>
      </c>
      <c r="BK12" s="1">
        <v>53000000</v>
      </c>
      <c r="BL12" s="1">
        <v>52000000</v>
      </c>
      <c r="BM12" s="1">
        <v>42000000</v>
      </c>
      <c r="BN12" s="1">
        <v>44000000</v>
      </c>
      <c r="BO12" s="1">
        <v>44000000</v>
      </c>
      <c r="BP12" s="1">
        <v>44000000</v>
      </c>
      <c r="BQ12" s="1">
        <v>31000000</v>
      </c>
      <c r="BR12" s="1">
        <v>38000000</v>
      </c>
      <c r="BS12" s="1">
        <v>34000000</v>
      </c>
    </row>
    <row r="13" spans="1:71" x14ac:dyDescent="0.2">
      <c r="A13" s="6" t="s">
        <v>68</v>
      </c>
      <c r="B13" s="4">
        <v>42213000000</v>
      </c>
      <c r="C13" s="4">
        <v>32062000000</v>
      </c>
      <c r="D13" s="4">
        <v>31573000000</v>
      </c>
      <c r="E13" s="4">
        <v>24998000000</v>
      </c>
      <c r="F13" s="4">
        <v>22181000000</v>
      </c>
      <c r="G13" s="4">
        <v>20990000000</v>
      </c>
      <c r="H13" s="4">
        <v>19595000000</v>
      </c>
      <c r="I13" s="4">
        <v>19947000000</v>
      </c>
      <c r="J13" s="4">
        <v>25302000000</v>
      </c>
      <c r="K13" s="4">
        <v>27192000000</v>
      </c>
      <c r="L13" s="4">
        <v>20847000000</v>
      </c>
      <c r="M13" s="4">
        <v>18333000000</v>
      </c>
      <c r="N13" s="4">
        <v>17871000000</v>
      </c>
      <c r="O13" s="4">
        <v>18836000000</v>
      </c>
      <c r="P13" s="4">
        <v>18504000000</v>
      </c>
      <c r="Q13" s="4">
        <v>15561000000</v>
      </c>
      <c r="R13" s="4">
        <v>14810000000</v>
      </c>
      <c r="S13" s="4">
        <v>15341000000</v>
      </c>
      <c r="T13" s="4">
        <v>16586000000</v>
      </c>
      <c r="U13" s="4">
        <v>15636000000</v>
      </c>
      <c r="V13" s="4">
        <v>14245000000</v>
      </c>
      <c r="W13" s="4">
        <v>14300000000</v>
      </c>
      <c r="X13" s="4">
        <v>11895000000</v>
      </c>
      <c r="Y13" s="4">
        <v>13681000000</v>
      </c>
      <c r="Z13" s="4">
        <v>14222000000</v>
      </c>
      <c r="AA13" s="4">
        <v>12109000000</v>
      </c>
      <c r="AB13" s="4">
        <v>9917000000</v>
      </c>
      <c r="AC13" s="4">
        <v>10898000000</v>
      </c>
      <c r="AD13" s="4">
        <v>10677000000</v>
      </c>
      <c r="AE13" s="4">
        <v>10604000000</v>
      </c>
      <c r="AF13" s="4">
        <v>9107000000</v>
      </c>
      <c r="AG13" s="4">
        <v>8695000000</v>
      </c>
      <c r="AH13" s="4">
        <v>12474000000</v>
      </c>
      <c r="AI13" s="4">
        <v>11220000000</v>
      </c>
      <c r="AJ13" s="4">
        <v>15823000000</v>
      </c>
      <c r="AK13" s="4">
        <v>9943000000</v>
      </c>
      <c r="AL13" s="4">
        <v>8468000000</v>
      </c>
      <c r="AM13" s="4">
        <v>7350000000</v>
      </c>
      <c r="AN13" s="4">
        <v>7125000000</v>
      </c>
      <c r="AO13" s="4">
        <v>6048000000</v>
      </c>
      <c r="AP13" s="4">
        <v>6687000000</v>
      </c>
      <c r="AQ13" s="4">
        <v>3971000000</v>
      </c>
      <c r="AR13" s="4">
        <v>3775000000</v>
      </c>
      <c r="AS13" s="4">
        <v>3169000000</v>
      </c>
      <c r="AT13" s="4">
        <v>4076000000</v>
      </c>
      <c r="AU13" s="4">
        <v>4098000000</v>
      </c>
      <c r="AV13" s="4">
        <v>3824000000</v>
      </c>
      <c r="AW13" s="4">
        <v>3840000000</v>
      </c>
      <c r="AX13" s="4">
        <v>2034000000</v>
      </c>
      <c r="AY13" s="4">
        <v>1859000000</v>
      </c>
      <c r="AZ13" s="4">
        <v>1818000000</v>
      </c>
      <c r="BA13" s="4">
        <v>1641000000</v>
      </c>
      <c r="BB13" s="4">
        <v>1818000000</v>
      </c>
      <c r="BC13" s="4">
        <v>1713000000</v>
      </c>
      <c r="BD13" s="4">
        <v>1691000000</v>
      </c>
      <c r="BE13" s="4">
        <v>1581000000</v>
      </c>
      <c r="BF13" s="4">
        <v>1508000000</v>
      </c>
      <c r="BG13" s="4">
        <v>1372000000</v>
      </c>
      <c r="BH13" s="4">
        <v>1393000000</v>
      </c>
      <c r="BI13" s="4">
        <v>1229000000</v>
      </c>
      <c r="BJ13" s="4">
        <v>1128000000</v>
      </c>
      <c r="BK13" s="4">
        <v>910000000</v>
      </c>
      <c r="BL13" s="4">
        <v>1087000000</v>
      </c>
      <c r="BM13" s="4">
        <v>873000000</v>
      </c>
      <c r="BN13" s="4">
        <v>727000000</v>
      </c>
      <c r="BO13" s="4">
        <v>557000000</v>
      </c>
      <c r="BP13" s="4">
        <v>864000000</v>
      </c>
      <c r="BQ13" s="4">
        <v>616000000</v>
      </c>
      <c r="BR13" s="4">
        <v>615000000</v>
      </c>
      <c r="BS13" s="4">
        <v>619000000</v>
      </c>
    </row>
    <row r="15" spans="1:71" x14ac:dyDescent="0.2">
      <c r="A15" s="1" t="s">
        <v>67</v>
      </c>
      <c r="B15" s="1">
        <v>2788000000</v>
      </c>
      <c r="C15" s="1">
        <v>2599000000</v>
      </c>
      <c r="D15" s="1">
        <v>2530000000</v>
      </c>
      <c r="E15" s="1">
        <v>2451000000</v>
      </c>
      <c r="F15" s="1">
        <v>2462000000</v>
      </c>
      <c r="G15" s="1">
        <v>2465000000</v>
      </c>
      <c r="H15" s="1">
        <v>2521000000</v>
      </c>
      <c r="I15" s="1">
        <v>2602000000</v>
      </c>
      <c r="J15" s="1">
        <v>2668000000</v>
      </c>
      <c r="K15" s="1">
        <v>2662000000</v>
      </c>
      <c r="L15" s="1">
        <v>2154000000</v>
      </c>
      <c r="M15" s="1">
        <v>2180000000</v>
      </c>
      <c r="N15" s="1">
        <v>2209000000</v>
      </c>
      <c r="O15" s="1">
        <v>2201000000</v>
      </c>
      <c r="P15" s="1">
        <v>2223000000</v>
      </c>
      <c r="Q15" s="1">
        <v>2250000000</v>
      </c>
      <c r="R15" s="1">
        <v>2262000000</v>
      </c>
      <c r="S15" s="1">
        <v>2303000000</v>
      </c>
      <c r="T15" s="1">
        <v>2348000000</v>
      </c>
      <c r="U15" s="1">
        <v>2370000000</v>
      </c>
      <c r="V15" s="1">
        <v>2416000000</v>
      </c>
      <c r="W15" s="1">
        <v>2496000000</v>
      </c>
      <c r="X15" s="1">
        <v>2509000000</v>
      </c>
      <c r="Y15" s="1">
        <v>2567000000</v>
      </c>
      <c r="Z15" s="1">
        <v>2618000000</v>
      </c>
      <c r="AA15" s="1">
        <v>2616000000</v>
      </c>
      <c r="AB15" s="1">
        <v>2565000000</v>
      </c>
      <c r="AC15" s="1">
        <v>2611000000</v>
      </c>
      <c r="AD15" s="1">
        <v>2654000000</v>
      </c>
      <c r="AE15" s="1">
        <v>2684000000</v>
      </c>
      <c r="AF15" s="1">
        <v>2635000000</v>
      </c>
      <c r="AG15" s="1">
        <v>2695000000</v>
      </c>
      <c r="AH15" s="1">
        <v>2720000000</v>
      </c>
      <c r="AI15" s="1">
        <v>2747000000</v>
      </c>
      <c r="AJ15" s="1">
        <v>2599000000</v>
      </c>
      <c r="AK15" s="1">
        <v>2909000000</v>
      </c>
      <c r="AL15" s="1">
        <v>2762000000</v>
      </c>
      <c r="AM15" s="1">
        <v>2646000000</v>
      </c>
      <c r="AN15" s="1">
        <v>2509000000</v>
      </c>
      <c r="AO15" s="1">
        <v>2573000000</v>
      </c>
      <c r="AP15" s="1">
        <v>2486000000</v>
      </c>
      <c r="AQ15" s="1">
        <v>1505000000</v>
      </c>
      <c r="AR15" s="1">
        <v>1460000000</v>
      </c>
      <c r="AS15" s="1">
        <v>1392000000</v>
      </c>
      <c r="AT15" s="1">
        <v>1344000000</v>
      </c>
      <c r="AU15" s="1">
        <v>1269000000</v>
      </c>
      <c r="AV15" s="1">
        <v>1158000000</v>
      </c>
      <c r="AW15" s="1">
        <v>1016000000</v>
      </c>
      <c r="AX15" s="1">
        <v>731000000</v>
      </c>
      <c r="AY15" s="1">
        <v>684000000</v>
      </c>
      <c r="AZ15" s="1">
        <v>661000000</v>
      </c>
      <c r="BA15" s="1">
        <v>620000000</v>
      </c>
      <c r="BB15" s="1">
        <v>561000000</v>
      </c>
      <c r="BC15" s="1">
        <v>529000000</v>
      </c>
      <c r="BD15" s="1">
        <v>487000000</v>
      </c>
      <c r="BE15" s="1">
        <v>453000000</v>
      </c>
      <c r="BF15" s="1">
        <v>402000000</v>
      </c>
      <c r="BG15" s="1">
        <v>354000000</v>
      </c>
      <c r="BH15" s="1">
        <v>316000000</v>
      </c>
      <c r="BI15" s="1">
        <v>296000000</v>
      </c>
      <c r="BJ15" s="1">
        <v>285000000</v>
      </c>
      <c r="BK15" s="1">
        <v>281000000</v>
      </c>
      <c r="BL15" s="1">
        <v>281000000</v>
      </c>
      <c r="BM15" s="1">
        <v>266000000</v>
      </c>
      <c r="BN15" s="1">
        <v>261000000</v>
      </c>
      <c r="BO15" s="1">
        <v>254000000</v>
      </c>
      <c r="BP15" s="1">
        <v>264000000</v>
      </c>
      <c r="BQ15" s="1">
        <v>273000000</v>
      </c>
      <c r="BR15" s="1">
        <v>276000000</v>
      </c>
      <c r="BS15" s="1">
        <v>299000000</v>
      </c>
    </row>
    <row r="16" spans="1:71" x14ac:dyDescent="0.2">
      <c r="A16" s="1" t="s">
        <v>66</v>
      </c>
      <c r="B16" s="1">
        <v>97801000000</v>
      </c>
      <c r="C16" s="1">
        <v>97801000000</v>
      </c>
      <c r="D16" s="1">
        <v>97801000000</v>
      </c>
      <c r="E16" s="1">
        <v>97801000000</v>
      </c>
      <c r="F16" s="1">
        <v>97801000000</v>
      </c>
      <c r="G16" s="1">
        <v>97871000000</v>
      </c>
      <c r="H16" s="1">
        <v>97873000000</v>
      </c>
      <c r="I16" s="1">
        <v>97873000000</v>
      </c>
      <c r="J16" s="1">
        <v>97873000000</v>
      </c>
      <c r="K16" s="1">
        <v>97586000000</v>
      </c>
      <c r="L16" s="1">
        <v>43653000000</v>
      </c>
      <c r="M16" s="1">
        <v>43619000000</v>
      </c>
      <c r="N16" s="1">
        <v>43614000000</v>
      </c>
      <c r="O16" s="1">
        <v>43614000000</v>
      </c>
      <c r="P16" s="1">
        <v>43614000000</v>
      </c>
      <c r="Q16" s="1">
        <v>43608000000</v>
      </c>
      <c r="R16" s="1">
        <v>43603000000</v>
      </c>
      <c r="S16" s="1">
        <v>43450000000</v>
      </c>
      <c r="T16" s="1">
        <v>43450000000</v>
      </c>
      <c r="U16" s="1">
        <v>43457000000</v>
      </c>
      <c r="V16" s="1">
        <v>43457000000</v>
      </c>
      <c r="W16" s="1">
        <v>43457000000</v>
      </c>
      <c r="X16" s="1">
        <v>43447000000</v>
      </c>
      <c r="Y16" s="1">
        <v>43447000000</v>
      </c>
      <c r="Z16" s="1">
        <v>43457000000</v>
      </c>
      <c r="AA16" s="1">
        <v>43472000000</v>
      </c>
      <c r="AB16" s="1">
        <v>36714000000</v>
      </c>
      <c r="AC16" s="1">
        <v>36686000000</v>
      </c>
      <c r="AD16" s="1">
        <v>36662000000</v>
      </c>
      <c r="AE16" s="1">
        <v>36647000000</v>
      </c>
      <c r="AF16" s="1">
        <v>26913000000</v>
      </c>
      <c r="AG16" s="1">
        <v>26920000000</v>
      </c>
      <c r="AH16" s="1">
        <v>26908000000</v>
      </c>
      <c r="AI16" s="1">
        <v>26899000000</v>
      </c>
      <c r="AJ16" s="1">
        <v>24706000000</v>
      </c>
      <c r="AK16" s="1">
        <v>24706000000</v>
      </c>
      <c r="AL16" s="1">
        <v>24706000000</v>
      </c>
      <c r="AM16" s="1">
        <v>24700000000</v>
      </c>
      <c r="AN16" s="1">
        <v>24732000000</v>
      </c>
      <c r="AO16" s="1">
        <v>24784000000</v>
      </c>
      <c r="AP16" s="1">
        <v>24776000000</v>
      </c>
      <c r="AQ16" s="1">
        <v>1685000000</v>
      </c>
      <c r="AR16" s="1">
        <v>1674000000</v>
      </c>
      <c r="AS16" s="1">
        <v>1729000000</v>
      </c>
      <c r="AT16" s="1">
        <v>1596000000</v>
      </c>
      <c r="AU16" s="1">
        <v>1596000000</v>
      </c>
      <c r="AV16" s="1">
        <v>1596000000</v>
      </c>
      <c r="AW16" s="1">
        <v>1458000000</v>
      </c>
      <c r="AX16" s="1">
        <v>392000000</v>
      </c>
      <c r="AY16" s="1">
        <v>392000000</v>
      </c>
      <c r="AZ16" s="1">
        <v>391000000</v>
      </c>
      <c r="BA16" s="1">
        <v>388000000</v>
      </c>
      <c r="BB16" s="1">
        <v>201000000</v>
      </c>
      <c r="BC16" s="1">
        <v>180000000</v>
      </c>
      <c r="BD16" s="1">
        <v>180000000</v>
      </c>
      <c r="BE16" s="1">
        <v>180000000</v>
      </c>
      <c r="BF16" s="1">
        <v>177000000</v>
      </c>
      <c r="BG16" s="1">
        <v>177000000</v>
      </c>
      <c r="BH16" s="1">
        <v>177000000</v>
      </c>
      <c r="BI16" s="1">
        <v>177000000</v>
      </c>
      <c r="BJ16" s="1">
        <v>177000000</v>
      </c>
      <c r="BK16" s="1">
        <v>175000000</v>
      </c>
      <c r="BL16" s="1">
        <v>172000000</v>
      </c>
      <c r="BM16" s="1">
        <v>173000000</v>
      </c>
      <c r="BN16" s="1">
        <v>171000000</v>
      </c>
      <c r="BO16" s="1">
        <v>171000000</v>
      </c>
      <c r="BP16" s="1">
        <v>171000000</v>
      </c>
      <c r="BQ16" s="1">
        <v>171000000</v>
      </c>
      <c r="BR16" s="1">
        <v>171000000</v>
      </c>
      <c r="BS16" s="1">
        <v>169000000</v>
      </c>
    </row>
    <row r="17" spans="1:71" x14ac:dyDescent="0.2">
      <c r="A17" s="1" t="s">
        <v>65</v>
      </c>
      <c r="B17" s="1">
        <v>28333000000</v>
      </c>
      <c r="C17" s="1">
        <v>30302000000</v>
      </c>
      <c r="D17" s="1">
        <v>32273000000</v>
      </c>
      <c r="E17" s="1">
        <v>34344000000</v>
      </c>
      <c r="F17" s="1">
        <v>36393000000</v>
      </c>
      <c r="G17" s="1">
        <v>38583000000</v>
      </c>
      <c r="H17" s="1">
        <v>40583000000</v>
      </c>
      <c r="I17" s="1">
        <v>43034000000</v>
      </c>
      <c r="J17" s="1">
        <v>45407000000</v>
      </c>
      <c r="K17" s="1">
        <v>47185000000</v>
      </c>
      <c r="L17" s="1">
        <v>3867000000</v>
      </c>
      <c r="M17" s="1">
        <v>4654000000</v>
      </c>
      <c r="N17" s="1">
        <v>5434000000</v>
      </c>
      <c r="O17" s="1">
        <v>6225000000</v>
      </c>
      <c r="P17" s="1">
        <v>7111000000</v>
      </c>
      <c r="Q17" s="1">
        <v>8174000000</v>
      </c>
      <c r="R17" s="1">
        <v>9241000000</v>
      </c>
      <c r="S17" s="1">
        <v>10244000000</v>
      </c>
      <c r="T17" s="1">
        <v>11374000000</v>
      </c>
      <c r="U17" s="1">
        <v>12719000000</v>
      </c>
      <c r="V17" s="1">
        <v>14068000000</v>
      </c>
      <c r="W17" s="1">
        <v>15419000000</v>
      </c>
      <c r="X17" s="1">
        <v>16782000000</v>
      </c>
      <c r="Y17" s="1">
        <v>18357000000</v>
      </c>
      <c r="Z17" s="1">
        <v>19909000000</v>
      </c>
      <c r="AA17" s="1">
        <v>21465000000</v>
      </c>
      <c r="AB17" s="1">
        <v>17554000000</v>
      </c>
      <c r="AC17" s="1">
        <v>18879000000</v>
      </c>
      <c r="AD17" s="1">
        <v>20188000000</v>
      </c>
      <c r="AE17" s="1">
        <v>21493000000</v>
      </c>
      <c r="AF17" s="1">
        <v>10762000000</v>
      </c>
      <c r="AG17" s="1">
        <v>11598000000</v>
      </c>
      <c r="AH17" s="1">
        <v>12346000000</v>
      </c>
      <c r="AI17" s="1">
        <v>13171000000</v>
      </c>
      <c r="AJ17" s="1">
        <v>10832000000</v>
      </c>
      <c r="AK17" s="1">
        <v>11927000000</v>
      </c>
      <c r="AL17" s="1">
        <v>13016000000</v>
      </c>
      <c r="AM17" s="1">
        <v>14067000000</v>
      </c>
      <c r="AN17" s="1">
        <v>15068000000</v>
      </c>
      <c r="AO17" s="1">
        <v>15819000000</v>
      </c>
      <c r="AP17" s="1">
        <v>16944000000</v>
      </c>
      <c r="AQ17" s="1">
        <v>3089000000</v>
      </c>
      <c r="AR17" s="1">
        <v>3277000000</v>
      </c>
      <c r="AS17" s="1">
        <v>3469000000</v>
      </c>
      <c r="AT17" s="1">
        <v>3280000000</v>
      </c>
      <c r="AU17" s="1">
        <v>3445000000</v>
      </c>
      <c r="AV17" s="1">
        <v>3617000000</v>
      </c>
      <c r="AW17" s="1">
        <v>3620000000</v>
      </c>
      <c r="AX17" s="1">
        <v>441000000</v>
      </c>
      <c r="AY17" s="1">
        <v>467000000</v>
      </c>
      <c r="AZ17" s="1">
        <v>492000000</v>
      </c>
      <c r="BA17" s="1">
        <v>514000000</v>
      </c>
      <c r="BB17" s="1">
        <v>393000000</v>
      </c>
      <c r="BC17" s="1">
        <v>403000000</v>
      </c>
      <c r="BD17" s="1">
        <v>438000000</v>
      </c>
      <c r="BE17" s="1">
        <v>441000000</v>
      </c>
      <c r="BF17" s="1">
        <v>461000000</v>
      </c>
      <c r="BG17" s="1">
        <v>480000000</v>
      </c>
      <c r="BH17" s="1">
        <v>499000000</v>
      </c>
      <c r="BI17" s="1">
        <v>519000000</v>
      </c>
      <c r="BJ17" s="1">
        <v>538000000</v>
      </c>
      <c r="BK17" s="1">
        <v>557000000</v>
      </c>
      <c r="BL17" s="1">
        <v>573000000</v>
      </c>
      <c r="BM17" s="1">
        <v>592000000</v>
      </c>
      <c r="BN17" s="1">
        <v>607000000</v>
      </c>
      <c r="BO17" s="1">
        <v>627000000</v>
      </c>
      <c r="BP17" s="1">
        <v>647000000</v>
      </c>
      <c r="BQ17" s="1">
        <v>665000000</v>
      </c>
      <c r="BR17" s="1">
        <v>685000000</v>
      </c>
      <c r="BS17" s="1">
        <v>721000000</v>
      </c>
    </row>
    <row r="18" spans="1:71" x14ac:dyDescent="0.2">
      <c r="A18" s="1" t="s">
        <v>64</v>
      </c>
      <c r="B18" s="1">
        <v>126134000000</v>
      </c>
      <c r="C18" s="1">
        <v>128103000000</v>
      </c>
      <c r="D18" s="1">
        <v>130074000000</v>
      </c>
      <c r="E18" s="1">
        <v>132145000000</v>
      </c>
      <c r="F18" s="1">
        <v>134194000000</v>
      </c>
      <c r="G18" s="1">
        <v>136454000000</v>
      </c>
      <c r="H18" s="1">
        <v>138456000000</v>
      </c>
      <c r="I18" s="1">
        <v>140907000000</v>
      </c>
      <c r="J18" s="1">
        <v>143280000000</v>
      </c>
      <c r="K18" s="1">
        <v>144771000000</v>
      </c>
      <c r="L18" s="1">
        <v>47520000000</v>
      </c>
      <c r="M18" s="1">
        <v>48273000000</v>
      </c>
      <c r="N18" s="1">
        <v>49048000000</v>
      </c>
      <c r="O18" s="1">
        <v>49839000000</v>
      </c>
      <c r="P18" s="1">
        <v>50725000000</v>
      </c>
      <c r="Q18" s="1">
        <v>51782000000</v>
      </c>
      <c r="R18" s="1">
        <v>52844000000</v>
      </c>
      <c r="S18" s="1">
        <v>53694000000</v>
      </c>
      <c r="T18" s="1">
        <v>54824000000</v>
      </c>
      <c r="U18" s="1">
        <v>56176000000</v>
      </c>
      <c r="V18" s="1">
        <v>57525000000</v>
      </c>
      <c r="W18" s="1">
        <v>58876000000</v>
      </c>
      <c r="X18" s="1">
        <v>60229000000</v>
      </c>
      <c r="Y18" s="1">
        <v>61804000000</v>
      </c>
      <c r="Z18" s="1">
        <v>63366000000</v>
      </c>
      <c r="AA18" s="1">
        <v>64937000000</v>
      </c>
      <c r="AB18" s="1">
        <v>54268000000</v>
      </c>
      <c r="AC18" s="1">
        <v>55565000000</v>
      </c>
      <c r="AD18" s="1">
        <v>56850000000</v>
      </c>
      <c r="AE18" s="1">
        <v>58140000000</v>
      </c>
      <c r="AF18" s="1">
        <v>37675000000</v>
      </c>
      <c r="AG18" s="1">
        <v>38518000000</v>
      </c>
      <c r="AH18" s="1">
        <v>39254000000</v>
      </c>
      <c r="AI18" s="1">
        <v>40070000000</v>
      </c>
      <c r="AJ18" s="1">
        <v>35538000000</v>
      </c>
      <c r="AK18" s="1">
        <v>36633000000</v>
      </c>
      <c r="AL18" s="1">
        <v>37722000000</v>
      </c>
      <c r="AM18" s="1">
        <v>38767000000</v>
      </c>
      <c r="AN18" s="1">
        <v>39800000000</v>
      </c>
      <c r="AO18" s="1">
        <v>40603000000</v>
      </c>
      <c r="AP18" s="1">
        <v>41720000000</v>
      </c>
      <c r="AQ18" s="1">
        <v>4774000000</v>
      </c>
      <c r="AR18" s="1">
        <v>4951000000</v>
      </c>
      <c r="AS18" s="1">
        <v>5198000000</v>
      </c>
      <c r="AT18" s="1">
        <v>4876000000</v>
      </c>
      <c r="AU18" s="1">
        <v>5041000000</v>
      </c>
      <c r="AV18" s="1">
        <v>5213000000</v>
      </c>
      <c r="AW18" s="1">
        <v>5078000000</v>
      </c>
      <c r="AX18" s="1">
        <v>833000000</v>
      </c>
      <c r="AY18" s="1">
        <v>859000000</v>
      </c>
      <c r="AZ18" s="1">
        <v>883000000</v>
      </c>
      <c r="BA18" s="1">
        <v>902000000</v>
      </c>
      <c r="BB18" s="1">
        <v>594000000</v>
      </c>
      <c r="BC18" s="1">
        <v>583000000</v>
      </c>
      <c r="BD18" s="1">
        <v>602000000</v>
      </c>
      <c r="BE18" s="1">
        <v>621000000</v>
      </c>
      <c r="BF18" s="1">
        <v>638000000</v>
      </c>
      <c r="BG18" s="1">
        <v>657000000</v>
      </c>
      <c r="BH18" s="1">
        <v>676000000</v>
      </c>
      <c r="BI18" s="1">
        <v>696000000</v>
      </c>
      <c r="BJ18" s="1">
        <v>715000000</v>
      </c>
      <c r="BK18" s="1">
        <v>732000000</v>
      </c>
      <c r="BL18" s="1">
        <v>745000000</v>
      </c>
      <c r="BM18" s="1">
        <v>765000000</v>
      </c>
      <c r="BN18" s="1">
        <v>778000000</v>
      </c>
      <c r="BO18" s="1">
        <v>798000000</v>
      </c>
      <c r="BP18" s="1">
        <v>818000000</v>
      </c>
      <c r="BQ18" s="1">
        <v>836000000</v>
      </c>
      <c r="BR18" s="1">
        <v>856000000</v>
      </c>
      <c r="BS18" s="1">
        <v>890000000</v>
      </c>
    </row>
    <row r="19" spans="1:71" x14ac:dyDescent="0.2">
      <c r="A19" s="1" t="s">
        <v>63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50000000</v>
      </c>
      <c r="AW19" s="1">
        <v>62000000</v>
      </c>
      <c r="AX19" s="1">
        <v>0</v>
      </c>
      <c r="AY19" s="1">
        <v>0</v>
      </c>
      <c r="AZ19" s="1">
        <v>0</v>
      </c>
      <c r="BA19" s="1">
        <v>0</v>
      </c>
      <c r="BB19" s="1">
        <v>6000000</v>
      </c>
      <c r="BC19" s="1">
        <v>4000000</v>
      </c>
      <c r="BD19" s="1">
        <v>5000000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</row>
    <row r="20" spans="1:71" x14ac:dyDescent="0.2">
      <c r="A20" s="1" t="s">
        <v>62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1660000000</v>
      </c>
      <c r="AD20" s="1">
        <v>1871000000</v>
      </c>
      <c r="AE20" s="1">
        <v>0</v>
      </c>
      <c r="AF20" s="1">
        <v>0</v>
      </c>
      <c r="AG20" s="1">
        <v>178000000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-5000000</v>
      </c>
      <c r="BA20" s="1">
        <v>0</v>
      </c>
      <c r="BB20" s="1">
        <v>-6000000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</row>
    <row r="21" spans="1:71" x14ac:dyDescent="0.2">
      <c r="A21" s="1" t="s">
        <v>61</v>
      </c>
      <c r="B21" s="1">
        <v>8023000000</v>
      </c>
      <c r="C21" s="1">
        <v>7139000000</v>
      </c>
      <c r="D21" s="1">
        <v>6915000000</v>
      </c>
      <c r="E21" s="1">
        <v>6027000000</v>
      </c>
      <c r="F21" s="1">
        <v>5793000000</v>
      </c>
      <c r="G21" s="1">
        <v>5449000000</v>
      </c>
      <c r="H21" s="1">
        <v>5073000000</v>
      </c>
      <c r="I21" s="1">
        <v>4510000000</v>
      </c>
      <c r="J21" s="1">
        <v>3961000000</v>
      </c>
      <c r="K21" s="1">
        <v>3245000000</v>
      </c>
      <c r="L21" s="1">
        <v>2340000000</v>
      </c>
      <c r="M21" s="1">
        <v>2809000000</v>
      </c>
      <c r="N21" s="1">
        <v>2539000000</v>
      </c>
      <c r="O21" s="1">
        <v>2100000000</v>
      </c>
      <c r="P21" s="1">
        <v>1797000000</v>
      </c>
      <c r="Q21" s="1">
        <v>1733000000</v>
      </c>
      <c r="R21" s="1">
        <v>1803000000</v>
      </c>
      <c r="S21" s="1">
        <v>1886000000</v>
      </c>
      <c r="T21" s="1">
        <v>1812000000</v>
      </c>
      <c r="U21" s="1">
        <v>1698000000</v>
      </c>
      <c r="V21" s="1">
        <v>1338000000</v>
      </c>
      <c r="W21" s="1">
        <v>1300000000</v>
      </c>
      <c r="X21" s="1">
        <v>1300000000</v>
      </c>
      <c r="Y21" s="1">
        <v>1246000000</v>
      </c>
      <c r="Z21" s="1">
        <v>1342000000</v>
      </c>
      <c r="AA21" s="1">
        <v>1344000000</v>
      </c>
      <c r="AB21" s="1">
        <v>743000000</v>
      </c>
      <c r="AC21" s="1">
        <v>-967000000</v>
      </c>
      <c r="AD21" s="1">
        <v>-1136000000</v>
      </c>
      <c r="AE21" s="1">
        <v>682000000</v>
      </c>
      <c r="AF21" s="1">
        <v>707000000</v>
      </c>
      <c r="AG21" s="1">
        <v>286000000</v>
      </c>
      <c r="AH21" s="1">
        <v>488000000</v>
      </c>
      <c r="AI21" s="1">
        <v>507000000</v>
      </c>
      <c r="AJ21" s="1">
        <v>458000000</v>
      </c>
      <c r="AK21" s="1">
        <v>457000000</v>
      </c>
      <c r="AL21" s="1">
        <v>897000000</v>
      </c>
      <c r="AM21" s="1">
        <v>854000000</v>
      </c>
      <c r="AN21" s="1">
        <v>532000000</v>
      </c>
      <c r="AO21" s="1">
        <v>528000000</v>
      </c>
      <c r="AP21" s="1">
        <v>514000000</v>
      </c>
      <c r="AQ21" s="1">
        <v>527000000</v>
      </c>
      <c r="AR21" s="1">
        <v>406000000</v>
      </c>
      <c r="AS21" s="1">
        <v>229000000</v>
      </c>
      <c r="AT21" s="1">
        <v>236000000</v>
      </c>
      <c r="AU21" s="1">
        <v>289000000</v>
      </c>
      <c r="AV21" s="1">
        <v>246000000</v>
      </c>
      <c r="AW21" s="1">
        <v>266000000</v>
      </c>
      <c r="AX21" s="1">
        <v>73000000</v>
      </c>
      <c r="AY21" s="1">
        <v>70000000</v>
      </c>
      <c r="AZ21" s="1">
        <v>58000000</v>
      </c>
      <c r="BA21" s="1">
        <v>36000000</v>
      </c>
      <c r="BB21" s="1">
        <v>66000000</v>
      </c>
      <c r="BC21" s="1">
        <v>63000000</v>
      </c>
      <c r="BD21" s="1">
        <v>16000000</v>
      </c>
      <c r="BE21" s="1">
        <v>60000000</v>
      </c>
      <c r="BF21" s="1">
        <v>63000000</v>
      </c>
      <c r="BG21" s="1">
        <v>61000000</v>
      </c>
      <c r="BH21" s="1">
        <v>61000000</v>
      </c>
      <c r="BI21" s="1">
        <v>52000000</v>
      </c>
      <c r="BJ21" s="1">
        <v>49000000</v>
      </c>
      <c r="BK21" s="1">
        <v>48000000</v>
      </c>
      <c r="BL21" s="1">
        <v>44000000</v>
      </c>
      <c r="BM21" s="1">
        <v>16000000</v>
      </c>
      <c r="BN21" s="1">
        <v>16000000</v>
      </c>
      <c r="BO21" s="1">
        <v>23000000</v>
      </c>
      <c r="BP21" s="1">
        <v>24000000</v>
      </c>
      <c r="BQ21" s="1">
        <v>50000000</v>
      </c>
      <c r="BR21" s="1">
        <v>58000000</v>
      </c>
      <c r="BS21" s="1">
        <v>63000000</v>
      </c>
    </row>
    <row r="22" spans="1:71" x14ac:dyDescent="0.2">
      <c r="A22" s="6" t="s">
        <v>60</v>
      </c>
      <c r="B22" s="4">
        <v>136945000000</v>
      </c>
      <c r="C22" s="4">
        <v>137841000000</v>
      </c>
      <c r="D22" s="4">
        <v>139519000000</v>
      </c>
      <c r="E22" s="4">
        <v>140623000000</v>
      </c>
      <c r="F22" s="4">
        <v>142449000000</v>
      </c>
      <c r="G22" s="4">
        <v>144368000000</v>
      </c>
      <c r="H22" s="4">
        <v>146050000000</v>
      </c>
      <c r="I22" s="4">
        <v>148019000000</v>
      </c>
      <c r="J22" s="4">
        <v>149909000000</v>
      </c>
      <c r="K22" s="4">
        <v>150678000000</v>
      </c>
      <c r="L22" s="4">
        <v>52014000000</v>
      </c>
      <c r="M22" s="4">
        <v>53262000000</v>
      </c>
      <c r="N22" s="4">
        <v>53796000000</v>
      </c>
      <c r="O22" s="4">
        <v>54140000000</v>
      </c>
      <c r="P22" s="4">
        <v>54745000000</v>
      </c>
      <c r="Q22" s="4">
        <v>55765000000</v>
      </c>
      <c r="R22" s="4">
        <v>56909000000</v>
      </c>
      <c r="S22" s="4">
        <v>57883000000</v>
      </c>
      <c r="T22" s="4">
        <v>58984000000</v>
      </c>
      <c r="U22" s="4">
        <v>60244000000</v>
      </c>
      <c r="V22" s="4">
        <v>61279000000</v>
      </c>
      <c r="W22" s="4">
        <v>62672000000</v>
      </c>
      <c r="X22" s="4">
        <v>64038000000</v>
      </c>
      <c r="Y22" s="4">
        <v>65617000000</v>
      </c>
      <c r="Z22" s="4">
        <v>67326000000</v>
      </c>
      <c r="AA22" s="4">
        <v>68897000000</v>
      </c>
      <c r="AB22" s="4">
        <v>57576000000</v>
      </c>
      <c r="AC22" s="4">
        <v>58869000000</v>
      </c>
      <c r="AD22" s="4">
        <v>60239000000</v>
      </c>
      <c r="AE22" s="4">
        <v>61506000000</v>
      </c>
      <c r="AF22" s="4">
        <v>41017000000</v>
      </c>
      <c r="AG22" s="4">
        <v>41677000000</v>
      </c>
      <c r="AH22" s="4">
        <v>42462000000</v>
      </c>
      <c r="AI22" s="4">
        <v>43324000000</v>
      </c>
      <c r="AJ22" s="4">
        <v>38595000000</v>
      </c>
      <c r="AK22" s="4">
        <v>39999000000</v>
      </c>
      <c r="AL22" s="4">
        <v>41381000000</v>
      </c>
      <c r="AM22" s="4">
        <v>42267000000</v>
      </c>
      <c r="AN22" s="4">
        <v>42841000000</v>
      </c>
      <c r="AO22" s="4">
        <v>43704000000</v>
      </c>
      <c r="AP22" s="4">
        <v>44720000000</v>
      </c>
      <c r="AQ22" s="4">
        <v>6806000000</v>
      </c>
      <c r="AR22" s="4">
        <v>6817000000</v>
      </c>
      <c r="AS22" s="4">
        <v>6819000000</v>
      </c>
      <c r="AT22" s="4">
        <v>6456000000</v>
      </c>
      <c r="AU22" s="4">
        <v>6599000000</v>
      </c>
      <c r="AV22" s="4">
        <v>6667000000</v>
      </c>
      <c r="AW22" s="4">
        <v>6422000000</v>
      </c>
      <c r="AX22" s="4">
        <v>1637000000</v>
      </c>
      <c r="AY22" s="4">
        <v>1613000000</v>
      </c>
      <c r="AZ22" s="4">
        <v>1597000000</v>
      </c>
      <c r="BA22" s="4">
        <v>1558000000</v>
      </c>
      <c r="BB22" s="4">
        <v>1221000000</v>
      </c>
      <c r="BC22" s="4">
        <v>1179000000</v>
      </c>
      <c r="BD22" s="4">
        <v>1110000000</v>
      </c>
      <c r="BE22" s="4">
        <v>1134000000</v>
      </c>
      <c r="BF22" s="4">
        <v>1103000000</v>
      </c>
      <c r="BG22" s="4">
        <v>1072000000</v>
      </c>
      <c r="BH22" s="4">
        <v>1053000000</v>
      </c>
      <c r="BI22" s="4">
        <v>1044000000</v>
      </c>
      <c r="BJ22" s="4">
        <v>1049000000</v>
      </c>
      <c r="BK22" s="4">
        <v>1061000000</v>
      </c>
      <c r="BL22" s="4">
        <v>1070000000</v>
      </c>
      <c r="BM22" s="4">
        <v>1047000000</v>
      </c>
      <c r="BN22" s="4">
        <v>1055000000</v>
      </c>
      <c r="BO22" s="4">
        <v>1075000000</v>
      </c>
      <c r="BP22" s="4">
        <v>1106000000</v>
      </c>
      <c r="BQ22" s="4">
        <v>1159000000</v>
      </c>
      <c r="BR22" s="4">
        <v>1190000000</v>
      </c>
      <c r="BS22" s="4">
        <v>1252000000</v>
      </c>
    </row>
    <row r="24" spans="1:71" x14ac:dyDescent="0.2">
      <c r="A24" s="1" t="s">
        <v>59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</row>
    <row r="25" spans="1:71" x14ac:dyDescent="0.2">
      <c r="A25" s="6" t="s">
        <v>58</v>
      </c>
      <c r="B25" s="5">
        <v>179158000000</v>
      </c>
      <c r="C25" s="5">
        <v>169903000000</v>
      </c>
      <c r="D25" s="5">
        <v>171092000000</v>
      </c>
      <c r="E25" s="5">
        <v>165621000000</v>
      </c>
      <c r="F25" s="5">
        <v>164630000000</v>
      </c>
      <c r="G25" s="5">
        <v>165358000000</v>
      </c>
      <c r="H25" s="5">
        <v>165645000000</v>
      </c>
      <c r="I25" s="5">
        <v>167966000000</v>
      </c>
      <c r="J25" s="5">
        <v>175211000000</v>
      </c>
      <c r="K25" s="5">
        <v>177870000000</v>
      </c>
      <c r="L25" s="5">
        <v>72861000000</v>
      </c>
      <c r="M25" s="5">
        <v>71595000000</v>
      </c>
      <c r="N25" s="5">
        <v>71667000000</v>
      </c>
      <c r="O25" s="5">
        <v>72976000000</v>
      </c>
      <c r="P25" s="5">
        <v>73249000000</v>
      </c>
      <c r="Q25" s="5">
        <v>71326000000</v>
      </c>
      <c r="R25" s="5">
        <v>71719000000</v>
      </c>
      <c r="S25" s="5">
        <v>73224000000</v>
      </c>
      <c r="T25" s="5">
        <v>75570000000</v>
      </c>
      <c r="U25" s="5">
        <v>75880000000</v>
      </c>
      <c r="V25" s="5">
        <v>75524000000</v>
      </c>
      <c r="W25" s="5">
        <v>76972000000</v>
      </c>
      <c r="X25" s="5">
        <v>75933000000</v>
      </c>
      <c r="Y25" s="5">
        <v>79298000000</v>
      </c>
      <c r="Z25" s="5">
        <v>81548000000</v>
      </c>
      <c r="AA25" s="5">
        <v>81006000000</v>
      </c>
      <c r="AB25" s="5">
        <v>67493000000</v>
      </c>
      <c r="AC25" s="5">
        <v>69767000000</v>
      </c>
      <c r="AD25" s="5">
        <v>70916000000</v>
      </c>
      <c r="AE25" s="5">
        <v>72110000000</v>
      </c>
      <c r="AF25" s="5">
        <v>50124000000</v>
      </c>
      <c r="AG25" s="5">
        <v>50372000000</v>
      </c>
      <c r="AH25" s="5">
        <v>54936000000</v>
      </c>
      <c r="AI25" s="5">
        <v>54544000000</v>
      </c>
      <c r="AJ25" s="5">
        <v>54418000000</v>
      </c>
      <c r="AK25" s="5">
        <v>49942000000</v>
      </c>
      <c r="AL25" s="5">
        <v>49849000000</v>
      </c>
      <c r="AM25" s="5">
        <v>49617000000</v>
      </c>
      <c r="AN25" s="5">
        <v>49966000000</v>
      </c>
      <c r="AO25" s="5">
        <v>49752000000</v>
      </c>
      <c r="AP25" s="5">
        <v>51407000000</v>
      </c>
      <c r="AQ25" s="5">
        <v>10777000000</v>
      </c>
      <c r="AR25" s="5">
        <v>10592000000</v>
      </c>
      <c r="AS25" s="5">
        <v>9988000000</v>
      </c>
      <c r="AT25" s="5">
        <v>10532000000</v>
      </c>
      <c r="AU25" s="5">
        <v>10697000000</v>
      </c>
      <c r="AV25" s="5">
        <v>10491000000</v>
      </c>
      <c r="AW25" s="5">
        <v>10302000000</v>
      </c>
      <c r="AX25" s="5">
        <v>3671000000</v>
      </c>
      <c r="AY25" s="5">
        <v>3472000000</v>
      </c>
      <c r="AZ25" s="5">
        <v>3415000000</v>
      </c>
      <c r="BA25" s="5">
        <v>3199000000</v>
      </c>
      <c r="BB25" s="5">
        <v>3039000000</v>
      </c>
      <c r="BC25" s="5">
        <v>2892000000</v>
      </c>
      <c r="BD25" s="5">
        <v>2862000000</v>
      </c>
      <c r="BE25" s="5">
        <v>2715000000</v>
      </c>
      <c r="BF25" s="5">
        <v>2611000000</v>
      </c>
      <c r="BG25" s="5">
        <v>2444000000</v>
      </c>
      <c r="BH25" s="5">
        <v>2446000000</v>
      </c>
      <c r="BI25" s="5">
        <v>2273000000</v>
      </c>
      <c r="BJ25" s="5">
        <v>2177000000</v>
      </c>
      <c r="BK25" s="5">
        <v>1971000000</v>
      </c>
      <c r="BL25" s="5">
        <v>2157000000</v>
      </c>
      <c r="BM25" s="5">
        <v>1920000000</v>
      </c>
      <c r="BN25" s="5">
        <v>1782000000</v>
      </c>
      <c r="BO25" s="5">
        <v>1632000000</v>
      </c>
      <c r="BP25" s="5">
        <v>1970000000</v>
      </c>
      <c r="BQ25" s="5">
        <v>1775000000</v>
      </c>
      <c r="BR25" s="5">
        <v>1805000000</v>
      </c>
      <c r="BS25" s="5">
        <v>1871000000</v>
      </c>
    </row>
    <row r="27" spans="1:71" x14ac:dyDescent="0.2">
      <c r="A27" s="1" t="s">
        <v>57</v>
      </c>
      <c r="B27" s="1">
        <v>2337000000</v>
      </c>
      <c r="C27" s="1">
        <v>2112000000</v>
      </c>
      <c r="D27" s="1">
        <v>1560000000</v>
      </c>
      <c r="E27" s="1">
        <v>1432000000</v>
      </c>
      <c r="F27" s="1">
        <v>1297000000</v>
      </c>
      <c r="G27" s="1">
        <v>1905000000</v>
      </c>
      <c r="H27" s="1">
        <v>1662000000</v>
      </c>
      <c r="I27" s="1">
        <v>1757000000</v>
      </c>
      <c r="J27" s="1">
        <v>1441000000</v>
      </c>
      <c r="K27" s="1">
        <v>1496000000</v>
      </c>
      <c r="L27" s="1">
        <v>1210000000</v>
      </c>
      <c r="M27" s="1">
        <v>992000000</v>
      </c>
      <c r="N27" s="1">
        <v>831000000</v>
      </c>
      <c r="O27" s="1">
        <v>923000000</v>
      </c>
      <c r="P27" s="1">
        <v>998000000</v>
      </c>
      <c r="Q27" s="1">
        <v>712000000</v>
      </c>
      <c r="R27" s="1">
        <v>1069000000</v>
      </c>
      <c r="S27" s="1">
        <v>1078000000</v>
      </c>
      <c r="T27" s="1">
        <v>1086000000</v>
      </c>
      <c r="U27" s="1">
        <v>968000000</v>
      </c>
      <c r="V27" s="1">
        <v>830000000</v>
      </c>
      <c r="W27" s="1">
        <v>898000000</v>
      </c>
      <c r="X27" s="1">
        <v>836000000</v>
      </c>
      <c r="Y27" s="1">
        <v>1092000000</v>
      </c>
      <c r="Z27" s="1">
        <v>1230000000</v>
      </c>
      <c r="AA27" s="1">
        <v>985000000</v>
      </c>
      <c r="AB27" s="1">
        <v>855000000</v>
      </c>
      <c r="AC27" s="1">
        <v>996000000</v>
      </c>
      <c r="AD27" s="1">
        <v>759000000</v>
      </c>
      <c r="AE27" s="1">
        <v>738000000</v>
      </c>
      <c r="AF27" s="1">
        <v>811000000</v>
      </c>
      <c r="AG27" s="1">
        <v>785000000</v>
      </c>
      <c r="AH27" s="1">
        <v>836000000</v>
      </c>
      <c r="AI27" s="1">
        <v>816000000</v>
      </c>
      <c r="AJ27" s="1">
        <v>1105000000</v>
      </c>
      <c r="AK27" s="1">
        <v>1158000000</v>
      </c>
      <c r="AL27" s="1">
        <v>925000000</v>
      </c>
      <c r="AM27" s="1">
        <v>1047000000</v>
      </c>
      <c r="AN27" s="1">
        <v>1261000000</v>
      </c>
      <c r="AO27" s="1">
        <v>1127000000</v>
      </c>
      <c r="AP27" s="1">
        <v>985000000</v>
      </c>
      <c r="AQ27" s="1">
        <v>523000000</v>
      </c>
      <c r="AR27" s="1">
        <v>617000000</v>
      </c>
      <c r="AS27" s="1">
        <v>501000000</v>
      </c>
      <c r="AT27" s="1">
        <v>501000000</v>
      </c>
      <c r="AU27" s="1">
        <v>452000000</v>
      </c>
      <c r="AV27" s="1">
        <v>515000000</v>
      </c>
      <c r="AW27" s="1">
        <v>459000000</v>
      </c>
      <c r="AX27" s="1">
        <v>274000000</v>
      </c>
      <c r="AY27" s="1">
        <v>257000000</v>
      </c>
      <c r="AZ27" s="1">
        <v>278000000</v>
      </c>
      <c r="BA27" s="1">
        <v>266000000</v>
      </c>
      <c r="BB27" s="1">
        <v>240000000</v>
      </c>
      <c r="BC27" s="1">
        <v>196000000</v>
      </c>
      <c r="BD27" s="1">
        <v>248000000</v>
      </c>
      <c r="BE27" s="1">
        <v>239000000</v>
      </c>
      <c r="BF27" s="1">
        <v>257000000</v>
      </c>
      <c r="BG27" s="1">
        <v>222000000</v>
      </c>
      <c r="BH27" s="1">
        <v>221000000</v>
      </c>
      <c r="BI27" s="1">
        <v>196000000</v>
      </c>
      <c r="BJ27" s="1">
        <v>206000000</v>
      </c>
      <c r="BK27" s="1">
        <v>156000000</v>
      </c>
      <c r="BL27" s="1">
        <v>198000000</v>
      </c>
      <c r="BM27" s="1">
        <v>172000000</v>
      </c>
      <c r="BN27" s="1">
        <v>169000000</v>
      </c>
      <c r="BO27" s="1">
        <v>160000000</v>
      </c>
      <c r="BP27" s="1">
        <v>154000000</v>
      </c>
      <c r="BQ27" s="1">
        <v>152000000</v>
      </c>
      <c r="BR27" s="1">
        <v>167000000</v>
      </c>
      <c r="BS27" s="1">
        <v>174000000</v>
      </c>
    </row>
    <row r="28" spans="1:71" x14ac:dyDescent="0.2">
      <c r="A28" s="1" t="s">
        <v>56</v>
      </c>
      <c r="B28" s="1">
        <v>2252000000</v>
      </c>
      <c r="C28" s="1">
        <v>2252000000</v>
      </c>
      <c r="D28" s="1">
        <v>3152000000</v>
      </c>
      <c r="E28" s="1">
        <v>1399000000</v>
      </c>
      <c r="F28" s="1">
        <v>5531000000</v>
      </c>
      <c r="G28" s="1">
        <v>5653000000</v>
      </c>
      <c r="H28" s="1">
        <v>1271000000</v>
      </c>
      <c r="I28" s="1">
        <v>3205000000</v>
      </c>
      <c r="J28" s="1">
        <v>2478000000</v>
      </c>
      <c r="K28" s="1">
        <v>2492000000</v>
      </c>
      <c r="L28" s="1">
        <v>1668000000</v>
      </c>
      <c r="M28" s="1">
        <v>1161000000</v>
      </c>
      <c r="N28" s="1">
        <v>1157000000</v>
      </c>
      <c r="O28" s="1">
        <v>1115000000</v>
      </c>
      <c r="P28" s="1">
        <v>514000000</v>
      </c>
      <c r="Q28" s="1">
        <v>304000000</v>
      </c>
      <c r="R28" s="1">
        <v>302000000</v>
      </c>
      <c r="S28" s="1">
        <v>300000000</v>
      </c>
      <c r="T28" s="1">
        <v>373000000</v>
      </c>
      <c r="U28" s="1">
        <v>303000000</v>
      </c>
      <c r="V28" s="1">
        <v>278000000</v>
      </c>
      <c r="W28" s="1">
        <v>864000000</v>
      </c>
      <c r="X28" s="1">
        <v>827000000</v>
      </c>
      <c r="Y28" s="1">
        <v>922000000</v>
      </c>
      <c r="Z28" s="1">
        <v>819000000</v>
      </c>
      <c r="AA28" s="1">
        <v>2311000000</v>
      </c>
      <c r="AB28" s="1">
        <v>2787000000</v>
      </c>
      <c r="AC28" s="1">
        <v>3537000000</v>
      </c>
      <c r="AD28" s="1">
        <v>3537000000</v>
      </c>
      <c r="AE28" s="1">
        <v>3537000000</v>
      </c>
      <c r="AF28" s="1">
        <v>0</v>
      </c>
      <c r="AG28" s="1">
        <v>117000000</v>
      </c>
      <c r="AH28" s="1">
        <v>117000000</v>
      </c>
      <c r="AI28" s="1">
        <v>117000000</v>
      </c>
      <c r="AJ28" s="1">
        <v>117000000</v>
      </c>
      <c r="AK28" s="1">
        <v>0</v>
      </c>
      <c r="AL28" s="1">
        <v>0</v>
      </c>
      <c r="AM28" s="1">
        <v>0</v>
      </c>
      <c r="AN28" s="1">
        <v>454000000</v>
      </c>
      <c r="AO28" s="1">
        <v>334000000</v>
      </c>
      <c r="AP28" s="1">
        <v>344000000</v>
      </c>
      <c r="AQ28" s="1">
        <v>46000000</v>
      </c>
      <c r="AR28" s="1">
        <v>46000000</v>
      </c>
      <c r="AS28" s="1">
        <v>46000000</v>
      </c>
      <c r="AT28" s="1">
        <v>46000000</v>
      </c>
      <c r="AU28" s="1">
        <v>46000000</v>
      </c>
      <c r="AV28" s="1">
        <v>46000000</v>
      </c>
      <c r="AW28" s="1">
        <v>46000000</v>
      </c>
      <c r="AX28" s="1">
        <v>0</v>
      </c>
      <c r="AY28" s="1">
        <v>1000000</v>
      </c>
      <c r="AZ28" s="1">
        <v>1000000</v>
      </c>
      <c r="BA28" s="1">
        <v>2000000</v>
      </c>
      <c r="BB28" s="1">
        <v>1000000</v>
      </c>
      <c r="BC28" s="1">
        <v>1000000</v>
      </c>
      <c r="BD28" s="1">
        <v>1000000</v>
      </c>
      <c r="BE28" s="1">
        <v>1000000</v>
      </c>
      <c r="BF28" s="1">
        <v>1000000</v>
      </c>
      <c r="BG28" s="1">
        <v>2000000</v>
      </c>
      <c r="BH28" s="1">
        <v>2000000</v>
      </c>
      <c r="BI28" s="1">
        <v>2000000</v>
      </c>
      <c r="BJ28" s="1">
        <v>2000000</v>
      </c>
      <c r="BK28" s="1">
        <v>2000000</v>
      </c>
      <c r="BL28" s="1">
        <v>232000000</v>
      </c>
      <c r="BM28" s="1">
        <v>2000000</v>
      </c>
      <c r="BN28" s="1">
        <v>2000000</v>
      </c>
      <c r="BO28" s="1">
        <v>3000000</v>
      </c>
      <c r="BP28" s="1">
        <v>368000000</v>
      </c>
      <c r="BQ28" s="1">
        <v>2000000</v>
      </c>
      <c r="BR28" s="1">
        <v>2000000</v>
      </c>
      <c r="BS28" s="1">
        <v>2000000</v>
      </c>
    </row>
    <row r="29" spans="1:71" x14ac:dyDescent="0.2">
      <c r="A29" s="1" t="s">
        <v>55</v>
      </c>
      <c r="B29" s="1">
        <v>0</v>
      </c>
      <c r="C29" s="1">
        <v>0</v>
      </c>
      <c r="D29" s="1">
        <v>921000000</v>
      </c>
      <c r="E29" s="1">
        <v>410000000</v>
      </c>
      <c r="F29" s="1">
        <v>646000000</v>
      </c>
      <c r="G29" s="1">
        <v>823000000</v>
      </c>
      <c r="H29" s="1">
        <v>720000000</v>
      </c>
      <c r="I29" s="1">
        <v>1091000000</v>
      </c>
      <c r="J29" s="1">
        <v>1127000000</v>
      </c>
      <c r="K29" s="1">
        <v>1414000000</v>
      </c>
      <c r="L29" s="1">
        <v>473000000</v>
      </c>
      <c r="M29" s="1">
        <v>515000000</v>
      </c>
      <c r="N29" s="1">
        <v>650000000</v>
      </c>
      <c r="O29" s="1">
        <v>915000000</v>
      </c>
      <c r="P29" s="1">
        <v>680000000</v>
      </c>
      <c r="Q29" s="1">
        <v>471000000</v>
      </c>
      <c r="R29" s="1">
        <v>477000000</v>
      </c>
      <c r="S29" s="1">
        <v>556000000</v>
      </c>
      <c r="T29" s="1">
        <v>541000000</v>
      </c>
      <c r="U29" s="1">
        <v>492000000</v>
      </c>
      <c r="V29" s="1">
        <v>506000000</v>
      </c>
      <c r="W29" s="1">
        <v>562000000</v>
      </c>
      <c r="X29" s="1">
        <v>440000000</v>
      </c>
      <c r="Y29" s="1">
        <v>387000000</v>
      </c>
      <c r="Z29" s="1">
        <v>0</v>
      </c>
      <c r="AA29" s="1">
        <v>0</v>
      </c>
      <c r="AB29" s="1">
        <v>229000000</v>
      </c>
      <c r="AC29" s="1">
        <v>264000000</v>
      </c>
      <c r="AD29" s="1">
        <v>290000000</v>
      </c>
      <c r="AE29" s="1">
        <v>656000000</v>
      </c>
      <c r="AF29" s="1">
        <v>162000000</v>
      </c>
      <c r="AG29" s="1">
        <v>60000000</v>
      </c>
      <c r="AH29" s="1">
        <v>0</v>
      </c>
      <c r="AI29" s="1">
        <v>0</v>
      </c>
      <c r="AJ29" s="1">
        <v>123000000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79000000</v>
      </c>
      <c r="AS29" s="1">
        <v>0</v>
      </c>
      <c r="AT29" s="1">
        <v>0</v>
      </c>
      <c r="AU29" s="1">
        <v>0</v>
      </c>
      <c r="AV29" s="1">
        <v>57000000</v>
      </c>
      <c r="AW29" s="1">
        <v>0</v>
      </c>
      <c r="AX29" s="1">
        <v>0</v>
      </c>
      <c r="AY29" s="1">
        <v>0</v>
      </c>
      <c r="AZ29" s="1">
        <v>15000000</v>
      </c>
      <c r="BA29" s="1">
        <v>0</v>
      </c>
      <c r="BB29" s="1">
        <v>0</v>
      </c>
      <c r="BC29" s="1">
        <v>0</v>
      </c>
      <c r="BD29" s="1">
        <v>16000000</v>
      </c>
      <c r="BE29" s="1">
        <v>0</v>
      </c>
      <c r="BF29" s="1">
        <v>0</v>
      </c>
      <c r="BG29" s="1">
        <v>0</v>
      </c>
      <c r="BH29" s="1">
        <v>10000000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</row>
    <row r="30" spans="1:71" x14ac:dyDescent="0.2">
      <c r="A30" s="1" t="s">
        <v>54</v>
      </c>
      <c r="B30" s="1">
        <v>0</v>
      </c>
      <c r="C30" s="1">
        <v>9188000000</v>
      </c>
      <c r="D30" s="1">
        <v>9469000000</v>
      </c>
      <c r="E30" s="1">
        <v>10305000000</v>
      </c>
      <c r="F30" s="1">
        <v>10303000000</v>
      </c>
      <c r="G30" s="1">
        <v>9908000000</v>
      </c>
      <c r="H30" s="1">
        <v>9395000000</v>
      </c>
      <c r="I30" s="1">
        <v>9789000000</v>
      </c>
      <c r="J30" s="1">
        <v>10519000000</v>
      </c>
      <c r="K30" s="1">
        <v>9593000000</v>
      </c>
      <c r="L30" s="1">
        <v>2487000000</v>
      </c>
      <c r="M30" s="1">
        <v>831000000</v>
      </c>
      <c r="N30" s="1">
        <v>3427000000</v>
      </c>
      <c r="O30" s="1">
        <v>3109000000</v>
      </c>
      <c r="P30" s="1">
        <v>2931000000</v>
      </c>
      <c r="Q30" s="1">
        <v>3297000000</v>
      </c>
      <c r="R30" s="1">
        <v>3600000000</v>
      </c>
      <c r="S30" s="1">
        <v>3027000000</v>
      </c>
      <c r="T30" s="1">
        <v>2619000000</v>
      </c>
      <c r="U30" s="1">
        <v>3008000000</v>
      </c>
      <c r="V30" s="1">
        <v>3409000000</v>
      </c>
      <c r="W30" s="1">
        <v>3098000000</v>
      </c>
      <c r="X30" s="1">
        <v>2620000000</v>
      </c>
      <c r="Y30" s="1">
        <v>2793000000</v>
      </c>
      <c r="Z30" s="1">
        <v>3065000000</v>
      </c>
      <c r="AA30" s="1">
        <v>2880000000</v>
      </c>
      <c r="AB30" s="1">
        <v>1501000000</v>
      </c>
      <c r="AC30" s="1">
        <v>1872000000</v>
      </c>
      <c r="AD30" s="1">
        <v>2028000000</v>
      </c>
      <c r="AE30" s="1">
        <v>1692000000</v>
      </c>
      <c r="AF30" s="1">
        <v>164000000</v>
      </c>
      <c r="AG30" s="1">
        <v>183000000</v>
      </c>
      <c r="AH30" s="1">
        <v>417000000</v>
      </c>
      <c r="AI30" s="1">
        <v>333000000</v>
      </c>
      <c r="AJ30" s="1">
        <v>51000000</v>
      </c>
      <c r="AK30" s="1">
        <v>0</v>
      </c>
      <c r="AL30" s="1">
        <v>0</v>
      </c>
      <c r="AM30" s="1">
        <v>0</v>
      </c>
      <c r="AN30" s="1">
        <v>517000000</v>
      </c>
      <c r="AO30" s="1">
        <v>424000000</v>
      </c>
      <c r="AP30" s="1">
        <v>303000000</v>
      </c>
      <c r="AQ30" s="1">
        <v>101000000</v>
      </c>
      <c r="AR30" s="1">
        <v>250000000</v>
      </c>
      <c r="AS30" s="1">
        <v>230000000</v>
      </c>
      <c r="AT30" s="1">
        <v>181000000</v>
      </c>
      <c r="AU30" s="1">
        <v>132000000</v>
      </c>
      <c r="AV30" s="1">
        <v>232000000</v>
      </c>
      <c r="AW30" s="1">
        <v>207000000</v>
      </c>
      <c r="AX30" s="1">
        <v>0</v>
      </c>
      <c r="AY30" s="1">
        <v>59000000</v>
      </c>
      <c r="AZ30" s="1">
        <v>11000000</v>
      </c>
      <c r="BA30" s="1">
        <v>80000000</v>
      </c>
      <c r="BB30" s="1">
        <v>59000000</v>
      </c>
      <c r="BC30" s="1">
        <v>48000000</v>
      </c>
      <c r="BD30" s="1">
        <v>8000000</v>
      </c>
      <c r="BE30" s="1">
        <v>69000000</v>
      </c>
      <c r="BF30" s="1">
        <v>57000000</v>
      </c>
      <c r="BG30" s="1">
        <v>51000000</v>
      </c>
      <c r="BH30" s="1">
        <v>10000000</v>
      </c>
      <c r="BI30" s="1">
        <v>88000000</v>
      </c>
      <c r="BJ30" s="1">
        <v>62000000</v>
      </c>
      <c r="BK30" s="1">
        <v>51000000</v>
      </c>
      <c r="BL30" s="1">
        <v>7000000</v>
      </c>
      <c r="BM30" s="1">
        <v>5000000</v>
      </c>
      <c r="BN30" s="1">
        <v>12000000</v>
      </c>
      <c r="BO30" s="1">
        <v>5000000</v>
      </c>
      <c r="BP30" s="1">
        <v>25000000</v>
      </c>
      <c r="BQ30" s="1">
        <v>13000000</v>
      </c>
      <c r="BR30" s="1">
        <v>0</v>
      </c>
      <c r="BS30" s="1">
        <v>0</v>
      </c>
    </row>
    <row r="31" spans="1:71" x14ac:dyDescent="0.2">
      <c r="A31" s="1" t="s">
        <v>53</v>
      </c>
      <c r="B31" s="1">
        <v>14273000000</v>
      </c>
      <c r="C31" s="1">
        <v>3307000000</v>
      </c>
      <c r="D31" s="1">
        <v>3412000000</v>
      </c>
      <c r="E31" s="1">
        <v>3158000000</v>
      </c>
      <c r="F31" s="1">
        <v>2820000000</v>
      </c>
      <c r="G31" s="1">
        <v>2621000000</v>
      </c>
      <c r="H31" s="1">
        <v>3649000000</v>
      </c>
      <c r="I31" s="1">
        <v>3379000000</v>
      </c>
      <c r="J31" s="1">
        <v>4606000000</v>
      </c>
      <c r="K31" s="1">
        <v>5374000000</v>
      </c>
      <c r="L31" s="1">
        <v>1567000000</v>
      </c>
      <c r="M31" s="1">
        <v>3846000000</v>
      </c>
      <c r="N31" s="1">
        <v>1446000000</v>
      </c>
      <c r="O31" s="1">
        <v>1421000000</v>
      </c>
      <c r="P31" s="1">
        <v>1929000000</v>
      </c>
      <c r="Q31" s="1">
        <v>1918000000</v>
      </c>
      <c r="R31" s="1">
        <v>1462000000</v>
      </c>
      <c r="S31" s="1">
        <v>1326000000</v>
      </c>
      <c r="T31" s="1">
        <v>1662000000</v>
      </c>
      <c r="U31" s="1">
        <v>1730000000</v>
      </c>
      <c r="V31" s="1">
        <v>1413000000</v>
      </c>
      <c r="W31" s="1">
        <v>1272000000</v>
      </c>
      <c r="X31" s="1">
        <v>1648000000</v>
      </c>
      <c r="Y31" s="1">
        <v>1508000000</v>
      </c>
      <c r="Z31" s="1">
        <v>1487000000</v>
      </c>
      <c r="AA31" s="1">
        <v>1563000000</v>
      </c>
      <c r="AB31" s="1">
        <v>1527000000</v>
      </c>
      <c r="AC31" s="1">
        <v>1613000000</v>
      </c>
      <c r="AD31" s="1">
        <v>1889000000</v>
      </c>
      <c r="AE31" s="1">
        <v>1726000000</v>
      </c>
      <c r="AF31" s="1">
        <v>1201000000</v>
      </c>
      <c r="AG31" s="1">
        <v>1042000000</v>
      </c>
      <c r="AH31" s="1">
        <v>754000000</v>
      </c>
      <c r="AI31" s="1">
        <v>704000000</v>
      </c>
      <c r="AJ31" s="1">
        <v>1133000000</v>
      </c>
      <c r="AK31" s="1">
        <v>1060000000</v>
      </c>
      <c r="AL31" s="1">
        <v>1127000000</v>
      </c>
      <c r="AM31" s="1">
        <v>1075000000</v>
      </c>
      <c r="AN31" s="1">
        <v>846000000</v>
      </c>
      <c r="AO31" s="1">
        <v>843000000</v>
      </c>
      <c r="AP31" s="1">
        <v>1019000000</v>
      </c>
      <c r="AQ31" s="1">
        <v>192000000</v>
      </c>
      <c r="AR31" s="1">
        <v>127000000</v>
      </c>
      <c r="AS31" s="1">
        <v>175000000</v>
      </c>
      <c r="AT31" s="1">
        <v>178000000</v>
      </c>
      <c r="AU31" s="1">
        <v>215000000</v>
      </c>
      <c r="AV31" s="1">
        <v>166000000</v>
      </c>
      <c r="AW31" s="1">
        <v>228000000</v>
      </c>
      <c r="AX31" s="1">
        <v>142000000</v>
      </c>
      <c r="AY31" s="1">
        <v>47000000</v>
      </c>
      <c r="AZ31" s="1">
        <v>118000000</v>
      </c>
      <c r="BA31" s="1">
        <v>27000000</v>
      </c>
      <c r="BB31" s="1">
        <v>30000000</v>
      </c>
      <c r="BC31" s="1">
        <v>32000000</v>
      </c>
      <c r="BD31" s="1">
        <v>73000000</v>
      </c>
      <c r="BE31" s="1">
        <v>33000000</v>
      </c>
      <c r="BF31" s="1">
        <v>41000000</v>
      </c>
      <c r="BG31" s="1">
        <v>39000000</v>
      </c>
      <c r="BH31" s="1">
        <v>107000000</v>
      </c>
      <c r="BI31" s="1">
        <v>25000000</v>
      </c>
      <c r="BJ31" s="1">
        <v>26000000</v>
      </c>
      <c r="BK31" s="1">
        <v>28000000</v>
      </c>
      <c r="BL31" s="1">
        <v>128000000</v>
      </c>
      <c r="BM31" s="1">
        <v>106000000</v>
      </c>
      <c r="BN31" s="1">
        <v>98000000</v>
      </c>
      <c r="BO31" s="1">
        <v>80000000</v>
      </c>
      <c r="BP31" s="1">
        <v>86000000</v>
      </c>
      <c r="BQ31" s="1">
        <v>84000000</v>
      </c>
      <c r="BR31" s="1">
        <v>113000000</v>
      </c>
      <c r="BS31" s="1">
        <v>152000000</v>
      </c>
    </row>
    <row r="32" spans="1:71" x14ac:dyDescent="0.2">
      <c r="A32" s="6" t="s">
        <v>52</v>
      </c>
      <c r="B32" s="4">
        <v>18862000000</v>
      </c>
      <c r="C32" s="4">
        <v>16859000000</v>
      </c>
      <c r="D32" s="4">
        <v>18514000000</v>
      </c>
      <c r="E32" s="4">
        <v>16704000000</v>
      </c>
      <c r="F32" s="4">
        <v>20597000000</v>
      </c>
      <c r="G32" s="4">
        <v>20910000000</v>
      </c>
      <c r="H32" s="4">
        <v>16697000000</v>
      </c>
      <c r="I32" s="4">
        <v>19221000000</v>
      </c>
      <c r="J32" s="4">
        <v>20171000000</v>
      </c>
      <c r="K32" s="4">
        <v>20369000000</v>
      </c>
      <c r="L32" s="4">
        <v>7405000000</v>
      </c>
      <c r="M32" s="4">
        <v>7345000000</v>
      </c>
      <c r="N32" s="4">
        <v>7511000000</v>
      </c>
      <c r="O32" s="4">
        <v>7483000000</v>
      </c>
      <c r="P32" s="4">
        <v>7052000000</v>
      </c>
      <c r="Q32" s="4">
        <v>6702000000</v>
      </c>
      <c r="R32" s="4">
        <v>6910000000</v>
      </c>
      <c r="S32" s="4">
        <v>6287000000</v>
      </c>
      <c r="T32" s="4">
        <v>6281000000</v>
      </c>
      <c r="U32" s="4">
        <v>6501000000</v>
      </c>
      <c r="V32" s="4">
        <v>6436000000</v>
      </c>
      <c r="W32" s="4">
        <v>6694000000</v>
      </c>
      <c r="X32" s="4">
        <v>6371000000</v>
      </c>
      <c r="Y32" s="4">
        <v>6702000000</v>
      </c>
      <c r="Z32" s="4">
        <v>6601000000</v>
      </c>
      <c r="AA32" s="4">
        <v>7739000000</v>
      </c>
      <c r="AB32" s="4">
        <v>6899000000</v>
      </c>
      <c r="AC32" s="4">
        <v>8282000000</v>
      </c>
      <c r="AD32" s="4">
        <v>8503000000</v>
      </c>
      <c r="AE32" s="4">
        <v>8349000000</v>
      </c>
      <c r="AF32" s="4">
        <v>2338000000</v>
      </c>
      <c r="AG32" s="4">
        <v>2187000000</v>
      </c>
      <c r="AH32" s="4">
        <v>2124000000</v>
      </c>
      <c r="AI32" s="4">
        <v>1970000000</v>
      </c>
      <c r="AJ32" s="4">
        <v>2529000000</v>
      </c>
      <c r="AK32" s="4">
        <v>2218000000</v>
      </c>
      <c r="AL32" s="4">
        <v>2052000000</v>
      </c>
      <c r="AM32" s="4">
        <v>2122000000</v>
      </c>
      <c r="AN32" s="4">
        <v>3078000000</v>
      </c>
      <c r="AO32" s="4">
        <v>2728000000</v>
      </c>
      <c r="AP32" s="4">
        <v>2651000000</v>
      </c>
      <c r="AQ32" s="4">
        <v>862000000</v>
      </c>
      <c r="AR32" s="4">
        <v>1119000000</v>
      </c>
      <c r="AS32" s="4">
        <v>952000000</v>
      </c>
      <c r="AT32" s="4">
        <v>906000000</v>
      </c>
      <c r="AU32" s="4">
        <v>845000000</v>
      </c>
      <c r="AV32" s="4">
        <v>1016000000</v>
      </c>
      <c r="AW32" s="4">
        <v>940000000</v>
      </c>
      <c r="AX32" s="4">
        <v>416000000</v>
      </c>
      <c r="AY32" s="4">
        <v>364000000</v>
      </c>
      <c r="AZ32" s="4">
        <v>423000000</v>
      </c>
      <c r="BA32" s="4">
        <v>375000000</v>
      </c>
      <c r="BB32" s="4">
        <v>330000000</v>
      </c>
      <c r="BC32" s="4">
        <v>277000000</v>
      </c>
      <c r="BD32" s="4">
        <v>346000000</v>
      </c>
      <c r="BE32" s="4">
        <v>342000000</v>
      </c>
      <c r="BF32" s="4">
        <v>356000000</v>
      </c>
      <c r="BG32" s="4">
        <v>314000000</v>
      </c>
      <c r="BH32" s="4">
        <v>350000000</v>
      </c>
      <c r="BI32" s="4">
        <v>311000000</v>
      </c>
      <c r="BJ32" s="4">
        <v>296000000</v>
      </c>
      <c r="BK32" s="4">
        <v>237000000</v>
      </c>
      <c r="BL32" s="4">
        <v>565000000</v>
      </c>
      <c r="BM32" s="4">
        <v>285000000</v>
      </c>
      <c r="BN32" s="4">
        <v>281000000</v>
      </c>
      <c r="BO32" s="4">
        <v>248000000</v>
      </c>
      <c r="BP32" s="4">
        <v>633000000</v>
      </c>
      <c r="BQ32" s="4">
        <v>251000000</v>
      </c>
      <c r="BR32" s="4">
        <v>282000000</v>
      </c>
      <c r="BS32" s="4">
        <v>328000000</v>
      </c>
    </row>
    <row r="34" spans="1:71" x14ac:dyDescent="0.2">
      <c r="A34" s="1" t="s">
        <v>51</v>
      </c>
      <c r="B34" s="1">
        <v>62655000000</v>
      </c>
      <c r="C34" s="1">
        <v>63805000000</v>
      </c>
      <c r="D34" s="1">
        <v>61984000000</v>
      </c>
      <c r="E34" s="1">
        <v>62842810000</v>
      </c>
      <c r="F34" s="1">
        <v>61751000000</v>
      </c>
      <c r="G34" s="1">
        <v>60926000000</v>
      </c>
      <c r="H34" s="1">
        <v>66308000000</v>
      </c>
      <c r="I34" s="1">
        <v>66798000000</v>
      </c>
      <c r="J34" s="1">
        <v>71590000000</v>
      </c>
      <c r="K34" s="1">
        <v>73468000000</v>
      </c>
      <c r="L34" s="1">
        <v>37980000000</v>
      </c>
      <c r="M34" s="1">
        <v>38230000000</v>
      </c>
      <c r="N34" s="1">
        <v>38206000000</v>
      </c>
      <c r="O34" s="1">
        <v>38167000000</v>
      </c>
      <c r="P34" s="1">
        <v>39464000000</v>
      </c>
      <c r="Q34" s="1">
        <v>39191000000</v>
      </c>
      <c r="R34" s="1">
        <v>39193000000</v>
      </c>
      <c r="S34" s="1">
        <v>39238000000</v>
      </c>
      <c r="T34" s="1">
        <v>39900000000</v>
      </c>
      <c r="U34" s="1">
        <v>40212000000</v>
      </c>
      <c r="V34" s="1">
        <v>40199000000</v>
      </c>
      <c r="W34" s="1">
        <v>41111000000</v>
      </c>
      <c r="X34" s="1">
        <v>40810000000</v>
      </c>
      <c r="Y34" s="1">
        <v>43747000000</v>
      </c>
      <c r="Z34" s="1">
        <v>45640000000</v>
      </c>
      <c r="AA34" s="1">
        <v>43019000000</v>
      </c>
      <c r="AB34" s="1">
        <v>30011000000</v>
      </c>
      <c r="AC34" s="1">
        <v>34028000000</v>
      </c>
      <c r="AD34" s="1">
        <v>34011000000</v>
      </c>
      <c r="AE34" s="1">
        <v>34104000000</v>
      </c>
      <c r="AF34" s="1">
        <v>17493000000</v>
      </c>
      <c r="AG34" s="1">
        <v>17487000000</v>
      </c>
      <c r="AH34" s="1">
        <v>17481000000</v>
      </c>
      <c r="AI34" s="1">
        <v>17475000000</v>
      </c>
      <c r="AJ34" s="1">
        <v>17431000000</v>
      </c>
      <c r="AK34" s="1">
        <v>13572000000</v>
      </c>
      <c r="AL34" s="1">
        <v>13567000000</v>
      </c>
      <c r="AM34" s="1">
        <v>13562000000</v>
      </c>
      <c r="AN34" s="1">
        <v>13188000000</v>
      </c>
      <c r="AO34" s="1">
        <v>13381000000</v>
      </c>
      <c r="AP34" s="1">
        <v>14664000000</v>
      </c>
      <c r="AQ34" s="1">
        <v>3892000000</v>
      </c>
      <c r="AR34" s="1">
        <v>3903000000</v>
      </c>
      <c r="AS34" s="1">
        <v>3915000000</v>
      </c>
      <c r="AT34" s="1">
        <v>4852000000</v>
      </c>
      <c r="AU34" s="1">
        <v>5454000000</v>
      </c>
      <c r="AV34" s="1">
        <v>5463000000</v>
      </c>
      <c r="AW34" s="1">
        <v>5472000000</v>
      </c>
      <c r="AX34" s="1">
        <v>0</v>
      </c>
      <c r="AY34" s="1">
        <v>1000000</v>
      </c>
      <c r="AZ34" s="1">
        <v>1000000</v>
      </c>
      <c r="BA34" s="1">
        <v>1000000</v>
      </c>
      <c r="BB34" s="1">
        <v>2000000</v>
      </c>
      <c r="BC34" s="1">
        <v>2000000</v>
      </c>
      <c r="BD34" s="1">
        <v>2000000</v>
      </c>
      <c r="BE34" s="1">
        <v>2000000</v>
      </c>
      <c r="BF34" s="1">
        <v>3000000</v>
      </c>
      <c r="BG34" s="1">
        <v>3000000</v>
      </c>
      <c r="BH34" s="1">
        <v>4000000</v>
      </c>
      <c r="BI34" s="1">
        <v>4000000</v>
      </c>
      <c r="BJ34" s="1">
        <v>4000000</v>
      </c>
      <c r="BK34" s="1">
        <v>5000000</v>
      </c>
      <c r="BL34" s="1">
        <v>4000000</v>
      </c>
      <c r="BM34" s="1">
        <v>234000000</v>
      </c>
      <c r="BN34" s="1">
        <v>234000000</v>
      </c>
      <c r="BO34" s="1">
        <v>232000000</v>
      </c>
      <c r="BP34" s="1">
        <v>233000000</v>
      </c>
      <c r="BQ34" s="1">
        <v>703000000</v>
      </c>
      <c r="BR34" s="1">
        <v>704000000</v>
      </c>
      <c r="BS34" s="1">
        <v>708000000</v>
      </c>
    </row>
    <row r="35" spans="1:71" x14ac:dyDescent="0.2">
      <c r="A35" s="1" t="s">
        <v>50</v>
      </c>
      <c r="B35" s="1">
        <v>0</v>
      </c>
      <c r="C35" s="1">
        <v>3667000000</v>
      </c>
      <c r="D35" s="1">
        <v>3547000000</v>
      </c>
      <c r="E35" s="1">
        <v>4031000000</v>
      </c>
      <c r="F35" s="1">
        <v>4154000000</v>
      </c>
      <c r="G35" s="1">
        <v>4628000000</v>
      </c>
      <c r="H35" s="1">
        <v>5100000000</v>
      </c>
      <c r="I35" s="1">
        <v>5759000000</v>
      </c>
      <c r="J35" s="1">
        <v>6183000000</v>
      </c>
      <c r="K35" s="1">
        <v>5858000000</v>
      </c>
      <c r="L35" s="1">
        <v>299000000</v>
      </c>
      <c r="M35" s="1">
        <v>-2885000000</v>
      </c>
      <c r="N35" s="1">
        <v>-2841000000</v>
      </c>
      <c r="O35" s="1">
        <v>0</v>
      </c>
      <c r="P35" s="1">
        <v>410000000</v>
      </c>
      <c r="Q35" s="1">
        <v>-3307000000</v>
      </c>
      <c r="R35" s="1">
        <v>-3339000000</v>
      </c>
      <c r="S35" s="1">
        <v>-3366000000</v>
      </c>
      <c r="T35" s="1">
        <v>566000000</v>
      </c>
      <c r="U35" s="1">
        <v>620000000</v>
      </c>
      <c r="V35" s="1">
        <v>688000000</v>
      </c>
      <c r="W35" s="1">
        <v>735000000</v>
      </c>
      <c r="X35" s="1">
        <v>823000000</v>
      </c>
      <c r="Y35" s="1">
        <v>670000000</v>
      </c>
      <c r="Z35" s="1">
        <v>711000000</v>
      </c>
      <c r="AA35" s="1">
        <v>788000000</v>
      </c>
      <c r="AB35" s="1">
        <v>307000000</v>
      </c>
      <c r="AC35" s="1">
        <v>397000000</v>
      </c>
      <c r="AD35" s="1">
        <v>442000000</v>
      </c>
      <c r="AE35" s="1">
        <v>517000000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</row>
    <row r="36" spans="1:71" x14ac:dyDescent="0.2">
      <c r="A36" s="1" t="s">
        <v>49</v>
      </c>
      <c r="B36" s="1">
        <v>0</v>
      </c>
      <c r="C36" s="1">
        <v>2222000000</v>
      </c>
      <c r="D36" s="1">
        <v>2704000000</v>
      </c>
      <c r="E36" s="1">
        <v>3817000000</v>
      </c>
      <c r="F36" s="1">
        <v>3365000000</v>
      </c>
      <c r="G36" s="1">
        <v>4017000000</v>
      </c>
      <c r="H36" s="1">
        <v>4703000000</v>
      </c>
      <c r="I36" s="1">
        <v>5594000000</v>
      </c>
      <c r="J36" s="1">
        <v>2219000000</v>
      </c>
      <c r="K36" s="1">
        <v>3220000000</v>
      </c>
      <c r="L36" s="1">
        <v>-299000000</v>
      </c>
      <c r="M36" s="1">
        <v>2885000000</v>
      </c>
      <c r="N36" s="1">
        <v>2841000000</v>
      </c>
      <c r="O36" s="1">
        <v>0</v>
      </c>
      <c r="P36" s="1">
        <v>3229000000</v>
      </c>
      <c r="Q36" s="1">
        <v>3307000000</v>
      </c>
      <c r="R36" s="1">
        <v>3339000000</v>
      </c>
      <c r="S36" s="1">
        <v>3366000000</v>
      </c>
      <c r="T36" s="1">
        <v>-566000000</v>
      </c>
      <c r="U36" s="1">
        <v>0</v>
      </c>
      <c r="V36" s="1">
        <v>0</v>
      </c>
      <c r="W36" s="1">
        <v>0</v>
      </c>
      <c r="X36" s="1">
        <v>0</v>
      </c>
      <c r="Y36" s="1">
        <v>-670000000</v>
      </c>
      <c r="Z36" s="1">
        <v>0</v>
      </c>
      <c r="AA36" s="1">
        <v>0</v>
      </c>
      <c r="AB36" s="1">
        <v>0</v>
      </c>
      <c r="AC36" s="1">
        <v>1660000000</v>
      </c>
      <c r="AD36" s="1">
        <v>1871000000</v>
      </c>
      <c r="AE36" s="1">
        <v>2076000000</v>
      </c>
      <c r="AF36" s="1">
        <v>169000000</v>
      </c>
      <c r="AG36" s="1">
        <v>178000000</v>
      </c>
      <c r="AH36" s="1">
        <v>266000000</v>
      </c>
      <c r="AI36" s="1">
        <v>1243000000</v>
      </c>
      <c r="AJ36" s="1">
        <v>10019000000</v>
      </c>
      <c r="AK36" s="1">
        <v>9859000000</v>
      </c>
      <c r="AL36" s="1">
        <v>10239000000</v>
      </c>
      <c r="AM36" s="1">
        <v>10274000000</v>
      </c>
      <c r="AN36" s="1">
        <v>10287000000</v>
      </c>
      <c r="AO36" s="1">
        <v>9614000000</v>
      </c>
      <c r="AP36" s="1">
        <v>0</v>
      </c>
      <c r="AQ36" s="1">
        <v>0</v>
      </c>
      <c r="AR36" s="1">
        <v>9000000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</row>
    <row r="37" spans="1:71" x14ac:dyDescent="0.2">
      <c r="A37" s="1" t="s">
        <v>48</v>
      </c>
      <c r="B37" s="1">
        <v>9950000000</v>
      </c>
      <c r="C37" s="1">
        <v>3478000000</v>
      </c>
      <c r="D37" s="1">
        <v>3051000000</v>
      </c>
      <c r="E37" s="1">
        <v>4962000000</v>
      </c>
      <c r="F37" s="1">
        <v>5177000000</v>
      </c>
      <c r="G37" s="1">
        <v>5088000000</v>
      </c>
      <c r="H37" s="1">
        <v>5172000000</v>
      </c>
      <c r="I37" s="1">
        <v>4943000000</v>
      </c>
      <c r="J37" s="1">
        <v>5087000000</v>
      </c>
      <c r="K37" s="1">
        <v>4671000000</v>
      </c>
      <c r="L37" s="1">
        <v>3488000000</v>
      </c>
      <c r="M37" s="1">
        <v>3941000000</v>
      </c>
      <c r="N37" s="1">
        <v>3943000000</v>
      </c>
      <c r="O37" s="1">
        <v>4016000000</v>
      </c>
      <c r="P37" s="1">
        <v>385000000</v>
      </c>
      <c r="Q37" s="1">
        <v>4530000000</v>
      </c>
      <c r="R37" s="1">
        <v>4655000000</v>
      </c>
      <c r="S37" s="1">
        <v>4738000000</v>
      </c>
      <c r="T37" s="1">
        <v>4400000000</v>
      </c>
      <c r="U37" s="1">
        <v>4214000000</v>
      </c>
      <c r="V37" s="1">
        <v>4274000000</v>
      </c>
      <c r="W37" s="1">
        <v>4476000000</v>
      </c>
      <c r="X37" s="1">
        <v>4028000000</v>
      </c>
      <c r="Y37" s="1">
        <v>5264000000</v>
      </c>
      <c r="Z37" s="1">
        <v>4626000000</v>
      </c>
      <c r="AA37" s="1">
        <v>5064000000</v>
      </c>
      <c r="AB37" s="1">
        <v>5306000000</v>
      </c>
      <c r="AC37" s="1">
        <v>3897000000</v>
      </c>
      <c r="AD37" s="1">
        <v>3917000000</v>
      </c>
      <c r="AE37" s="1">
        <v>3840000000</v>
      </c>
      <c r="AF37" s="1">
        <v>3467000000</v>
      </c>
      <c r="AG37" s="1">
        <v>3068000000</v>
      </c>
      <c r="AH37" s="1">
        <v>2998000000</v>
      </c>
      <c r="AI37" s="1">
        <v>4775000000</v>
      </c>
      <c r="AJ37" s="1">
        <v>1253000000</v>
      </c>
      <c r="AK37" s="1">
        <v>1589000000</v>
      </c>
      <c r="AL37" s="1">
        <v>1648000000</v>
      </c>
      <c r="AM37" s="1">
        <v>1649000000</v>
      </c>
      <c r="AN37" s="1">
        <v>1537000000</v>
      </c>
      <c r="AO37" s="1">
        <v>1525000000</v>
      </c>
      <c r="AP37" s="1">
        <v>11330000000</v>
      </c>
      <c r="AQ37" s="1">
        <v>902000000</v>
      </c>
      <c r="AR37" s="1">
        <v>847000000</v>
      </c>
      <c r="AS37" s="1">
        <v>840000000</v>
      </c>
      <c r="AT37" s="1">
        <v>713000000</v>
      </c>
      <c r="AU37" s="1">
        <v>770000000</v>
      </c>
      <c r="AV37" s="1">
        <v>769000000</v>
      </c>
      <c r="AW37" s="1">
        <v>752000000</v>
      </c>
      <c r="AX37" s="1">
        <v>101000000</v>
      </c>
      <c r="AY37" s="1">
        <v>115000000</v>
      </c>
      <c r="AZ37" s="1">
        <v>105000000</v>
      </c>
      <c r="BA37" s="1">
        <v>97000000</v>
      </c>
      <c r="BB37" s="1">
        <v>96000000</v>
      </c>
      <c r="BC37" s="1">
        <v>95000000</v>
      </c>
      <c r="BD37" s="1">
        <v>95000000</v>
      </c>
      <c r="BE37" s="1">
        <v>82000000</v>
      </c>
      <c r="BF37" s="1">
        <v>85000000</v>
      </c>
      <c r="BG37" s="1">
        <v>87000000</v>
      </c>
      <c r="BH37" s="1">
        <v>86000000</v>
      </c>
      <c r="BI37" s="1">
        <v>88000000</v>
      </c>
      <c r="BJ37" s="1">
        <v>86000000</v>
      </c>
      <c r="BK37" s="1">
        <v>85000000</v>
      </c>
      <c r="BL37" s="1">
        <v>83000000</v>
      </c>
      <c r="BM37" s="1">
        <v>68000000</v>
      </c>
      <c r="BN37" s="1">
        <v>67000000</v>
      </c>
      <c r="BO37" s="1">
        <v>65000000</v>
      </c>
      <c r="BP37" s="1">
        <v>64000000</v>
      </c>
      <c r="BQ37" s="1">
        <v>63000000</v>
      </c>
      <c r="BR37" s="1">
        <v>61000000</v>
      </c>
      <c r="BS37" s="1">
        <v>55000000</v>
      </c>
    </row>
    <row r="38" spans="1:71" x14ac:dyDescent="0.2">
      <c r="A38" s="6" t="s">
        <v>47</v>
      </c>
      <c r="B38" s="4">
        <v>72605000000</v>
      </c>
      <c r="C38" s="4">
        <v>73172000000</v>
      </c>
      <c r="D38" s="4">
        <v>71286000000</v>
      </c>
      <c r="E38" s="4">
        <v>75640000000</v>
      </c>
      <c r="F38" s="4">
        <v>74447000000</v>
      </c>
      <c r="G38" s="4">
        <v>74659000000</v>
      </c>
      <c r="H38" s="4">
        <v>81270000000</v>
      </c>
      <c r="I38" s="4">
        <v>83094000000</v>
      </c>
      <c r="J38" s="4">
        <v>85079000000</v>
      </c>
      <c r="K38" s="4">
        <v>87217000000</v>
      </c>
      <c r="L38" s="4">
        <v>41468000000</v>
      </c>
      <c r="M38" s="4">
        <v>42171000000</v>
      </c>
      <c r="N38" s="4">
        <v>42149000000</v>
      </c>
      <c r="O38" s="4">
        <v>42183000000</v>
      </c>
      <c r="P38" s="4">
        <v>43488000000</v>
      </c>
      <c r="Q38" s="4">
        <v>43721000000</v>
      </c>
      <c r="R38" s="4">
        <v>43819000000</v>
      </c>
      <c r="S38" s="4">
        <v>43943000000</v>
      </c>
      <c r="T38" s="4">
        <v>44300000000</v>
      </c>
      <c r="U38" s="4">
        <v>45012000000</v>
      </c>
      <c r="V38" s="4">
        <v>45122000000</v>
      </c>
      <c r="W38" s="4">
        <v>46279000000</v>
      </c>
      <c r="X38" s="4">
        <v>45661000000</v>
      </c>
      <c r="Y38" s="4">
        <v>49011000000</v>
      </c>
      <c r="Z38" s="4">
        <v>50977000000</v>
      </c>
      <c r="AA38" s="4">
        <v>48871000000</v>
      </c>
      <c r="AB38" s="4">
        <v>35624000000</v>
      </c>
      <c r="AC38" s="4">
        <v>39982000000</v>
      </c>
      <c r="AD38" s="4">
        <v>40241000000</v>
      </c>
      <c r="AE38" s="4">
        <v>40537000000</v>
      </c>
      <c r="AF38" s="4">
        <v>21129000000</v>
      </c>
      <c r="AG38" s="4">
        <v>20733000000</v>
      </c>
      <c r="AH38" s="4">
        <v>20745000000</v>
      </c>
      <c r="AI38" s="4">
        <v>23493000000</v>
      </c>
      <c r="AJ38" s="4">
        <v>28644000000</v>
      </c>
      <c r="AK38" s="4">
        <v>25020000000</v>
      </c>
      <c r="AL38" s="4">
        <v>25454000000</v>
      </c>
      <c r="AM38" s="4">
        <v>25485000000</v>
      </c>
      <c r="AN38" s="4">
        <v>25012000000</v>
      </c>
      <c r="AO38" s="4">
        <v>24520000000</v>
      </c>
      <c r="AP38" s="4">
        <v>25994000000</v>
      </c>
      <c r="AQ38" s="4">
        <v>4794000000</v>
      </c>
      <c r="AR38" s="4">
        <v>4759000000</v>
      </c>
      <c r="AS38" s="4">
        <v>4755000000</v>
      </c>
      <c r="AT38" s="4">
        <v>5565000000</v>
      </c>
      <c r="AU38" s="4">
        <v>6224000000</v>
      </c>
      <c r="AV38" s="4">
        <v>6219000000</v>
      </c>
      <c r="AW38" s="4">
        <v>6224000000</v>
      </c>
      <c r="AX38" s="4">
        <v>101000000</v>
      </c>
      <c r="AY38" s="4">
        <v>116000000</v>
      </c>
      <c r="AZ38" s="4">
        <v>106000000</v>
      </c>
      <c r="BA38" s="4">
        <v>98000000</v>
      </c>
      <c r="BB38" s="4">
        <v>98000000</v>
      </c>
      <c r="BC38" s="4">
        <v>97000000</v>
      </c>
      <c r="BD38" s="4">
        <v>97000000</v>
      </c>
      <c r="BE38" s="4">
        <v>84000000</v>
      </c>
      <c r="BF38" s="4">
        <v>88000000</v>
      </c>
      <c r="BG38" s="4">
        <v>90000000</v>
      </c>
      <c r="BH38" s="4">
        <v>90000000</v>
      </c>
      <c r="BI38" s="4">
        <v>92000000</v>
      </c>
      <c r="BJ38" s="4">
        <v>90000000</v>
      </c>
      <c r="BK38" s="4">
        <v>90000000</v>
      </c>
      <c r="BL38" s="4">
        <v>87000000</v>
      </c>
      <c r="BM38" s="4">
        <v>302000000</v>
      </c>
      <c r="BN38" s="4">
        <v>301000000</v>
      </c>
      <c r="BO38" s="4">
        <v>297000000</v>
      </c>
      <c r="BP38" s="4">
        <v>297000000</v>
      </c>
      <c r="BQ38" s="4">
        <v>766000000</v>
      </c>
      <c r="BR38" s="4">
        <v>765000000</v>
      </c>
      <c r="BS38" s="4">
        <v>763000000</v>
      </c>
    </row>
    <row r="40" spans="1:71" x14ac:dyDescent="0.2">
      <c r="A40" s="1" t="s">
        <v>46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</row>
    <row r="41" spans="1:71" x14ac:dyDescent="0.2">
      <c r="A41" s="6" t="s">
        <v>45</v>
      </c>
      <c r="B41" s="5">
        <v>91467000000</v>
      </c>
      <c r="C41" s="5">
        <v>90031000000</v>
      </c>
      <c r="D41" s="5">
        <v>89800000000</v>
      </c>
      <c r="E41" s="5">
        <v>92344000000</v>
      </c>
      <c r="F41" s="5">
        <v>95044000000</v>
      </c>
      <c r="G41" s="5">
        <v>95569000000</v>
      </c>
      <c r="H41" s="5">
        <v>97967000000</v>
      </c>
      <c r="I41" s="5">
        <v>102315000000</v>
      </c>
      <c r="J41" s="5">
        <v>105250000000</v>
      </c>
      <c r="K41" s="5">
        <v>107586000000</v>
      </c>
      <c r="L41" s="5">
        <v>48873000000</v>
      </c>
      <c r="M41" s="5">
        <v>49516000000</v>
      </c>
      <c r="N41" s="5">
        <v>49660000000</v>
      </c>
      <c r="O41" s="5">
        <v>49666000000</v>
      </c>
      <c r="P41" s="5">
        <v>50540000000</v>
      </c>
      <c r="Q41" s="5">
        <v>50423000000</v>
      </c>
      <c r="R41" s="5">
        <v>50729000000</v>
      </c>
      <c r="S41" s="5">
        <v>50230000000</v>
      </c>
      <c r="T41" s="5">
        <v>50581000000</v>
      </c>
      <c r="U41" s="5">
        <v>51513000000</v>
      </c>
      <c r="V41" s="5">
        <v>51558000000</v>
      </c>
      <c r="W41" s="5">
        <v>52973000000</v>
      </c>
      <c r="X41" s="5">
        <v>52032000000</v>
      </c>
      <c r="Y41" s="5">
        <v>55713000000</v>
      </c>
      <c r="Z41" s="5">
        <v>57578000000</v>
      </c>
      <c r="AA41" s="5">
        <v>56610000000</v>
      </c>
      <c r="AB41" s="5">
        <v>42523000000</v>
      </c>
      <c r="AC41" s="5">
        <v>48264000000</v>
      </c>
      <c r="AD41" s="5">
        <v>48744000000</v>
      </c>
      <c r="AE41" s="5">
        <v>48886000000</v>
      </c>
      <c r="AF41" s="5">
        <v>23467000000</v>
      </c>
      <c r="AG41" s="5">
        <v>22920000000</v>
      </c>
      <c r="AH41" s="5">
        <v>22869000000</v>
      </c>
      <c r="AI41" s="5">
        <v>25463000000</v>
      </c>
      <c r="AJ41" s="5">
        <v>31122000000</v>
      </c>
      <c r="AK41" s="5">
        <v>27238000000</v>
      </c>
      <c r="AL41" s="5">
        <v>27506000000</v>
      </c>
      <c r="AM41" s="5">
        <v>27607000000</v>
      </c>
      <c r="AN41" s="5">
        <v>28090000000</v>
      </c>
      <c r="AO41" s="5">
        <v>27248000000</v>
      </c>
      <c r="AP41" s="5">
        <v>28645000000</v>
      </c>
      <c r="AQ41" s="5">
        <v>5656000000</v>
      </c>
      <c r="AR41" s="5">
        <v>5878000000</v>
      </c>
      <c r="AS41" s="5">
        <v>5707000000</v>
      </c>
      <c r="AT41" s="5">
        <v>6471000000</v>
      </c>
      <c r="AU41" s="5">
        <v>7069000000</v>
      </c>
      <c r="AV41" s="5">
        <v>7248000000</v>
      </c>
      <c r="AW41" s="5">
        <v>7204000000</v>
      </c>
      <c r="AX41" s="5">
        <v>517000000</v>
      </c>
      <c r="AY41" s="5">
        <v>480000000</v>
      </c>
      <c r="AZ41" s="5">
        <v>529000000</v>
      </c>
      <c r="BA41" s="5">
        <v>473000000</v>
      </c>
      <c r="BB41" s="5">
        <v>428000000</v>
      </c>
      <c r="BC41" s="5">
        <v>374000000</v>
      </c>
      <c r="BD41" s="5">
        <v>443000000</v>
      </c>
      <c r="BE41" s="5">
        <v>426000000</v>
      </c>
      <c r="BF41" s="5">
        <v>444000000</v>
      </c>
      <c r="BG41" s="5">
        <v>404000000</v>
      </c>
      <c r="BH41" s="5">
        <v>440000000</v>
      </c>
      <c r="BI41" s="5">
        <v>403000000</v>
      </c>
      <c r="BJ41" s="5">
        <v>386000000</v>
      </c>
      <c r="BK41" s="5">
        <v>327000000</v>
      </c>
      <c r="BL41" s="5">
        <v>652000000</v>
      </c>
      <c r="BM41" s="5">
        <v>587000000</v>
      </c>
      <c r="BN41" s="5">
        <v>582000000</v>
      </c>
      <c r="BO41" s="5">
        <v>545000000</v>
      </c>
      <c r="BP41" s="5">
        <v>930000000</v>
      </c>
      <c r="BQ41" s="5">
        <v>1017000000</v>
      </c>
      <c r="BR41" s="5">
        <v>1047000000</v>
      </c>
      <c r="BS41" s="5">
        <v>1091000000</v>
      </c>
    </row>
    <row r="43" spans="1:71" x14ac:dyDescent="0.2">
      <c r="A43" s="1" t="s">
        <v>44</v>
      </c>
      <c r="B43" s="1">
        <v>5000000</v>
      </c>
      <c r="C43" s="1">
        <v>5000000</v>
      </c>
      <c r="D43" s="1">
        <v>5000000</v>
      </c>
      <c r="E43" s="1">
        <v>5000000</v>
      </c>
      <c r="F43" s="1">
        <v>5000000</v>
      </c>
      <c r="G43" s="1">
        <v>5000000</v>
      </c>
      <c r="H43" s="1">
        <v>5000000</v>
      </c>
      <c r="I43" s="1">
        <v>5000000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21619000000</v>
      </c>
      <c r="AD43" s="1">
        <v>22288000000</v>
      </c>
      <c r="AE43" s="1">
        <v>23081000000</v>
      </c>
      <c r="AF43" s="1">
        <v>23285000000</v>
      </c>
      <c r="AG43" s="1">
        <v>23291000000</v>
      </c>
      <c r="AH43" s="1">
        <v>24305000000</v>
      </c>
      <c r="AI43" s="1">
        <v>20851000000</v>
      </c>
      <c r="AJ43" s="1">
        <v>20505000000</v>
      </c>
      <c r="AK43" s="1">
        <v>20180000000</v>
      </c>
      <c r="AL43" s="1">
        <v>19869000000</v>
      </c>
      <c r="AM43" s="1">
        <v>19504000000</v>
      </c>
      <c r="AN43" s="1">
        <v>19241000000</v>
      </c>
      <c r="AO43" s="1">
        <v>18926000000</v>
      </c>
      <c r="AP43" s="1">
        <v>18659000000</v>
      </c>
      <c r="AQ43" s="1">
        <v>2699000000</v>
      </c>
      <c r="AR43" s="1">
        <v>2547000000</v>
      </c>
      <c r="AS43" s="1">
        <v>2403000000</v>
      </c>
      <c r="AT43" s="1">
        <v>2319000000</v>
      </c>
      <c r="AU43" s="1">
        <v>2131000000</v>
      </c>
      <c r="AV43" s="1">
        <v>2009000000</v>
      </c>
      <c r="AW43" s="1">
        <v>1875000000</v>
      </c>
      <c r="AX43" s="1">
        <v>1694000000</v>
      </c>
      <c r="AY43" s="1">
        <v>1622000000</v>
      </c>
      <c r="AZ43" s="1">
        <v>1587000000</v>
      </c>
      <c r="BA43" s="1">
        <v>1538000000</v>
      </c>
      <c r="BB43" s="1">
        <v>1518000000</v>
      </c>
      <c r="BC43" s="1">
        <v>1493000000</v>
      </c>
      <c r="BD43" s="1">
        <v>1479000000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</row>
    <row r="44" spans="1:71" x14ac:dyDescent="0.2">
      <c r="A44" s="1" t="s">
        <v>43</v>
      </c>
      <c r="B44" s="1">
        <v>12166000000</v>
      </c>
      <c r="C44" s="1">
        <v>6520000000</v>
      </c>
      <c r="D44" s="1">
        <v>9761000000</v>
      </c>
      <c r="E44" s="1">
        <v>4040000000</v>
      </c>
      <c r="F44" s="1">
        <v>2686000000</v>
      </c>
      <c r="G44" s="1">
        <v>2729000000</v>
      </c>
      <c r="H44" s="1">
        <v>0</v>
      </c>
      <c r="I44" s="1">
        <v>-1875000000</v>
      </c>
      <c r="J44" s="1">
        <v>0</v>
      </c>
      <c r="K44" s="1">
        <v>0</v>
      </c>
      <c r="L44" s="1">
        <v>2682000000</v>
      </c>
      <c r="M44" s="1">
        <v>1178000000</v>
      </c>
      <c r="N44" s="1">
        <v>1363000000</v>
      </c>
      <c r="O44" s="1">
        <v>2371000000</v>
      </c>
      <c r="P44" s="1">
        <v>1604000000</v>
      </c>
      <c r="Q44" s="1">
        <v>0</v>
      </c>
      <c r="R44" s="1">
        <v>0</v>
      </c>
      <c r="S44" s="1">
        <v>0</v>
      </c>
      <c r="T44" s="1">
        <v>748000000</v>
      </c>
      <c r="U44" s="1">
        <v>320000000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259000000</v>
      </c>
      <c r="AF44" s="1">
        <v>3487000000</v>
      </c>
      <c r="AG44" s="1">
        <v>4267000000</v>
      </c>
      <c r="AH44" s="1">
        <v>7868000000</v>
      </c>
      <c r="AI44" s="1">
        <v>5132000000</v>
      </c>
      <c r="AJ44" s="1">
        <v>-129000000</v>
      </c>
      <c r="AK44" s="1">
        <v>-245000000</v>
      </c>
      <c r="AL44" s="1">
        <v>-311000000</v>
      </c>
      <c r="AM44" s="1">
        <v>-337000000</v>
      </c>
      <c r="AN44" s="1">
        <v>-215000000</v>
      </c>
      <c r="AO44" s="1">
        <v>619000000</v>
      </c>
      <c r="AP44" s="1">
        <v>1116000000</v>
      </c>
      <c r="AQ44" s="1">
        <v>2495000000</v>
      </c>
      <c r="AR44" s="1">
        <v>2240000000</v>
      </c>
      <c r="AS44" s="1">
        <v>1927000000</v>
      </c>
      <c r="AT44" s="1">
        <v>1791000000</v>
      </c>
      <c r="AU44" s="1">
        <v>1546000000</v>
      </c>
      <c r="AV44" s="1">
        <v>1284000000</v>
      </c>
      <c r="AW44" s="1">
        <v>1230000000</v>
      </c>
      <c r="AX44" s="1">
        <v>1467000000</v>
      </c>
      <c r="AY44" s="1">
        <v>1377000000</v>
      </c>
      <c r="AZ44" s="1">
        <v>1305000000</v>
      </c>
      <c r="BA44" s="1">
        <v>1190000000</v>
      </c>
      <c r="BB44" s="1">
        <v>1100000000</v>
      </c>
      <c r="BC44" s="1">
        <v>1034000000</v>
      </c>
      <c r="BD44" s="1">
        <v>951000000</v>
      </c>
      <c r="BE44" s="1">
        <v>831000000</v>
      </c>
      <c r="BF44" s="1">
        <v>723000000</v>
      </c>
      <c r="BG44" s="1">
        <v>621000000</v>
      </c>
      <c r="BH44" s="1">
        <v>525000000</v>
      </c>
      <c r="BI44" s="1">
        <v>398000000</v>
      </c>
      <c r="BJ44" s="1">
        <v>276000000</v>
      </c>
      <c r="BK44" s="1">
        <v>161000000</v>
      </c>
      <c r="BL44" s="1">
        <v>59000000</v>
      </c>
      <c r="BM44" s="1">
        <v>-105000000</v>
      </c>
      <c r="BN44" s="1">
        <v>-228000000</v>
      </c>
      <c r="BO44" s="1">
        <v>-318000000</v>
      </c>
      <c r="BP44" s="1">
        <v>-356000000</v>
      </c>
      <c r="BQ44" s="1">
        <v>-335000000</v>
      </c>
      <c r="BR44" s="1">
        <v>-337000000</v>
      </c>
      <c r="BS44" s="1">
        <v>-312000000</v>
      </c>
    </row>
    <row r="45" spans="1:71" x14ac:dyDescent="0.2">
      <c r="A45" s="1" t="s">
        <v>42</v>
      </c>
      <c r="B45" s="1">
        <v>208000000</v>
      </c>
      <c r="C45" s="1">
        <v>212000000</v>
      </c>
      <c r="D45" s="1">
        <v>218000000</v>
      </c>
      <c r="E45" s="1">
        <v>221000000</v>
      </c>
      <c r="F45" s="1">
        <v>206000000</v>
      </c>
      <c r="G45" s="1">
        <v>207000000</v>
      </c>
      <c r="H45" s="1">
        <v>207000000</v>
      </c>
      <c r="I45" s="1">
        <v>208000000</v>
      </c>
      <c r="J45" s="1">
        <v>207000000</v>
      </c>
      <c r="K45" s="1">
        <v>207000000</v>
      </c>
      <c r="L45" s="1">
        <v>207000000</v>
      </c>
      <c r="M45" s="1">
        <v>46000000</v>
      </c>
      <c r="N45" s="1">
        <v>-182000000</v>
      </c>
      <c r="O45" s="1">
        <v>-180000000</v>
      </c>
      <c r="P45" s="1">
        <v>-54000000</v>
      </c>
      <c r="Q45" s="1">
        <v>-114000000</v>
      </c>
      <c r="R45" s="1">
        <v>-115000000</v>
      </c>
      <c r="S45" s="1">
        <v>-115000000</v>
      </c>
      <c r="T45" s="1">
        <v>-116000000</v>
      </c>
      <c r="U45" s="1">
        <v>-106000000</v>
      </c>
      <c r="V45" s="1">
        <v>-106000000</v>
      </c>
      <c r="W45" s="1">
        <v>-107000000</v>
      </c>
      <c r="X45" s="1">
        <v>-108000000</v>
      </c>
      <c r="Y45" s="1">
        <v>-131000000</v>
      </c>
      <c r="Z45" s="1">
        <v>-131000000</v>
      </c>
      <c r="AA45" s="1">
        <v>-132000000</v>
      </c>
      <c r="AB45" s="1">
        <v>-140000000</v>
      </c>
      <c r="AC45" s="1">
        <v>-116000000</v>
      </c>
      <c r="AD45" s="1">
        <v>-116000000</v>
      </c>
      <c r="AE45" s="1">
        <v>-116000000</v>
      </c>
      <c r="AF45" s="1">
        <v>-115000000</v>
      </c>
      <c r="AG45" s="1">
        <v>-106000000</v>
      </c>
      <c r="AH45" s="1">
        <v>-106000000</v>
      </c>
      <c r="AI45" s="1">
        <v>-82000000</v>
      </c>
      <c r="AJ45" s="1">
        <v>-91000000</v>
      </c>
      <c r="AK45" s="1">
        <v>-133000000</v>
      </c>
      <c r="AL45" s="1">
        <v>-133000000</v>
      </c>
      <c r="AM45" s="1">
        <v>-134000000</v>
      </c>
      <c r="AN45" s="1">
        <v>-134000000</v>
      </c>
      <c r="AO45" s="1">
        <v>-72000000</v>
      </c>
      <c r="AP45" s="1">
        <v>-73000000</v>
      </c>
      <c r="AQ45" s="1">
        <v>-73000000</v>
      </c>
      <c r="AR45" s="1">
        <v>-73000000</v>
      </c>
      <c r="AS45" s="1">
        <v>-49000000</v>
      </c>
      <c r="AT45" s="1">
        <v>-49000000</v>
      </c>
      <c r="AU45" s="1">
        <v>-49000000</v>
      </c>
      <c r="AV45" s="1">
        <v>-50000000</v>
      </c>
      <c r="AW45" s="1">
        <v>-7000000</v>
      </c>
      <c r="AX45" s="1">
        <v>-7000000</v>
      </c>
      <c r="AY45" s="1">
        <v>-7000000</v>
      </c>
      <c r="AZ45" s="1">
        <v>-6000000</v>
      </c>
      <c r="BA45" s="1">
        <v>-2000000</v>
      </c>
      <c r="BB45" s="1">
        <v>-7000000</v>
      </c>
      <c r="BC45" s="1">
        <v>-9000000</v>
      </c>
      <c r="BD45" s="1">
        <v>-11000000</v>
      </c>
      <c r="BE45" s="1">
        <v>2000000</v>
      </c>
      <c r="BF45" s="1">
        <v>2000000</v>
      </c>
      <c r="BG45" s="1">
        <v>3000000</v>
      </c>
      <c r="BH45" s="1">
        <v>2000000</v>
      </c>
      <c r="BI45" s="1">
        <v>0</v>
      </c>
      <c r="BJ45" s="1">
        <v>-3000000</v>
      </c>
      <c r="BK45" s="1">
        <v>-4000000</v>
      </c>
      <c r="BL45" s="1">
        <v>-4000000</v>
      </c>
      <c r="BM45" s="1">
        <v>3000000</v>
      </c>
      <c r="BN45" s="1">
        <v>3000000</v>
      </c>
      <c r="BO45" s="1">
        <v>3000000</v>
      </c>
      <c r="BP45" s="1">
        <v>3000000</v>
      </c>
      <c r="BQ45" s="1">
        <v>9000000</v>
      </c>
      <c r="BR45" s="1">
        <v>9000000</v>
      </c>
      <c r="BS45" s="1">
        <v>8000000</v>
      </c>
    </row>
    <row r="46" spans="1:71" x14ac:dyDescent="0.2">
      <c r="A46" s="1" t="s">
        <v>41</v>
      </c>
      <c r="B46" s="1">
        <v>75312000000</v>
      </c>
      <c r="C46" s="1">
        <v>73135000000</v>
      </c>
      <c r="D46" s="1">
        <v>71308000000</v>
      </c>
      <c r="E46" s="1">
        <v>69011000000</v>
      </c>
      <c r="F46" s="1">
        <v>66689000000</v>
      </c>
      <c r="G46" s="1">
        <v>66848000000</v>
      </c>
      <c r="H46" s="1">
        <v>67466000000</v>
      </c>
      <c r="I46" s="1">
        <v>67313000000</v>
      </c>
      <c r="J46" s="1">
        <v>69754000000</v>
      </c>
      <c r="K46" s="1">
        <v>70077000000</v>
      </c>
      <c r="L46" s="1">
        <v>21099000000</v>
      </c>
      <c r="M46" s="1">
        <v>20855000000</v>
      </c>
      <c r="N46" s="1">
        <v>20826000000</v>
      </c>
      <c r="O46" s="1">
        <v>21119000000</v>
      </c>
      <c r="P46" s="1">
        <v>21159000000</v>
      </c>
      <c r="Q46" s="1">
        <v>20990000000</v>
      </c>
      <c r="R46" s="1">
        <v>21078000000</v>
      </c>
      <c r="S46" s="1">
        <v>23083000000</v>
      </c>
      <c r="T46" s="1">
        <v>24330000000</v>
      </c>
      <c r="U46" s="1">
        <v>24126000000</v>
      </c>
      <c r="V46" s="1">
        <v>24045000000</v>
      </c>
      <c r="W46" s="1">
        <v>24080000000</v>
      </c>
      <c r="X46" s="1">
        <v>23982000000</v>
      </c>
      <c r="Y46" s="1">
        <v>23688000000</v>
      </c>
      <c r="Z46" s="1">
        <v>24073000000</v>
      </c>
      <c r="AA46" s="1">
        <v>24500000000</v>
      </c>
      <c r="AB46" s="1">
        <v>25081000000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1456000000</v>
      </c>
      <c r="BF46" s="1">
        <v>1442000000</v>
      </c>
      <c r="BG46" s="1">
        <v>1416000000</v>
      </c>
      <c r="BH46" s="1">
        <v>1479000000</v>
      </c>
      <c r="BI46" s="1">
        <v>1472000000</v>
      </c>
      <c r="BJ46" s="1">
        <v>1518000000</v>
      </c>
      <c r="BK46" s="1">
        <v>1487000000</v>
      </c>
      <c r="BL46" s="1">
        <v>1450000000</v>
      </c>
      <c r="BM46" s="1">
        <v>1435000000</v>
      </c>
      <c r="BN46" s="1">
        <v>1425000000</v>
      </c>
      <c r="BO46" s="1">
        <v>1402000000</v>
      </c>
      <c r="BP46" s="1">
        <v>1393000000</v>
      </c>
      <c r="BQ46" s="1">
        <v>1084000000</v>
      </c>
      <c r="BR46" s="1">
        <v>1086000000</v>
      </c>
      <c r="BS46" s="1">
        <v>1084000000</v>
      </c>
    </row>
    <row r="47" spans="1:71" x14ac:dyDescent="0.2">
      <c r="A47" s="6" t="s">
        <v>40</v>
      </c>
      <c r="B47" s="5">
        <v>87691000000</v>
      </c>
      <c r="C47" s="5">
        <v>79872000000</v>
      </c>
      <c r="D47" s="5">
        <v>81292000000</v>
      </c>
      <c r="E47" s="5">
        <v>73277000000</v>
      </c>
      <c r="F47" s="5">
        <v>69586000000</v>
      </c>
      <c r="G47" s="5">
        <v>69789000000</v>
      </c>
      <c r="H47" s="5">
        <v>67678000000</v>
      </c>
      <c r="I47" s="5">
        <v>65651000000</v>
      </c>
      <c r="J47" s="5">
        <v>69961000000</v>
      </c>
      <c r="K47" s="5">
        <v>70284000000</v>
      </c>
      <c r="L47" s="5">
        <v>23988000000</v>
      </c>
      <c r="M47" s="5">
        <v>22079000000</v>
      </c>
      <c r="N47" s="5">
        <v>22007000000</v>
      </c>
      <c r="O47" s="5">
        <v>23310000000</v>
      </c>
      <c r="P47" s="5">
        <v>22709000000</v>
      </c>
      <c r="Q47" s="5">
        <v>20903000000</v>
      </c>
      <c r="R47" s="5">
        <v>20990000000</v>
      </c>
      <c r="S47" s="5">
        <v>22994000000</v>
      </c>
      <c r="T47" s="5">
        <v>24989000000</v>
      </c>
      <c r="U47" s="5">
        <v>24367000000</v>
      </c>
      <c r="V47" s="5">
        <v>23966000000</v>
      </c>
      <c r="W47" s="5">
        <v>23999000000</v>
      </c>
      <c r="X47" s="5">
        <v>23901000000</v>
      </c>
      <c r="Y47" s="5">
        <v>23585000000</v>
      </c>
      <c r="Z47" s="5">
        <v>23970000000</v>
      </c>
      <c r="AA47" s="5">
        <v>24396000000</v>
      </c>
      <c r="AB47" s="5">
        <v>24970000000</v>
      </c>
      <c r="AC47" s="5">
        <v>21503000000</v>
      </c>
      <c r="AD47" s="5">
        <v>22172000000</v>
      </c>
      <c r="AE47" s="5">
        <v>23224000000</v>
      </c>
      <c r="AF47" s="5">
        <v>26657000000</v>
      </c>
      <c r="AG47" s="5">
        <v>27452000000</v>
      </c>
      <c r="AH47" s="5">
        <v>32067000000</v>
      </c>
      <c r="AI47" s="5">
        <v>25901000000</v>
      </c>
      <c r="AJ47" s="5">
        <v>20285000000</v>
      </c>
      <c r="AK47" s="5">
        <v>19802000000</v>
      </c>
      <c r="AL47" s="5">
        <v>19425000000</v>
      </c>
      <c r="AM47" s="5">
        <v>19033000000</v>
      </c>
      <c r="AN47" s="5">
        <v>18892000000</v>
      </c>
      <c r="AO47" s="5">
        <v>19473000000</v>
      </c>
      <c r="AP47" s="5">
        <v>19702000000</v>
      </c>
      <c r="AQ47" s="5">
        <v>5121000000</v>
      </c>
      <c r="AR47" s="5">
        <v>4714000000</v>
      </c>
      <c r="AS47" s="5">
        <v>4281000000</v>
      </c>
      <c r="AT47" s="5">
        <v>4061000000</v>
      </c>
      <c r="AU47" s="5">
        <v>3628000000</v>
      </c>
      <c r="AV47" s="5">
        <v>3243000000</v>
      </c>
      <c r="AW47" s="5">
        <v>3098000000</v>
      </c>
      <c r="AX47" s="5">
        <v>3154000000</v>
      </c>
      <c r="AY47" s="5">
        <v>2992000000</v>
      </c>
      <c r="AZ47" s="5">
        <v>2886000000</v>
      </c>
      <c r="BA47" s="5">
        <v>2726000000</v>
      </c>
      <c r="BB47" s="5">
        <v>2611000000</v>
      </c>
      <c r="BC47" s="5">
        <v>2518000000</v>
      </c>
      <c r="BD47" s="5">
        <v>2419000000</v>
      </c>
      <c r="BE47" s="5">
        <v>2289000000</v>
      </c>
      <c r="BF47" s="5">
        <v>2167000000</v>
      </c>
      <c r="BG47" s="5">
        <v>2040000000</v>
      </c>
      <c r="BH47" s="5">
        <v>2006000000</v>
      </c>
      <c r="BI47" s="5">
        <v>1870000000</v>
      </c>
      <c r="BJ47" s="5">
        <v>1791000000</v>
      </c>
      <c r="BK47" s="5">
        <v>1644000000</v>
      </c>
      <c r="BL47" s="5">
        <v>1505000000</v>
      </c>
      <c r="BM47" s="5">
        <v>1333000000</v>
      </c>
      <c r="BN47" s="5">
        <v>1200000000</v>
      </c>
      <c r="BO47" s="5">
        <v>1087000000</v>
      </c>
      <c r="BP47" s="5">
        <v>1040000000</v>
      </c>
      <c r="BQ47" s="5">
        <v>758000000</v>
      </c>
      <c r="BR47" s="5">
        <v>758000000</v>
      </c>
      <c r="BS47" s="5">
        <v>780000000</v>
      </c>
    </row>
    <row r="49" spans="1:71" x14ac:dyDescent="0.2">
      <c r="A49" s="1" t="s">
        <v>39</v>
      </c>
      <c r="B49" s="1">
        <v>179158000000</v>
      </c>
      <c r="C49" s="1">
        <v>169903000000</v>
      </c>
      <c r="D49" s="1">
        <v>171092000000</v>
      </c>
      <c r="E49" s="1">
        <v>165621000000</v>
      </c>
      <c r="F49" s="1">
        <v>164630000000</v>
      </c>
      <c r="G49" s="1">
        <v>165358000000</v>
      </c>
      <c r="H49" s="1">
        <v>165645000000</v>
      </c>
      <c r="I49" s="1">
        <v>167966000000</v>
      </c>
      <c r="J49" s="1">
        <v>175211000000</v>
      </c>
      <c r="K49" s="1">
        <v>177870000000</v>
      </c>
      <c r="L49" s="1">
        <v>72861000000</v>
      </c>
      <c r="M49" s="1">
        <v>71595000000</v>
      </c>
      <c r="N49" s="1">
        <v>71667000000</v>
      </c>
      <c r="O49" s="1">
        <v>72976000000</v>
      </c>
      <c r="P49" s="1">
        <v>73249000000</v>
      </c>
      <c r="Q49" s="1">
        <v>71326000000</v>
      </c>
      <c r="R49" s="1">
        <v>71719000000</v>
      </c>
      <c r="S49" s="1">
        <v>73224000000</v>
      </c>
      <c r="T49" s="1">
        <v>75570000000</v>
      </c>
      <c r="U49" s="1">
        <v>75880000000</v>
      </c>
      <c r="V49" s="1">
        <v>75524000000</v>
      </c>
      <c r="W49" s="1">
        <v>76972000000</v>
      </c>
      <c r="X49" s="1">
        <v>75933000000</v>
      </c>
      <c r="Y49" s="1">
        <v>79298000000</v>
      </c>
      <c r="Z49" s="1">
        <v>81548000000</v>
      </c>
      <c r="AA49" s="1">
        <v>81006000000</v>
      </c>
      <c r="AB49" s="1">
        <v>67493000000</v>
      </c>
      <c r="AC49" s="1">
        <v>69767000000</v>
      </c>
      <c r="AD49" s="1">
        <v>70916000000</v>
      </c>
      <c r="AE49" s="1">
        <v>72110000000</v>
      </c>
      <c r="AF49" s="1">
        <v>50124000000</v>
      </c>
      <c r="AG49" s="1">
        <v>50372000000</v>
      </c>
      <c r="AH49" s="1">
        <v>54936000000</v>
      </c>
      <c r="AI49" s="1">
        <v>54544000000</v>
      </c>
      <c r="AJ49" s="1">
        <v>54418000000</v>
      </c>
      <c r="AK49" s="1">
        <v>49942000000</v>
      </c>
      <c r="AL49" s="1">
        <v>49849000000</v>
      </c>
      <c r="AM49" s="1">
        <v>49617000000</v>
      </c>
      <c r="AN49" s="1">
        <v>49966000000</v>
      </c>
      <c r="AO49" s="1">
        <v>49752000000</v>
      </c>
      <c r="AP49" s="1">
        <v>51407000000</v>
      </c>
      <c r="AQ49" s="1">
        <v>10777000000</v>
      </c>
      <c r="AR49" s="1">
        <v>10592000000</v>
      </c>
      <c r="AS49" s="1">
        <v>9988000000</v>
      </c>
      <c r="AT49" s="1">
        <v>10532000000</v>
      </c>
      <c r="AU49" s="1">
        <v>10697000000</v>
      </c>
      <c r="AV49" s="1">
        <v>10491000000</v>
      </c>
      <c r="AW49" s="1">
        <v>10302000000</v>
      </c>
      <c r="AX49" s="1">
        <v>3671000000</v>
      </c>
      <c r="AY49" s="1">
        <v>3472000000</v>
      </c>
      <c r="AZ49" s="1">
        <v>3415000000</v>
      </c>
      <c r="BA49" s="1">
        <v>3199000000</v>
      </c>
      <c r="BB49" s="1">
        <v>3039000000</v>
      </c>
      <c r="BC49" s="1">
        <v>2892000000</v>
      </c>
      <c r="BD49" s="1">
        <v>2862000000</v>
      </c>
      <c r="BE49" s="1">
        <v>2715000000</v>
      </c>
      <c r="BF49" s="1">
        <v>2611000000</v>
      </c>
      <c r="BG49" s="1">
        <v>2444000000</v>
      </c>
      <c r="BH49" s="1">
        <v>2446000000</v>
      </c>
      <c r="BI49" s="1">
        <v>2273000000</v>
      </c>
      <c r="BJ49" s="1">
        <v>2177000000</v>
      </c>
      <c r="BK49" s="1">
        <v>1971000000</v>
      </c>
      <c r="BL49" s="1">
        <v>2157000000</v>
      </c>
      <c r="BM49" s="1">
        <v>1920000000</v>
      </c>
      <c r="BN49" s="1">
        <v>1782000000</v>
      </c>
      <c r="BO49" s="1">
        <v>1632000000</v>
      </c>
      <c r="BP49" s="1">
        <v>1970000000</v>
      </c>
      <c r="BQ49" s="1">
        <v>1775000000</v>
      </c>
      <c r="BR49" s="1">
        <v>1805000000</v>
      </c>
      <c r="BS49" s="1">
        <v>1871000000</v>
      </c>
    </row>
    <row r="50" spans="1:71" x14ac:dyDescent="0.2">
      <c r="A50" s="1" t="s">
        <v>38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-1660000000</v>
      </c>
      <c r="AD50" s="1">
        <v>-1871000000</v>
      </c>
      <c r="AE50" s="1">
        <v>0</v>
      </c>
      <c r="AF50" s="1">
        <v>0</v>
      </c>
      <c r="AG50" s="1">
        <v>-178000000</v>
      </c>
      <c r="AH50" s="1">
        <v>0</v>
      </c>
      <c r="AI50" s="1">
        <v>0</v>
      </c>
      <c r="AJ50" s="1">
        <v>0</v>
      </c>
      <c r="AK50" s="1">
        <v>200000000</v>
      </c>
      <c r="AL50" s="1">
        <v>200000000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74000000</v>
      </c>
      <c r="AW50" s="1">
        <v>62000000</v>
      </c>
      <c r="AX50" s="1">
        <v>0</v>
      </c>
      <c r="AY50" s="1">
        <v>14000000</v>
      </c>
      <c r="AZ50" s="1">
        <v>14000000</v>
      </c>
      <c r="BA50" s="1">
        <v>0</v>
      </c>
      <c r="BB50" s="1">
        <v>16000000</v>
      </c>
      <c r="BC50" s="1">
        <v>15000000</v>
      </c>
      <c r="BD50" s="1">
        <v>5000000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</row>
    <row r="51" spans="1:71" x14ac:dyDescent="0.2">
      <c r="A51" s="1" t="s">
        <v>37</v>
      </c>
      <c r="B51" s="1">
        <v>64907000000</v>
      </c>
      <c r="C51" s="1">
        <v>66057000000</v>
      </c>
      <c r="D51" s="1">
        <v>65136000000</v>
      </c>
      <c r="E51" s="1">
        <v>64229000000</v>
      </c>
      <c r="F51" s="1">
        <v>67282000000</v>
      </c>
      <c r="G51" s="1">
        <v>66579000000</v>
      </c>
      <c r="H51" s="1">
        <v>67566000000</v>
      </c>
      <c r="I51" s="1">
        <v>69959000000</v>
      </c>
      <c r="J51" s="1">
        <v>74016000000</v>
      </c>
      <c r="K51" s="1">
        <v>75901000000</v>
      </c>
      <c r="L51" s="1">
        <v>39648000000</v>
      </c>
      <c r="M51" s="1">
        <v>39341000000</v>
      </c>
      <c r="N51" s="1">
        <v>39311000000</v>
      </c>
      <c r="O51" s="1">
        <v>39282000000</v>
      </c>
      <c r="P51" s="1">
        <v>39978000000</v>
      </c>
      <c r="Q51" s="1">
        <v>39495000000</v>
      </c>
      <c r="R51" s="1">
        <v>39466000000</v>
      </c>
      <c r="S51" s="1">
        <v>39505000000</v>
      </c>
      <c r="T51" s="1">
        <v>40273000000</v>
      </c>
      <c r="U51" s="1">
        <v>40457000000</v>
      </c>
      <c r="V51" s="1">
        <v>40438000000</v>
      </c>
      <c r="W51" s="1">
        <v>41932000000</v>
      </c>
      <c r="X51" s="1">
        <v>41689000000</v>
      </c>
      <c r="Y51" s="1">
        <v>44669000000</v>
      </c>
      <c r="Z51" s="1">
        <v>46511000000</v>
      </c>
      <c r="AA51" s="1">
        <v>45381000000</v>
      </c>
      <c r="AB51" s="1">
        <v>32798000000</v>
      </c>
      <c r="AC51" s="1">
        <v>37565000000</v>
      </c>
      <c r="AD51" s="1">
        <v>37548000000</v>
      </c>
      <c r="AE51" s="1">
        <v>37641000000</v>
      </c>
      <c r="AF51" s="1">
        <v>17493000000</v>
      </c>
      <c r="AG51" s="1">
        <v>17604000000</v>
      </c>
      <c r="AH51" s="1">
        <v>17598000000</v>
      </c>
      <c r="AI51" s="1">
        <v>17592000000</v>
      </c>
      <c r="AJ51" s="1">
        <v>17548000000</v>
      </c>
      <c r="AK51" s="1">
        <v>13572000000</v>
      </c>
      <c r="AL51" s="1">
        <v>13567000000</v>
      </c>
      <c r="AM51" s="1">
        <v>13562000000</v>
      </c>
      <c r="AN51" s="1">
        <v>13642000000</v>
      </c>
      <c r="AO51" s="1">
        <v>13715000000</v>
      </c>
      <c r="AP51" s="1">
        <v>15008000000</v>
      </c>
      <c r="AQ51" s="1">
        <v>3938000000</v>
      </c>
      <c r="AR51" s="1">
        <v>3949000000</v>
      </c>
      <c r="AS51" s="1">
        <v>3961000000</v>
      </c>
      <c r="AT51" s="1">
        <v>4898000000</v>
      </c>
      <c r="AU51" s="1">
        <v>5500000000</v>
      </c>
      <c r="AV51" s="1">
        <v>5509000000</v>
      </c>
      <c r="AW51" s="1">
        <v>5518000000</v>
      </c>
      <c r="AX51" s="1">
        <v>0</v>
      </c>
      <c r="AY51" s="1">
        <v>2000000</v>
      </c>
      <c r="AZ51" s="1">
        <v>2000000</v>
      </c>
      <c r="BA51" s="1">
        <v>3000000</v>
      </c>
      <c r="BB51" s="1">
        <v>3000000</v>
      </c>
      <c r="BC51" s="1">
        <v>3000000</v>
      </c>
      <c r="BD51" s="1">
        <v>3000000</v>
      </c>
      <c r="BE51" s="1">
        <v>3000000</v>
      </c>
      <c r="BF51" s="1">
        <v>4000000</v>
      </c>
      <c r="BG51" s="1">
        <v>5000000</v>
      </c>
      <c r="BH51" s="1">
        <v>6000000</v>
      </c>
      <c r="BI51" s="1">
        <v>6000000</v>
      </c>
      <c r="BJ51" s="1">
        <v>6000000</v>
      </c>
      <c r="BK51" s="1">
        <v>7000000</v>
      </c>
      <c r="BL51" s="1">
        <v>236000000</v>
      </c>
      <c r="BM51" s="1">
        <v>236000000</v>
      </c>
      <c r="BN51" s="1">
        <v>236000000</v>
      </c>
      <c r="BO51" s="1">
        <v>235000000</v>
      </c>
      <c r="BP51" s="1">
        <v>599000000</v>
      </c>
      <c r="BQ51" s="1">
        <v>705000000</v>
      </c>
      <c r="BR51" s="1">
        <v>706000000</v>
      </c>
      <c r="BS51" s="1">
        <v>710000000</v>
      </c>
    </row>
    <row r="52" spans="1:71" x14ac:dyDescent="0.2">
      <c r="A52" s="1" t="s">
        <v>36</v>
      </c>
      <c r="B52" s="1">
        <v>45279000000</v>
      </c>
      <c r="C52" s="1">
        <v>51883000000</v>
      </c>
      <c r="D52" s="1">
        <v>48958000000</v>
      </c>
      <c r="E52" s="1">
        <v>53511000000</v>
      </c>
      <c r="F52" s="1">
        <v>57810000000</v>
      </c>
      <c r="G52" s="1">
        <v>57272000000</v>
      </c>
      <c r="H52" s="1">
        <v>58218000000</v>
      </c>
      <c r="I52" s="1">
        <v>60007000000</v>
      </c>
      <c r="J52" s="1">
        <v>64207000000</v>
      </c>
      <c r="K52" s="1">
        <v>64037000000</v>
      </c>
      <c r="L52" s="1">
        <v>25459000000</v>
      </c>
      <c r="M52" s="1">
        <v>27286000000</v>
      </c>
      <c r="N52" s="1">
        <v>27758000000</v>
      </c>
      <c r="O52" s="1">
        <v>26635000000</v>
      </c>
      <c r="P52" s="1">
        <v>27562000000</v>
      </c>
      <c r="Q52" s="1">
        <v>29518000000</v>
      </c>
      <c r="R52" s="1">
        <v>30461000000</v>
      </c>
      <c r="S52" s="1">
        <v>29286000000</v>
      </c>
      <c r="T52" s="1">
        <v>28110000000</v>
      </c>
      <c r="U52" s="1">
        <v>29352000000</v>
      </c>
      <c r="V52" s="1">
        <v>30920000000</v>
      </c>
      <c r="W52" s="1">
        <v>32380000000</v>
      </c>
      <c r="X52" s="1">
        <v>34071000000</v>
      </c>
      <c r="Y52" s="1">
        <v>35812000000</v>
      </c>
      <c r="Z52" s="1">
        <v>37304000000</v>
      </c>
      <c r="AA52" s="1">
        <v>38937000000</v>
      </c>
      <c r="AB52" s="1">
        <v>27743000000</v>
      </c>
      <c r="AC52" s="1">
        <v>32103000000</v>
      </c>
      <c r="AD52" s="1">
        <v>32220000000</v>
      </c>
      <c r="AE52" s="1">
        <v>32548000000</v>
      </c>
      <c r="AF52" s="1">
        <v>13201000000</v>
      </c>
      <c r="AG52" s="1">
        <v>13468000000</v>
      </c>
      <c r="AH52" s="1">
        <v>9411000000</v>
      </c>
      <c r="AI52" s="1">
        <v>10516000000</v>
      </c>
      <c r="AJ52" s="1">
        <v>6344000000</v>
      </c>
      <c r="AK52" s="1">
        <v>8323000000</v>
      </c>
      <c r="AL52" s="1">
        <v>9313000000</v>
      </c>
      <c r="AM52" s="1">
        <v>10026000000</v>
      </c>
      <c r="AN52" s="1">
        <v>10545000000</v>
      </c>
      <c r="AO52" s="1">
        <v>11754000000</v>
      </c>
      <c r="AP52" s="1">
        <v>12967000000</v>
      </c>
      <c r="AQ52" s="1">
        <v>1769000000</v>
      </c>
      <c r="AR52" s="1">
        <v>2127000000</v>
      </c>
      <c r="AS52" s="1">
        <v>2607000000</v>
      </c>
      <c r="AT52" s="1">
        <v>2390000000</v>
      </c>
      <c r="AU52" s="1">
        <v>2931000000</v>
      </c>
      <c r="AV52" s="1">
        <v>3905000000</v>
      </c>
      <c r="AW52" s="1">
        <v>4241000000</v>
      </c>
      <c r="AX52" s="1">
        <v>-1278000000</v>
      </c>
      <c r="AY52" s="1">
        <v>-1110000000</v>
      </c>
      <c r="AZ52" s="1">
        <v>-983000000</v>
      </c>
      <c r="BA52" s="1">
        <v>-860000000</v>
      </c>
      <c r="BB52" s="1">
        <v>-1216000000</v>
      </c>
      <c r="BC52" s="1">
        <v>-1148000000</v>
      </c>
      <c r="BD52" s="1">
        <v>-1081000000</v>
      </c>
      <c r="BE52" s="1">
        <v>-970000000</v>
      </c>
      <c r="BF52" s="1">
        <v>-950000000</v>
      </c>
      <c r="BG52" s="1">
        <v>-814000000</v>
      </c>
      <c r="BH52" s="1">
        <v>-823000000</v>
      </c>
      <c r="BI52" s="1">
        <v>-698000000</v>
      </c>
      <c r="BJ52" s="1">
        <v>-590000000</v>
      </c>
      <c r="BK52" s="1">
        <v>-356000000</v>
      </c>
      <c r="BL52" s="1">
        <v>-325000000</v>
      </c>
      <c r="BM52" s="1">
        <v>-131000000</v>
      </c>
      <c r="BN52" s="1">
        <v>-20000000</v>
      </c>
      <c r="BO52" s="1">
        <v>91000000</v>
      </c>
      <c r="BP52" s="1">
        <v>127000000</v>
      </c>
      <c r="BQ52" s="1">
        <v>451000000</v>
      </c>
      <c r="BR52" s="1">
        <v>465000000</v>
      </c>
      <c r="BS52" s="1">
        <v>497000000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4932-2D9C-0448-8D39-82E0997CAA59}">
  <dimension ref="A1:BU39"/>
  <sheetViews>
    <sheetView workbookViewId="0"/>
  </sheetViews>
  <sheetFormatPr baseColWidth="10" defaultRowHeight="16" x14ac:dyDescent="0.2"/>
  <cols>
    <col min="1" max="1" width="40.5" bestFit="1" customWidth="1"/>
    <col min="2" max="2" width="17" bestFit="1" customWidth="1"/>
    <col min="3" max="3" width="17.6640625" bestFit="1" customWidth="1"/>
    <col min="4" max="5" width="17" bestFit="1" customWidth="1"/>
    <col min="6" max="9" width="16.6640625" bestFit="1" customWidth="1"/>
    <col min="10" max="10" width="17" bestFit="1" customWidth="1"/>
    <col min="11" max="11" width="17.6640625" bestFit="1" customWidth="1"/>
    <col min="12" max="16" width="17" bestFit="1" customWidth="1"/>
    <col min="17" max="17" width="16.6640625" bestFit="1" customWidth="1"/>
    <col min="18" max="21" width="17" bestFit="1" customWidth="1"/>
    <col min="22" max="26" width="16.6640625" bestFit="1" customWidth="1"/>
    <col min="27" max="27" width="17.6640625" bestFit="1" customWidth="1"/>
    <col min="28" max="29" width="16.6640625" bestFit="1" customWidth="1"/>
    <col min="30" max="31" width="17.6640625" bestFit="1" customWidth="1"/>
    <col min="32" max="34" width="16.6640625" bestFit="1" customWidth="1"/>
    <col min="35" max="36" width="17" bestFit="1" customWidth="1"/>
    <col min="37" max="40" width="15.83203125" bestFit="1" customWidth="1"/>
    <col min="41" max="41" width="16.6640625" bestFit="1" customWidth="1"/>
    <col min="42" max="42" width="17.6640625" bestFit="1" customWidth="1"/>
    <col min="43" max="44" width="15.83203125" bestFit="1" customWidth="1"/>
    <col min="45" max="45" width="16.6640625" bestFit="1" customWidth="1"/>
    <col min="46" max="48" width="15.83203125" bestFit="1" customWidth="1"/>
    <col min="49" max="49" width="16.6640625" bestFit="1" customWidth="1"/>
    <col min="50" max="51" width="15.83203125" bestFit="1" customWidth="1"/>
    <col min="52" max="52" width="14.33203125" bestFit="1" customWidth="1"/>
    <col min="53" max="56" width="15.83203125" bestFit="1" customWidth="1"/>
    <col min="57" max="58" width="14.33203125" bestFit="1" customWidth="1"/>
    <col min="59" max="61" width="15" bestFit="1" customWidth="1"/>
    <col min="62" max="62" width="14.33203125" bestFit="1" customWidth="1"/>
    <col min="63" max="63" width="15" bestFit="1" customWidth="1"/>
    <col min="64" max="66" width="14.33203125" bestFit="1" customWidth="1"/>
    <col min="67" max="68" width="15" bestFit="1" customWidth="1"/>
    <col min="69" max="73" width="14.33203125" bestFit="1" customWidth="1"/>
  </cols>
  <sheetData>
    <row r="1" spans="1:73" x14ac:dyDescent="0.2">
      <c r="A1" s="9" t="s">
        <v>75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</row>
    <row r="2" spans="1:73" x14ac:dyDescent="0.2">
      <c r="A2" t="s">
        <v>1</v>
      </c>
      <c r="B2" t="s">
        <v>2</v>
      </c>
    </row>
    <row r="3" spans="1:73" x14ac:dyDescent="0.2">
      <c r="A3" t="s">
        <v>3</v>
      </c>
      <c r="B3" t="str">
        <f>'AVGO - Income Statement Q'!B3</f>
        <v>USD</v>
      </c>
    </row>
    <row r="4" spans="1:73" x14ac:dyDescent="0.2">
      <c r="A4" t="s">
        <v>32</v>
      </c>
      <c r="B4" t="s">
        <v>195</v>
      </c>
      <c r="C4" t="s">
        <v>196</v>
      </c>
      <c r="D4" t="s">
        <v>197</v>
      </c>
      <c r="E4" t="s">
        <v>198</v>
      </c>
      <c r="F4" t="s">
        <v>195</v>
      </c>
      <c r="G4" t="s">
        <v>196</v>
      </c>
      <c r="H4" t="s">
        <v>197</v>
      </c>
      <c r="I4" t="s">
        <v>198</v>
      </c>
      <c r="J4" t="s">
        <v>195</v>
      </c>
      <c r="K4" t="s">
        <v>196</v>
      </c>
      <c r="L4" t="s">
        <v>197</v>
      </c>
      <c r="M4" t="s">
        <v>198</v>
      </c>
      <c r="N4" t="s">
        <v>195</v>
      </c>
      <c r="O4" t="s">
        <v>196</v>
      </c>
      <c r="P4" t="s">
        <v>197</v>
      </c>
      <c r="Q4" t="s">
        <v>198</v>
      </c>
      <c r="R4" t="s">
        <v>195</v>
      </c>
      <c r="S4" t="s">
        <v>196</v>
      </c>
      <c r="T4" t="s">
        <v>197</v>
      </c>
      <c r="U4" t="s">
        <v>198</v>
      </c>
      <c r="V4" t="s">
        <v>195</v>
      </c>
      <c r="W4" t="s">
        <v>196</v>
      </c>
      <c r="X4" t="s">
        <v>197</v>
      </c>
      <c r="Y4" t="s">
        <v>198</v>
      </c>
      <c r="Z4" t="s">
        <v>195</v>
      </c>
      <c r="AA4" t="s">
        <v>196</v>
      </c>
      <c r="AB4" t="s">
        <v>197</v>
      </c>
      <c r="AC4" t="s">
        <v>198</v>
      </c>
      <c r="AD4" t="s">
        <v>195</v>
      </c>
      <c r="AE4" t="s">
        <v>196</v>
      </c>
      <c r="AF4" t="s">
        <v>197</v>
      </c>
      <c r="AG4" t="s">
        <v>198</v>
      </c>
      <c r="AH4" t="s">
        <v>195</v>
      </c>
      <c r="AI4" t="s">
        <v>196</v>
      </c>
      <c r="AJ4" t="s">
        <v>197</v>
      </c>
      <c r="AK4" t="s">
        <v>198</v>
      </c>
      <c r="AL4" t="s">
        <v>195</v>
      </c>
      <c r="AM4" t="s">
        <v>196</v>
      </c>
      <c r="AN4" t="s">
        <v>197</v>
      </c>
      <c r="AO4" t="s">
        <v>198</v>
      </c>
      <c r="AP4" t="s">
        <v>195</v>
      </c>
      <c r="AQ4" t="s">
        <v>196</v>
      </c>
      <c r="AR4" t="s">
        <v>197</v>
      </c>
      <c r="AS4" t="s">
        <v>198</v>
      </c>
      <c r="AT4" t="s">
        <v>195</v>
      </c>
      <c r="AU4" t="s">
        <v>196</v>
      </c>
      <c r="AV4" t="s">
        <v>197</v>
      </c>
      <c r="AW4" t="s">
        <v>198</v>
      </c>
      <c r="AX4" t="s">
        <v>195</v>
      </c>
      <c r="AY4" t="s">
        <v>196</v>
      </c>
      <c r="AZ4" t="s">
        <v>197</v>
      </c>
      <c r="BA4" t="s">
        <v>198</v>
      </c>
      <c r="BB4" t="s">
        <v>195</v>
      </c>
      <c r="BC4" t="s">
        <v>196</v>
      </c>
      <c r="BD4" t="s">
        <v>197</v>
      </c>
      <c r="BE4" t="s">
        <v>198</v>
      </c>
      <c r="BF4" t="s">
        <v>195</v>
      </c>
      <c r="BG4" t="s">
        <v>196</v>
      </c>
      <c r="BH4" t="s">
        <v>197</v>
      </c>
      <c r="BI4" t="s">
        <v>198</v>
      </c>
      <c r="BJ4" t="s">
        <v>195</v>
      </c>
      <c r="BK4" t="s">
        <v>196</v>
      </c>
      <c r="BL4" t="s">
        <v>197</v>
      </c>
      <c r="BM4" t="s">
        <v>198</v>
      </c>
      <c r="BN4" t="s">
        <v>195</v>
      </c>
      <c r="BO4" t="s">
        <v>196</v>
      </c>
      <c r="BP4" t="s">
        <v>197</v>
      </c>
      <c r="BQ4" t="s">
        <v>198</v>
      </c>
      <c r="BR4" t="s">
        <v>195</v>
      </c>
      <c r="BS4" t="s">
        <v>196</v>
      </c>
      <c r="BT4" t="s">
        <v>197</v>
      </c>
      <c r="BU4" t="s">
        <v>198</v>
      </c>
    </row>
    <row r="5" spans="1:73" x14ac:dyDescent="0.2">
      <c r="A5" t="s">
        <v>34</v>
      </c>
      <c r="B5" s="8">
        <v>46145</v>
      </c>
      <c r="C5" s="8">
        <v>46054</v>
      </c>
      <c r="D5" s="8">
        <v>45963</v>
      </c>
      <c r="E5" s="8">
        <v>45872</v>
      </c>
      <c r="F5" s="8">
        <v>45781</v>
      </c>
      <c r="G5" s="8">
        <v>45690</v>
      </c>
      <c r="H5" s="8">
        <v>45599</v>
      </c>
      <c r="I5" s="8">
        <v>45508</v>
      </c>
      <c r="J5" s="8">
        <v>45417</v>
      </c>
      <c r="K5" s="8">
        <v>45326</v>
      </c>
      <c r="L5" s="8">
        <v>45228</v>
      </c>
      <c r="M5" s="8">
        <v>45137</v>
      </c>
      <c r="N5" s="8">
        <v>45046</v>
      </c>
      <c r="O5" s="8">
        <v>44955</v>
      </c>
      <c r="P5" s="8">
        <v>44864</v>
      </c>
      <c r="Q5" s="8">
        <v>44773</v>
      </c>
      <c r="R5" s="8">
        <v>44682</v>
      </c>
      <c r="S5" s="8">
        <v>44591</v>
      </c>
      <c r="T5" s="8">
        <v>44500</v>
      </c>
      <c r="U5" s="8">
        <v>44409</v>
      </c>
      <c r="V5" s="8">
        <v>44318</v>
      </c>
      <c r="W5" s="8">
        <v>44227</v>
      </c>
      <c r="X5" s="8">
        <v>44136</v>
      </c>
      <c r="Y5" s="8">
        <v>44045</v>
      </c>
      <c r="Z5" s="8">
        <v>43954</v>
      </c>
      <c r="AA5" s="8">
        <v>43863</v>
      </c>
      <c r="AB5" s="8">
        <v>43772</v>
      </c>
      <c r="AC5" s="8">
        <v>43681</v>
      </c>
      <c r="AD5" s="8">
        <v>43590</v>
      </c>
      <c r="AE5" s="8">
        <v>43498</v>
      </c>
      <c r="AF5" s="8">
        <v>43408</v>
      </c>
      <c r="AG5" s="8">
        <v>43317</v>
      </c>
      <c r="AH5" s="8">
        <v>43226</v>
      </c>
      <c r="AI5" s="8">
        <v>43194</v>
      </c>
      <c r="AJ5" s="8">
        <v>43039</v>
      </c>
      <c r="AK5" s="8">
        <v>42947</v>
      </c>
      <c r="AL5" s="8">
        <v>42855</v>
      </c>
      <c r="AM5" s="8">
        <v>42766</v>
      </c>
      <c r="AN5" s="8">
        <v>42674</v>
      </c>
      <c r="AO5" s="8">
        <v>42582</v>
      </c>
      <c r="AP5" s="8">
        <v>42490</v>
      </c>
      <c r="AQ5" s="8">
        <v>42400</v>
      </c>
      <c r="AR5" s="8">
        <v>42308</v>
      </c>
      <c r="AS5" s="8">
        <v>42216</v>
      </c>
      <c r="AT5" s="8">
        <v>42124</v>
      </c>
      <c r="AU5" s="8">
        <v>42035</v>
      </c>
      <c r="AV5" s="8">
        <v>41943</v>
      </c>
      <c r="AW5" s="8">
        <v>41851</v>
      </c>
      <c r="AX5" s="8">
        <v>41759</v>
      </c>
      <c r="AY5" s="8">
        <v>41670</v>
      </c>
      <c r="AZ5" s="8">
        <v>41578</v>
      </c>
      <c r="BA5" s="8">
        <v>41486</v>
      </c>
      <c r="BB5" s="8">
        <v>41394</v>
      </c>
      <c r="BC5" s="8">
        <v>41305</v>
      </c>
      <c r="BD5" s="8">
        <v>41213</v>
      </c>
      <c r="BE5" s="8">
        <v>41121</v>
      </c>
      <c r="BF5" s="8">
        <v>41029</v>
      </c>
      <c r="BG5" s="8">
        <v>40939</v>
      </c>
      <c r="BH5" s="8">
        <v>40847</v>
      </c>
      <c r="BI5" s="8">
        <v>40755</v>
      </c>
      <c r="BJ5" s="8">
        <v>40663</v>
      </c>
      <c r="BK5" s="8">
        <v>40574</v>
      </c>
      <c r="BL5" s="8">
        <v>40482</v>
      </c>
      <c r="BM5" s="8">
        <v>40390</v>
      </c>
      <c r="BN5" s="8">
        <v>40298</v>
      </c>
      <c r="BO5" s="8">
        <v>40209</v>
      </c>
      <c r="BP5" s="8">
        <v>40117</v>
      </c>
      <c r="BQ5" s="8">
        <v>40025</v>
      </c>
      <c r="BR5" s="8">
        <v>39933</v>
      </c>
      <c r="BS5" s="8">
        <v>39844</v>
      </c>
      <c r="BT5" s="8">
        <v>39752</v>
      </c>
      <c r="BU5" s="8">
        <v>39660</v>
      </c>
    </row>
    <row r="7" spans="1:73" x14ac:dyDescent="0.2">
      <c r="A7" s="6" t="s">
        <v>10</v>
      </c>
      <c r="B7" s="5">
        <v>9310000000</v>
      </c>
      <c r="C7" s="5">
        <v>7349000000</v>
      </c>
      <c r="D7" s="5">
        <v>8518000000</v>
      </c>
      <c r="E7" s="5">
        <v>4140000000</v>
      </c>
      <c r="F7" s="5">
        <v>4965000000</v>
      </c>
      <c r="G7" s="5">
        <v>5503000000</v>
      </c>
      <c r="H7" s="5">
        <v>4324000000</v>
      </c>
      <c r="I7" s="5">
        <v>-1875000000</v>
      </c>
      <c r="J7" s="5">
        <v>2121000000</v>
      </c>
      <c r="K7" s="5">
        <v>1274000000</v>
      </c>
      <c r="L7" s="5">
        <v>3524000000</v>
      </c>
      <c r="M7" s="5">
        <v>3303000000</v>
      </c>
      <c r="N7" s="5">
        <v>3481000000</v>
      </c>
      <c r="O7" s="5">
        <v>3774000000</v>
      </c>
      <c r="P7" s="5">
        <v>3359000000</v>
      </c>
      <c r="Q7" s="5">
        <v>3074000000</v>
      </c>
      <c r="R7" s="5">
        <v>2590000000</v>
      </c>
      <c r="S7" s="5">
        <v>2472000000</v>
      </c>
      <c r="T7" s="5">
        <v>1989000000</v>
      </c>
      <c r="U7" s="5">
        <v>1876000000</v>
      </c>
      <c r="V7" s="5">
        <v>1493000000</v>
      </c>
      <c r="W7" s="5">
        <v>1378000000</v>
      </c>
      <c r="X7" s="5">
        <v>1324000000</v>
      </c>
      <c r="Y7" s="5">
        <v>688000000</v>
      </c>
      <c r="Z7" s="5">
        <v>563000000</v>
      </c>
      <c r="AA7" s="5">
        <v>385000000</v>
      </c>
      <c r="AB7" s="5">
        <v>847000000</v>
      </c>
      <c r="AC7" s="5">
        <v>715000000</v>
      </c>
      <c r="AD7" s="5">
        <v>691000000</v>
      </c>
      <c r="AE7" s="5">
        <v>471000000</v>
      </c>
      <c r="AF7" s="5">
        <v>1115000000</v>
      </c>
      <c r="AG7" s="5">
        <v>1196000000</v>
      </c>
      <c r="AH7" s="5">
        <v>3733000000</v>
      </c>
      <c r="AI7" s="5">
        <v>6566000000</v>
      </c>
      <c r="AJ7" s="5">
        <v>671000000</v>
      </c>
      <c r="AK7" s="5">
        <v>507000000</v>
      </c>
      <c r="AL7" s="5">
        <v>464000000</v>
      </c>
      <c r="AM7" s="5">
        <v>252000000</v>
      </c>
      <c r="AN7" s="5">
        <v>-668000000</v>
      </c>
      <c r="AO7" s="5">
        <v>-315000000</v>
      </c>
      <c r="AP7" s="5">
        <v>-1255000000</v>
      </c>
      <c r="AQ7" s="5">
        <v>377000000</v>
      </c>
      <c r="AR7" s="5">
        <v>429000000</v>
      </c>
      <c r="AS7" s="5">
        <v>240000000</v>
      </c>
      <c r="AT7" s="5">
        <v>344000000</v>
      </c>
      <c r="AU7" s="5">
        <v>351000000</v>
      </c>
      <c r="AV7" s="5">
        <v>117000000</v>
      </c>
      <c r="AW7" s="5">
        <v>-164000000</v>
      </c>
      <c r="AX7" s="5">
        <v>158000000</v>
      </c>
      <c r="AY7" s="5">
        <v>134000000</v>
      </c>
      <c r="AZ7" s="5">
        <v>172000000</v>
      </c>
      <c r="BA7" s="5">
        <v>142000000</v>
      </c>
      <c r="BB7" s="5">
        <v>113000000</v>
      </c>
      <c r="BC7" s="5">
        <v>125000000</v>
      </c>
      <c r="BD7" s="5">
        <v>159000000</v>
      </c>
      <c r="BE7" s="5">
        <v>145000000</v>
      </c>
      <c r="BF7" s="5">
        <v>134000000</v>
      </c>
      <c r="BG7" s="5">
        <v>125000000</v>
      </c>
      <c r="BH7" s="5">
        <v>154000000</v>
      </c>
      <c r="BI7" s="5">
        <v>144000000</v>
      </c>
      <c r="BJ7" s="5">
        <v>135000000</v>
      </c>
      <c r="BK7" s="5">
        <v>119000000</v>
      </c>
      <c r="BL7" s="5">
        <v>164000000</v>
      </c>
      <c r="BM7" s="5">
        <v>123000000</v>
      </c>
      <c r="BN7" s="5">
        <v>90000000</v>
      </c>
      <c r="BO7" s="5">
        <v>38000000</v>
      </c>
      <c r="BP7" s="5">
        <v>-21000000</v>
      </c>
      <c r="BQ7" s="5">
        <v>2000000</v>
      </c>
      <c r="BR7" s="5">
        <v>-31000000</v>
      </c>
      <c r="BS7" s="5">
        <v>6000000</v>
      </c>
      <c r="BT7" s="5">
        <v>18000000</v>
      </c>
      <c r="BU7" s="5">
        <v>44000000</v>
      </c>
    </row>
    <row r="8" spans="1:73" x14ac:dyDescent="0.2">
      <c r="A8" s="1" t="s">
        <v>19</v>
      </c>
      <c r="B8" s="1">
        <v>2165000000</v>
      </c>
      <c r="C8" s="1">
        <v>2153000000</v>
      </c>
      <c r="D8" s="1">
        <v>2233000000</v>
      </c>
      <c r="E8" s="1">
        <v>2202000000</v>
      </c>
      <c r="F8" s="1">
        <v>2166000000</v>
      </c>
      <c r="G8" s="1">
        <v>2174000000</v>
      </c>
      <c r="H8" s="1">
        <v>2611000000</v>
      </c>
      <c r="I8" s="1">
        <v>2524000000</v>
      </c>
      <c r="J8" s="1">
        <v>2530000000</v>
      </c>
      <c r="K8" s="1">
        <v>2345000000</v>
      </c>
      <c r="L8" s="1">
        <v>932000000</v>
      </c>
      <c r="M8" s="1">
        <v>932000000</v>
      </c>
      <c r="N8" s="1">
        <v>939000000</v>
      </c>
      <c r="O8" s="1">
        <v>1032000000</v>
      </c>
      <c r="P8" s="1">
        <v>1216000000</v>
      </c>
      <c r="Q8" s="1">
        <v>1217000000</v>
      </c>
      <c r="R8" s="1">
        <v>1264000000</v>
      </c>
      <c r="S8" s="1">
        <v>1287000000</v>
      </c>
      <c r="T8" s="1">
        <v>1501000000</v>
      </c>
      <c r="U8" s="1">
        <v>1503000000</v>
      </c>
      <c r="V8" s="1">
        <v>1504000000</v>
      </c>
      <c r="W8" s="1">
        <v>1533000000</v>
      </c>
      <c r="X8" s="1">
        <v>1728000000</v>
      </c>
      <c r="Y8" s="1">
        <v>1719000000</v>
      </c>
      <c r="Z8" s="1">
        <v>1730000000</v>
      </c>
      <c r="AA8" s="1">
        <v>1728000000</v>
      </c>
      <c r="AB8" s="1">
        <v>1452000000</v>
      </c>
      <c r="AC8" s="1">
        <v>1450000000</v>
      </c>
      <c r="AD8" s="1">
        <v>1447000000</v>
      </c>
      <c r="AE8" s="1">
        <v>1459000000</v>
      </c>
      <c r="AF8" s="1">
        <v>968000000</v>
      </c>
      <c r="AG8" s="1">
        <v>965000000</v>
      </c>
      <c r="AH8" s="1">
        <v>964000000</v>
      </c>
      <c r="AI8" s="1">
        <v>1184000000</v>
      </c>
      <c r="AJ8" s="1">
        <v>1219000000</v>
      </c>
      <c r="AK8" s="1">
        <v>1211000000</v>
      </c>
      <c r="AL8" s="1">
        <v>1193000000</v>
      </c>
      <c r="AM8" s="1">
        <v>1114000000</v>
      </c>
      <c r="AN8" s="1">
        <v>700000000</v>
      </c>
      <c r="AO8" s="1">
        <v>1058000000</v>
      </c>
      <c r="AP8" s="1">
        <v>1040000000</v>
      </c>
      <c r="AQ8" s="1">
        <v>244000000</v>
      </c>
      <c r="AR8" s="1">
        <v>250000000</v>
      </c>
      <c r="AS8" s="1">
        <v>256000000</v>
      </c>
      <c r="AT8" s="1">
        <v>230000000</v>
      </c>
      <c r="AU8" s="1">
        <v>226000000</v>
      </c>
      <c r="AV8" s="1">
        <v>250000000</v>
      </c>
      <c r="AW8" s="1">
        <v>257000000</v>
      </c>
      <c r="AX8" s="1">
        <v>61000000</v>
      </c>
      <c r="AY8" s="1">
        <v>57000000</v>
      </c>
      <c r="AZ8" s="1">
        <v>58000000</v>
      </c>
      <c r="BA8" s="1">
        <v>46000000</v>
      </c>
      <c r="BB8" s="1">
        <v>42000000</v>
      </c>
      <c r="BC8" s="1">
        <v>41000000</v>
      </c>
      <c r="BD8" s="1">
        <v>40000000</v>
      </c>
      <c r="BE8" s="1">
        <v>40000000</v>
      </c>
      <c r="BF8" s="1">
        <v>38000000</v>
      </c>
      <c r="BG8" s="1">
        <v>37000000</v>
      </c>
      <c r="BH8" s="1">
        <v>39000000</v>
      </c>
      <c r="BI8" s="1">
        <v>39000000</v>
      </c>
      <c r="BJ8" s="1">
        <v>38000000</v>
      </c>
      <c r="BK8" s="1">
        <v>41000000</v>
      </c>
      <c r="BL8" s="1">
        <v>40000000</v>
      </c>
      <c r="BM8" s="1">
        <v>40000000</v>
      </c>
      <c r="BN8" s="1">
        <v>40000000</v>
      </c>
      <c r="BO8" s="1">
        <v>39000000</v>
      </c>
      <c r="BP8" s="1">
        <v>40000000</v>
      </c>
      <c r="BQ8" s="1">
        <v>40000000</v>
      </c>
      <c r="BR8" s="1">
        <v>39000000</v>
      </c>
      <c r="BS8" s="1">
        <v>41000000</v>
      </c>
      <c r="BT8" s="1">
        <v>42000000</v>
      </c>
      <c r="BU8" s="1">
        <v>40000000</v>
      </c>
    </row>
    <row r="9" spans="1:73" x14ac:dyDescent="0.2">
      <c r="A9" s="1" t="s">
        <v>102</v>
      </c>
      <c r="B9" s="1">
        <v>-603000000</v>
      </c>
      <c r="C9" s="1">
        <v>-455000000</v>
      </c>
      <c r="D9" s="1">
        <v>0</v>
      </c>
      <c r="E9" s="1">
        <v>284000000</v>
      </c>
      <c r="F9" s="1">
        <v>-571000000</v>
      </c>
      <c r="G9" s="1">
        <v>-696000000</v>
      </c>
      <c r="H9" s="1">
        <v>-868000000</v>
      </c>
      <c r="I9" s="1">
        <v>3638000000</v>
      </c>
      <c r="J9" s="1">
        <v>-511000000</v>
      </c>
      <c r="K9" s="1">
        <v>-294000000</v>
      </c>
      <c r="L9" s="1">
        <v>639000000</v>
      </c>
      <c r="M9" s="1">
        <v>-251000000</v>
      </c>
      <c r="N9" s="1">
        <v>-316000000</v>
      </c>
      <c r="O9" s="1">
        <v>-573000000</v>
      </c>
      <c r="P9" s="1">
        <v>-89000000</v>
      </c>
      <c r="Q9" s="1">
        <v>-15000000</v>
      </c>
      <c r="R9" s="1">
        <v>0</v>
      </c>
      <c r="S9" s="1">
        <v>70000000</v>
      </c>
      <c r="T9" s="1">
        <v>-47000000</v>
      </c>
      <c r="U9" s="1">
        <v>-436000000</v>
      </c>
      <c r="V9" s="1">
        <v>-177000000</v>
      </c>
      <c r="W9" s="1">
        <v>-149000000</v>
      </c>
      <c r="X9" s="1">
        <v>-459000000</v>
      </c>
      <c r="Y9" s="1">
        <v>-436000000</v>
      </c>
      <c r="Z9" s="1">
        <v>-175000000</v>
      </c>
      <c r="AA9" s="1">
        <v>-72000000</v>
      </c>
      <c r="AB9" s="1">
        <v>-226000000</v>
      </c>
      <c r="AC9" s="1">
        <v>-235000000</v>
      </c>
      <c r="AD9" s="1">
        <v>-94000000</v>
      </c>
      <c r="AE9" s="1">
        <v>-379000000</v>
      </c>
      <c r="AF9" s="1">
        <v>242000000</v>
      </c>
      <c r="AG9" s="1">
        <v>22000000</v>
      </c>
      <c r="AH9" s="1">
        <v>-2702000000</v>
      </c>
      <c r="AI9" s="1">
        <v>-5832000000</v>
      </c>
      <c r="AJ9" s="1">
        <v>-74000000</v>
      </c>
      <c r="AK9" s="1">
        <v>12000000</v>
      </c>
      <c r="AL9" s="1">
        <v>-86000000</v>
      </c>
      <c r="AM9" s="1">
        <v>-25000000</v>
      </c>
      <c r="AN9" s="1">
        <v>718000000</v>
      </c>
      <c r="AO9" s="1">
        <v>-181000000</v>
      </c>
      <c r="AP9" s="1">
        <v>-164000000</v>
      </c>
      <c r="AQ9" s="1">
        <v>-8000000</v>
      </c>
      <c r="AR9" s="1">
        <v>-160000000</v>
      </c>
      <c r="AS9" s="1">
        <v>-1000000</v>
      </c>
      <c r="AT9" s="1">
        <v>56000000</v>
      </c>
      <c r="AU9" s="1">
        <v>-6000000</v>
      </c>
      <c r="AV9" s="1">
        <v>42000000</v>
      </c>
      <c r="AW9" s="1">
        <v>0</v>
      </c>
      <c r="AX9" s="1">
        <v>8000000</v>
      </c>
      <c r="AY9" s="1">
        <v>4000000</v>
      </c>
      <c r="AZ9" s="1">
        <v>19000000</v>
      </c>
      <c r="BA9" s="1">
        <v>6000000</v>
      </c>
      <c r="BB9" s="1">
        <v>1000000</v>
      </c>
      <c r="BC9" s="1">
        <v>0</v>
      </c>
      <c r="BD9" s="1">
        <v>401000000</v>
      </c>
      <c r="BE9" s="1">
        <v>8000000</v>
      </c>
      <c r="BF9" s="1">
        <v>2000000</v>
      </c>
      <c r="BG9" s="1">
        <v>-123000000</v>
      </c>
      <c r="BH9" s="1">
        <v>-160000000</v>
      </c>
      <c r="BI9" s="1">
        <v>-389000000</v>
      </c>
      <c r="BJ9" s="1">
        <v>7000000</v>
      </c>
      <c r="BK9" s="1">
        <v>-2000000</v>
      </c>
      <c r="BL9" s="1">
        <v>0</v>
      </c>
      <c r="BM9" s="1">
        <v>0</v>
      </c>
      <c r="BN9" s="1">
        <v>0</v>
      </c>
      <c r="BO9" s="1">
        <v>0</v>
      </c>
      <c r="BP9" s="1">
        <v>10000000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</row>
    <row r="10" spans="1:73" x14ac:dyDescent="0.2">
      <c r="A10" s="1" t="s">
        <v>101</v>
      </c>
      <c r="B10" s="1">
        <v>2092000000</v>
      </c>
      <c r="C10" s="1">
        <v>2176000000</v>
      </c>
      <c r="D10" s="1">
        <v>2195000000</v>
      </c>
      <c r="E10" s="1">
        <v>2322000000</v>
      </c>
      <c r="F10" s="1">
        <v>1771000000</v>
      </c>
      <c r="G10" s="1">
        <v>1280000000</v>
      </c>
      <c r="H10" s="1">
        <v>1314000000</v>
      </c>
      <c r="I10" s="1">
        <v>1388000000</v>
      </c>
      <c r="J10" s="1">
        <v>1457000000</v>
      </c>
      <c r="K10" s="1">
        <v>1582000000</v>
      </c>
      <c r="L10" s="1">
        <v>638000000</v>
      </c>
      <c r="M10" s="1">
        <v>629000000</v>
      </c>
      <c r="N10" s="1">
        <v>513000000</v>
      </c>
      <c r="O10" s="1">
        <v>391000000</v>
      </c>
      <c r="P10" s="1">
        <v>387000000</v>
      </c>
      <c r="Q10" s="1">
        <v>373000000</v>
      </c>
      <c r="R10" s="1">
        <v>386000000</v>
      </c>
      <c r="S10" s="1">
        <v>387000000</v>
      </c>
      <c r="T10" s="1">
        <v>414000000</v>
      </c>
      <c r="U10" s="1">
        <v>421000000</v>
      </c>
      <c r="V10" s="1">
        <v>425000000</v>
      </c>
      <c r="W10" s="1">
        <v>444000000</v>
      </c>
      <c r="X10" s="1">
        <v>449000000</v>
      </c>
      <c r="Y10" s="1">
        <v>465000000</v>
      </c>
      <c r="Z10" s="1">
        <v>517000000</v>
      </c>
      <c r="AA10" s="1">
        <v>545000000</v>
      </c>
      <c r="AB10" s="1">
        <v>544000000</v>
      </c>
      <c r="AC10" s="1">
        <v>632000000</v>
      </c>
      <c r="AD10" s="1">
        <v>544000000</v>
      </c>
      <c r="AE10" s="1">
        <v>465000000</v>
      </c>
      <c r="AF10" s="1">
        <v>317000000</v>
      </c>
      <c r="AG10" s="1">
        <v>315000000</v>
      </c>
      <c r="AH10" s="1">
        <v>296000000</v>
      </c>
      <c r="AI10" s="1">
        <v>299000000</v>
      </c>
      <c r="AJ10" s="1">
        <v>252000000</v>
      </c>
      <c r="AK10" s="1">
        <v>251000000</v>
      </c>
      <c r="AL10" s="1">
        <v>216000000</v>
      </c>
      <c r="AM10" s="1">
        <v>202000000</v>
      </c>
      <c r="AN10" s="1">
        <v>205000000</v>
      </c>
      <c r="AO10" s="1">
        <v>219000000</v>
      </c>
      <c r="AP10" s="1">
        <v>198000000</v>
      </c>
      <c r="AQ10" s="1">
        <v>57000000</v>
      </c>
      <c r="AR10" s="1">
        <v>63000000</v>
      </c>
      <c r="AS10" s="1">
        <v>63000000</v>
      </c>
      <c r="AT10" s="1">
        <v>57000000</v>
      </c>
      <c r="AU10" s="1">
        <v>49000000</v>
      </c>
      <c r="AV10" s="1">
        <v>54000000</v>
      </c>
      <c r="AW10" s="1">
        <v>55000000</v>
      </c>
      <c r="AX10" s="1">
        <v>30000000</v>
      </c>
      <c r="AY10" s="1">
        <v>24000000</v>
      </c>
      <c r="AZ10" s="1">
        <v>22000000</v>
      </c>
      <c r="BA10" s="1">
        <v>20000000</v>
      </c>
      <c r="BB10" s="1">
        <v>18000000</v>
      </c>
      <c r="BC10" s="1">
        <v>17000000</v>
      </c>
      <c r="BD10" s="1">
        <v>14000000</v>
      </c>
      <c r="BE10" s="1">
        <v>15000000</v>
      </c>
      <c r="BF10" s="1">
        <v>13000000</v>
      </c>
      <c r="BG10" s="1">
        <v>11000000</v>
      </c>
      <c r="BH10" s="1">
        <v>11000000</v>
      </c>
      <c r="BI10" s="1">
        <v>11000000</v>
      </c>
      <c r="BJ10" s="1">
        <v>9000000</v>
      </c>
      <c r="BK10" s="1">
        <v>7000000</v>
      </c>
      <c r="BL10" s="1">
        <v>7000000</v>
      </c>
      <c r="BM10" s="1">
        <v>7000000</v>
      </c>
      <c r="BN10" s="1">
        <v>6000000</v>
      </c>
      <c r="BO10" s="1">
        <v>5000000</v>
      </c>
      <c r="BP10" s="1">
        <v>5000000</v>
      </c>
      <c r="BQ10" s="1">
        <v>3000000</v>
      </c>
      <c r="BR10" s="1">
        <v>4000000</v>
      </c>
      <c r="BS10" s="1">
        <v>0</v>
      </c>
      <c r="BT10" s="1">
        <v>3000000</v>
      </c>
      <c r="BU10" s="1">
        <v>3000000</v>
      </c>
    </row>
    <row r="11" spans="1:73" x14ac:dyDescent="0.2">
      <c r="A11" s="1" t="s">
        <v>100</v>
      </c>
      <c r="B11" s="1">
        <v>-2572000000</v>
      </c>
      <c r="C11" s="1">
        <v>-3105000000</v>
      </c>
      <c r="D11" s="1">
        <v>-2345000000</v>
      </c>
      <c r="E11" s="1">
        <v>-1894000000</v>
      </c>
      <c r="F11" s="1">
        <v>-1910000000</v>
      </c>
      <c r="G11" s="1">
        <v>-2351000000</v>
      </c>
      <c r="H11" s="1">
        <v>-2058000000</v>
      </c>
      <c r="I11" s="1">
        <v>-1068000000</v>
      </c>
      <c r="J11" s="1">
        <v>-1228000000</v>
      </c>
      <c r="K11" s="1">
        <v>-283000000</v>
      </c>
      <c r="L11" s="1">
        <v>-966000000</v>
      </c>
      <c r="M11" s="1">
        <v>73000000</v>
      </c>
      <c r="N11" s="1">
        <v>-169000000</v>
      </c>
      <c r="O11" s="1">
        <v>-581000000</v>
      </c>
      <c r="P11" s="1">
        <v>-353000000</v>
      </c>
      <c r="Q11" s="1">
        <v>-284000000</v>
      </c>
      <c r="R11" s="1">
        <v>-240000000</v>
      </c>
      <c r="S11" s="1">
        <v>-777000000</v>
      </c>
      <c r="T11" s="1">
        <v>-333000000</v>
      </c>
      <c r="U11" s="1">
        <v>141000000</v>
      </c>
      <c r="V11" s="1">
        <v>243000000</v>
      </c>
      <c r="W11" s="1">
        <v>-178000000</v>
      </c>
      <c r="X11" s="1">
        <v>262000000</v>
      </c>
      <c r="Y11" s="1">
        <v>704000000</v>
      </c>
      <c r="Z11" s="1">
        <v>456000000</v>
      </c>
      <c r="AA11" s="1">
        <v>-329000000</v>
      </c>
      <c r="AB11" s="1">
        <v>-154000000</v>
      </c>
      <c r="AC11" s="1">
        <v>-160000000</v>
      </c>
      <c r="AD11" s="1">
        <v>98000000</v>
      </c>
      <c r="AE11" s="1">
        <v>32000000</v>
      </c>
      <c r="AF11" s="1">
        <v>-142000000</v>
      </c>
      <c r="AG11" s="1">
        <v>-264000000</v>
      </c>
      <c r="AH11" s="1">
        <v>-3000000</v>
      </c>
      <c r="AI11" s="1">
        <v>-417000000</v>
      </c>
      <c r="AJ11" s="1">
        <v>-37000000</v>
      </c>
      <c r="AK11" s="1">
        <v>-357000000</v>
      </c>
      <c r="AL11" s="1">
        <v>-236000000</v>
      </c>
      <c r="AM11" s="1">
        <v>-356000000</v>
      </c>
      <c r="AN11" s="1">
        <v>-38000000</v>
      </c>
      <c r="AO11" s="1">
        <v>-27000000</v>
      </c>
      <c r="AP11" s="1">
        <v>751000000</v>
      </c>
      <c r="AQ11" s="1">
        <v>-203000000</v>
      </c>
      <c r="AR11" s="1">
        <v>-19000000</v>
      </c>
      <c r="AS11" s="1">
        <v>23000000</v>
      </c>
      <c r="AT11" s="1">
        <v>58000000</v>
      </c>
      <c r="AU11" s="1">
        <v>-123000000</v>
      </c>
      <c r="AV11" s="1">
        <v>-51000000</v>
      </c>
      <c r="AW11" s="1">
        <v>168000000</v>
      </c>
      <c r="AX11" s="1">
        <v>4000000</v>
      </c>
      <c r="AY11" s="1">
        <v>16000000</v>
      </c>
      <c r="AZ11" s="1">
        <v>-38000000</v>
      </c>
      <c r="BA11" s="1">
        <v>-73000000</v>
      </c>
      <c r="BB11" s="1">
        <v>16000000</v>
      </c>
      <c r="BC11" s="1">
        <v>4000000</v>
      </c>
      <c r="BD11" s="1">
        <v>2000000</v>
      </c>
      <c r="BE11" s="1">
        <v>-77000000</v>
      </c>
      <c r="BF11" s="1">
        <v>24000000</v>
      </c>
      <c r="BG11" s="1">
        <v>-36000000</v>
      </c>
      <c r="BH11" s="1">
        <v>-9000000</v>
      </c>
      <c r="BI11" s="1">
        <v>18000000</v>
      </c>
      <c r="BJ11" s="1">
        <v>67000000</v>
      </c>
      <c r="BK11" s="1">
        <v>-111000000</v>
      </c>
      <c r="BL11" s="1">
        <v>5000000</v>
      </c>
      <c r="BM11" s="1">
        <v>-33000000</v>
      </c>
      <c r="BN11" s="1">
        <v>-20000000</v>
      </c>
      <c r="BO11" s="1">
        <v>-51000000</v>
      </c>
      <c r="BP11" s="1">
        <v>11000000</v>
      </c>
      <c r="BQ11" s="1">
        <v>-16000000</v>
      </c>
      <c r="BR11" s="1">
        <v>50000000</v>
      </c>
      <c r="BS11" s="1">
        <v>-51000000</v>
      </c>
      <c r="BT11" s="1">
        <v>42000000</v>
      </c>
      <c r="BU11" s="1">
        <v>-4000000</v>
      </c>
    </row>
    <row r="12" spans="1:73" x14ac:dyDescent="0.2">
      <c r="A12" s="1" t="s">
        <v>99</v>
      </c>
      <c r="B12" s="1">
        <v>-2370000000</v>
      </c>
      <c r="C12" s="1">
        <v>-1315000000</v>
      </c>
      <c r="D12" s="1">
        <v>-651000000</v>
      </c>
      <c r="E12" s="1">
        <v>-937000000</v>
      </c>
      <c r="F12" s="1">
        <v>-590000000</v>
      </c>
      <c r="G12" s="1">
        <v>-539000000</v>
      </c>
      <c r="H12" s="1">
        <v>249000000</v>
      </c>
      <c r="I12" s="1">
        <v>835000000</v>
      </c>
      <c r="J12" s="1">
        <v>-513000000</v>
      </c>
      <c r="K12" s="1">
        <v>1756000000</v>
      </c>
      <c r="L12" s="1">
        <v>-231000000</v>
      </c>
      <c r="M12" s="1">
        <v>135000000</v>
      </c>
      <c r="N12" s="1">
        <v>185000000</v>
      </c>
      <c r="O12" s="1">
        <v>-276000000</v>
      </c>
      <c r="P12" s="1">
        <v>-241000000</v>
      </c>
      <c r="Q12" s="1">
        <v>375000000</v>
      </c>
      <c r="R12" s="1">
        <v>-536000000</v>
      </c>
      <c r="S12" s="1">
        <v>-468000000</v>
      </c>
      <c r="T12" s="1">
        <v>160000000</v>
      </c>
      <c r="U12" s="1">
        <v>191000000</v>
      </c>
      <c r="V12" s="1">
        <v>106000000</v>
      </c>
      <c r="W12" s="1">
        <v>-247000000</v>
      </c>
      <c r="X12" s="1">
        <v>391000000</v>
      </c>
      <c r="Y12" s="1">
        <v>542000000</v>
      </c>
      <c r="Z12" s="1">
        <v>440000000</v>
      </c>
      <c r="AA12" s="1">
        <v>-392000000</v>
      </c>
      <c r="AB12" s="1">
        <v>285000000</v>
      </c>
      <c r="AC12" s="1">
        <v>-60000000</v>
      </c>
      <c r="AD12" s="1">
        <v>193000000</v>
      </c>
      <c r="AE12" s="1">
        <v>68000000</v>
      </c>
      <c r="AF12" s="1">
        <v>-312000000</v>
      </c>
      <c r="AG12" s="1">
        <v>-262000000</v>
      </c>
      <c r="AH12" s="1">
        <v>-277000000</v>
      </c>
      <c r="AI12" s="1">
        <v>199000000</v>
      </c>
      <c r="AJ12" s="1">
        <v>-31000000</v>
      </c>
      <c r="AK12" s="1">
        <v>-344000000</v>
      </c>
      <c r="AL12" s="1">
        <v>-126000000</v>
      </c>
      <c r="AM12" s="1">
        <v>234000000</v>
      </c>
      <c r="AN12" s="1">
        <v>0</v>
      </c>
      <c r="AO12" s="1">
        <v>-322000000</v>
      </c>
      <c r="AP12" s="1">
        <v>-128000000</v>
      </c>
      <c r="AQ12" s="1">
        <v>-41000000</v>
      </c>
      <c r="AR12" s="1">
        <v>-209000000</v>
      </c>
      <c r="AS12" s="1">
        <v>-2000000</v>
      </c>
      <c r="AT12" s="1">
        <v>-40000000</v>
      </c>
      <c r="AU12" s="1">
        <v>64000000</v>
      </c>
      <c r="AV12" s="1">
        <v>-180000000</v>
      </c>
      <c r="AW12" s="1">
        <v>11000000</v>
      </c>
      <c r="AX12" s="1">
        <v>4000000</v>
      </c>
      <c r="AY12" s="1">
        <v>95000000</v>
      </c>
      <c r="AZ12" s="1">
        <v>-53000000</v>
      </c>
      <c r="BA12" s="1">
        <v>-43000000</v>
      </c>
      <c r="BB12" s="1">
        <v>-5000000</v>
      </c>
      <c r="BC12" s="1">
        <v>75000000</v>
      </c>
      <c r="BD12" s="1">
        <v>-11000000</v>
      </c>
      <c r="BE12" s="1">
        <v>-56000000</v>
      </c>
      <c r="BF12" s="1">
        <v>34000000</v>
      </c>
      <c r="BG12" s="1">
        <v>20000000</v>
      </c>
      <c r="BH12" s="1">
        <v>-43000000</v>
      </c>
      <c r="BI12" s="1">
        <v>4000000</v>
      </c>
      <c r="BJ12" s="1">
        <v>2000000</v>
      </c>
      <c r="BK12" s="1">
        <v>-5000000</v>
      </c>
      <c r="BL12" s="1">
        <v>-6000000</v>
      </c>
      <c r="BM12" s="1">
        <v>-27000000</v>
      </c>
      <c r="BN12" s="1">
        <v>-46000000</v>
      </c>
      <c r="BO12" s="1">
        <v>-17000000</v>
      </c>
      <c r="BP12" s="1">
        <v>-8000000</v>
      </c>
      <c r="BQ12" s="1">
        <v>7000000</v>
      </c>
      <c r="BR12" s="1">
        <v>1000000</v>
      </c>
      <c r="BS12" s="1">
        <v>0</v>
      </c>
      <c r="BT12" s="1">
        <v>29000000</v>
      </c>
      <c r="BU12" s="1">
        <v>-6000000</v>
      </c>
    </row>
    <row r="13" spans="1:73" x14ac:dyDescent="0.2">
      <c r="A13" s="1" t="s">
        <v>70</v>
      </c>
      <c r="B13" s="1">
        <v>-1366000000</v>
      </c>
      <c r="C13" s="1">
        <v>-692000000</v>
      </c>
      <c r="D13" s="1">
        <v>-90000000</v>
      </c>
      <c r="E13" s="1">
        <v>-163000000</v>
      </c>
      <c r="F13" s="1">
        <v>-109000000</v>
      </c>
      <c r="G13" s="1">
        <v>-148000000</v>
      </c>
      <c r="H13" s="1">
        <v>134000000</v>
      </c>
      <c r="I13" s="1">
        <v>-52000000</v>
      </c>
      <c r="J13" s="1">
        <v>82000000</v>
      </c>
      <c r="K13" s="1">
        <v>-14000000</v>
      </c>
      <c r="L13" s="1">
        <v>-56000000</v>
      </c>
      <c r="M13" s="1">
        <v>44000000</v>
      </c>
      <c r="N13" s="1">
        <v>13000000</v>
      </c>
      <c r="O13" s="1">
        <v>26000000</v>
      </c>
      <c r="P13" s="1">
        <v>-87000000</v>
      </c>
      <c r="Q13" s="1">
        <v>-170000000</v>
      </c>
      <c r="R13" s="1">
        <v>-147000000</v>
      </c>
      <c r="S13" s="1">
        <v>-223000000</v>
      </c>
      <c r="T13" s="1">
        <v>-137000000</v>
      </c>
      <c r="U13" s="1">
        <v>-156000000</v>
      </c>
      <c r="V13" s="1">
        <v>-52000000</v>
      </c>
      <c r="W13" s="1">
        <v>51000000</v>
      </c>
      <c r="X13" s="1">
        <v>67000000</v>
      </c>
      <c r="Y13" s="1">
        <v>-128000000</v>
      </c>
      <c r="Z13" s="1">
        <v>-10000000</v>
      </c>
      <c r="AA13" s="1">
        <v>40000000</v>
      </c>
      <c r="AB13" s="1">
        <v>217000000</v>
      </c>
      <c r="AC13" s="1">
        <v>-57000000</v>
      </c>
      <c r="AD13" s="1">
        <v>40000000</v>
      </c>
      <c r="AE13" s="1">
        <v>50000000</v>
      </c>
      <c r="AF13" s="1">
        <v>92000000</v>
      </c>
      <c r="AG13" s="1">
        <v>19000000</v>
      </c>
      <c r="AH13" s="1">
        <v>56000000</v>
      </c>
      <c r="AI13" s="1">
        <v>250000000</v>
      </c>
      <c r="AJ13" s="1">
        <v>-16000000</v>
      </c>
      <c r="AK13" s="1">
        <v>-119000000</v>
      </c>
      <c r="AL13" s="1">
        <v>31000000</v>
      </c>
      <c r="AM13" s="1">
        <v>65000000</v>
      </c>
      <c r="AN13" s="1">
        <v>-92000000</v>
      </c>
      <c r="AO13" s="1">
        <v>168000000</v>
      </c>
      <c r="AP13" s="1">
        <v>886000000</v>
      </c>
      <c r="AQ13" s="1">
        <v>34000000</v>
      </c>
      <c r="AR13" s="1">
        <v>-1000000</v>
      </c>
      <c r="AS13" s="1">
        <v>20000000</v>
      </c>
      <c r="AT13" s="1">
        <v>10000000</v>
      </c>
      <c r="AU13" s="1">
        <v>33000000</v>
      </c>
      <c r="AV13" s="1">
        <v>-6000000</v>
      </c>
      <c r="AW13" s="1">
        <v>215000000</v>
      </c>
      <c r="AX13" s="1">
        <v>-15000000</v>
      </c>
      <c r="AY13" s="1">
        <v>-1000000</v>
      </c>
      <c r="AZ13" s="1">
        <v>-1000000</v>
      </c>
      <c r="BA13" s="1">
        <v>-20000000</v>
      </c>
      <c r="BB13" s="1">
        <v>-20000000</v>
      </c>
      <c r="BC13" s="1">
        <v>-14000000</v>
      </c>
      <c r="BD13" s="1">
        <v>22000000</v>
      </c>
      <c r="BE13" s="1">
        <v>2000000</v>
      </c>
      <c r="BF13" s="1">
        <v>-25000000</v>
      </c>
      <c r="BG13" s="1">
        <v>1000000</v>
      </c>
      <c r="BH13" s="1">
        <v>6000000</v>
      </c>
      <c r="BI13" s="1">
        <v>-6000000</v>
      </c>
      <c r="BJ13" s="1">
        <v>9000000</v>
      </c>
      <c r="BK13" s="1">
        <v>-14000000</v>
      </c>
      <c r="BL13" s="1">
        <v>-4000000</v>
      </c>
      <c r="BM13" s="1">
        <v>-6000000</v>
      </c>
      <c r="BN13" s="1">
        <v>-12000000</v>
      </c>
      <c r="BO13" s="1">
        <v>-4000000</v>
      </c>
      <c r="BP13" s="1">
        <v>-9000000</v>
      </c>
      <c r="BQ13" s="1">
        <v>-2000000</v>
      </c>
      <c r="BR13" s="1">
        <v>28000000</v>
      </c>
      <c r="BS13" s="1">
        <v>10000000</v>
      </c>
      <c r="BT13" s="1">
        <v>7000000</v>
      </c>
      <c r="BU13" s="1">
        <v>-27000000</v>
      </c>
    </row>
    <row r="14" spans="1:73" x14ac:dyDescent="0.2">
      <c r="A14" s="1" t="s">
        <v>98</v>
      </c>
      <c r="B14" s="1">
        <v>149000000</v>
      </c>
      <c r="C14" s="1">
        <v>534000000</v>
      </c>
      <c r="D14" s="1">
        <v>118000000</v>
      </c>
      <c r="E14" s="1">
        <v>136000000</v>
      </c>
      <c r="F14" s="1">
        <v>-613000000</v>
      </c>
      <c r="G14" s="1">
        <v>241000000</v>
      </c>
      <c r="H14" s="1">
        <v>-85000000</v>
      </c>
      <c r="I14" s="1">
        <v>373000000</v>
      </c>
      <c r="J14" s="1">
        <v>-93000000</v>
      </c>
      <c r="K14" s="1">
        <v>-74000000</v>
      </c>
      <c r="L14" s="1">
        <v>215000000</v>
      </c>
      <c r="M14" s="1">
        <v>188000000</v>
      </c>
      <c r="N14" s="1">
        <v>-114000000</v>
      </c>
      <c r="O14" s="1">
        <v>-80000000</v>
      </c>
      <c r="P14" s="1">
        <v>304000000</v>
      </c>
      <c r="Q14" s="1">
        <v>-352000000</v>
      </c>
      <c r="R14" s="1">
        <v>-31000000</v>
      </c>
      <c r="S14" s="1">
        <v>0</v>
      </c>
      <c r="T14" s="1">
        <v>101000000</v>
      </c>
      <c r="U14" s="1">
        <v>156000000</v>
      </c>
      <c r="V14" s="1">
        <v>-58000000</v>
      </c>
      <c r="W14" s="1">
        <v>44000000</v>
      </c>
      <c r="X14" s="1">
        <v>-230000000</v>
      </c>
      <c r="Y14" s="1">
        <v>-123000000</v>
      </c>
      <c r="Z14" s="1">
        <v>233000000</v>
      </c>
      <c r="AA14" s="1">
        <v>117000000</v>
      </c>
      <c r="AB14" s="1">
        <v>-147000000</v>
      </c>
      <c r="AC14" s="1">
        <v>244000000</v>
      </c>
      <c r="AD14" s="1">
        <v>30000000</v>
      </c>
      <c r="AE14" s="1">
        <v>-169000000</v>
      </c>
      <c r="AF14" s="1">
        <v>28000000</v>
      </c>
      <c r="AG14" s="1">
        <v>-41000000</v>
      </c>
      <c r="AH14" s="1">
        <v>91000000</v>
      </c>
      <c r="AI14" s="1">
        <v>-403000000</v>
      </c>
      <c r="AJ14" s="1">
        <v>-63000000</v>
      </c>
      <c r="AK14" s="1">
        <v>217000000</v>
      </c>
      <c r="AL14" s="1">
        <v>-114000000</v>
      </c>
      <c r="AM14" s="1">
        <v>-137000000</v>
      </c>
      <c r="AN14" s="1">
        <v>94000000</v>
      </c>
      <c r="AO14" s="1">
        <v>156000000</v>
      </c>
      <c r="AP14" s="1">
        <v>-149000000</v>
      </c>
      <c r="AQ14" s="1">
        <v>-68000000</v>
      </c>
      <c r="AR14" s="1">
        <v>81000000</v>
      </c>
      <c r="AS14" s="1">
        <v>-29000000</v>
      </c>
      <c r="AT14" s="1">
        <v>55000000</v>
      </c>
      <c r="AU14" s="1">
        <v>-78000000</v>
      </c>
      <c r="AV14" s="1">
        <v>52000000</v>
      </c>
      <c r="AW14" s="1">
        <v>-23000000</v>
      </c>
      <c r="AX14" s="1">
        <v>8000000</v>
      </c>
      <c r="AY14" s="1">
        <v>-24000000</v>
      </c>
      <c r="AZ14" s="1">
        <v>9000000</v>
      </c>
      <c r="BA14" s="1">
        <v>11000000</v>
      </c>
      <c r="BB14" s="1">
        <v>36000000</v>
      </c>
      <c r="BC14" s="1">
        <v>-34000000</v>
      </c>
      <c r="BD14" s="1">
        <v>12000000</v>
      </c>
      <c r="BE14" s="1">
        <v>-27000000</v>
      </c>
      <c r="BF14" s="1">
        <v>21000000</v>
      </c>
      <c r="BG14" s="1">
        <v>-8000000</v>
      </c>
      <c r="BH14" s="1">
        <v>23000000</v>
      </c>
      <c r="BI14" s="1">
        <v>-13000000</v>
      </c>
      <c r="BJ14" s="1">
        <v>45000000</v>
      </c>
      <c r="BK14" s="1">
        <v>-30000000</v>
      </c>
      <c r="BL14" s="1">
        <v>19000000</v>
      </c>
      <c r="BM14" s="1">
        <v>-3000000</v>
      </c>
      <c r="BN14" s="1">
        <v>2000000</v>
      </c>
      <c r="BO14" s="1">
        <v>5000000</v>
      </c>
      <c r="BP14" s="1">
        <v>9000000</v>
      </c>
      <c r="BQ14" s="1">
        <v>-21000000</v>
      </c>
      <c r="BR14" s="1">
        <v>1000000</v>
      </c>
      <c r="BS14" s="1">
        <v>-5000000</v>
      </c>
      <c r="BT14" s="1">
        <v>24000000</v>
      </c>
      <c r="BU14" s="1">
        <v>12000000</v>
      </c>
    </row>
    <row r="15" spans="1:73" x14ac:dyDescent="0.2">
      <c r="A15" s="1" t="s">
        <v>97</v>
      </c>
      <c r="B15" s="1">
        <v>1015000000</v>
      </c>
      <c r="C15" s="1">
        <v>-1632000000</v>
      </c>
      <c r="D15" s="1">
        <v>-1722000000</v>
      </c>
      <c r="E15" s="1">
        <v>-930000000</v>
      </c>
      <c r="F15" s="1">
        <v>-598000000</v>
      </c>
      <c r="G15" s="1">
        <v>-1905000000</v>
      </c>
      <c r="H15" s="1">
        <v>-2356000000</v>
      </c>
      <c r="I15" s="1">
        <v>-2224000000</v>
      </c>
      <c r="J15" s="1">
        <v>-704000000</v>
      </c>
      <c r="K15" s="1">
        <v>-1951000000</v>
      </c>
      <c r="L15" s="1">
        <v>-894000000</v>
      </c>
      <c r="M15" s="1">
        <v>-294000000</v>
      </c>
      <c r="N15" s="1">
        <v>-253000000</v>
      </c>
      <c r="O15" s="1">
        <v>-251000000</v>
      </c>
      <c r="P15" s="1">
        <v>-329000000</v>
      </c>
      <c r="Q15" s="1">
        <v>-137000000</v>
      </c>
      <c r="R15" s="1">
        <v>474000000</v>
      </c>
      <c r="S15" s="1">
        <v>-86000000</v>
      </c>
      <c r="T15" s="1">
        <v>-457000000</v>
      </c>
      <c r="U15" s="1">
        <v>-50000000</v>
      </c>
      <c r="V15" s="1">
        <v>247000000</v>
      </c>
      <c r="W15" s="1">
        <v>-26000000</v>
      </c>
      <c r="X15" s="1">
        <v>34000000</v>
      </c>
      <c r="Y15" s="1">
        <v>413000000</v>
      </c>
      <c r="Z15" s="1">
        <v>-207000000</v>
      </c>
      <c r="AA15" s="1">
        <v>-94000000</v>
      </c>
      <c r="AB15" s="1">
        <v>-509000000</v>
      </c>
      <c r="AC15" s="1">
        <v>-287000000</v>
      </c>
      <c r="AD15" s="1">
        <v>-165000000</v>
      </c>
      <c r="AE15" s="1">
        <v>83000000</v>
      </c>
      <c r="AF15" s="1">
        <v>50000000</v>
      </c>
      <c r="AG15" s="1">
        <v>19000000</v>
      </c>
      <c r="AH15" s="1">
        <v>127000000</v>
      </c>
      <c r="AI15" s="1">
        <v>-463000000</v>
      </c>
      <c r="AJ15" s="1">
        <v>73000000</v>
      </c>
      <c r="AK15" s="1">
        <v>-111000000</v>
      </c>
      <c r="AL15" s="1">
        <v>-27000000</v>
      </c>
      <c r="AM15" s="1">
        <v>-518000000</v>
      </c>
      <c r="AN15" s="1">
        <v>-40000000</v>
      </c>
      <c r="AO15" s="1">
        <v>-29000000</v>
      </c>
      <c r="AP15" s="1">
        <v>142000000</v>
      </c>
      <c r="AQ15" s="1">
        <v>-128000000</v>
      </c>
      <c r="AR15" s="1">
        <v>110000000</v>
      </c>
      <c r="AS15" s="1">
        <v>34000000</v>
      </c>
      <c r="AT15" s="1">
        <v>33000000</v>
      </c>
      <c r="AU15" s="1">
        <v>-142000000</v>
      </c>
      <c r="AV15" s="1">
        <v>83000000</v>
      </c>
      <c r="AW15" s="1">
        <v>-35000000</v>
      </c>
      <c r="AX15" s="1">
        <v>7000000</v>
      </c>
      <c r="AY15" s="1">
        <v>-54000000</v>
      </c>
      <c r="AZ15" s="1">
        <v>7000000</v>
      </c>
      <c r="BA15" s="1">
        <v>-21000000</v>
      </c>
      <c r="BB15" s="1">
        <v>5000000</v>
      </c>
      <c r="BC15" s="1">
        <v>-23000000</v>
      </c>
      <c r="BD15" s="1">
        <v>-21000000</v>
      </c>
      <c r="BE15" s="1">
        <v>4000000</v>
      </c>
      <c r="BF15" s="1">
        <v>-6000000</v>
      </c>
      <c r="BG15" s="1">
        <v>-49000000</v>
      </c>
      <c r="BH15" s="1">
        <v>5000000</v>
      </c>
      <c r="BI15" s="1">
        <v>33000000</v>
      </c>
      <c r="BJ15" s="1">
        <v>11000000</v>
      </c>
      <c r="BK15" s="1">
        <v>-62000000</v>
      </c>
      <c r="BL15" s="1">
        <v>-4000000</v>
      </c>
      <c r="BM15" s="1">
        <v>3000000</v>
      </c>
      <c r="BN15" s="1">
        <v>36000000</v>
      </c>
      <c r="BO15" s="1">
        <v>-35000000</v>
      </c>
      <c r="BP15" s="1">
        <v>19000000</v>
      </c>
      <c r="BQ15" s="1">
        <v>0</v>
      </c>
      <c r="BR15" s="1">
        <v>20000000</v>
      </c>
      <c r="BS15" s="1">
        <v>-56000000</v>
      </c>
      <c r="BT15" s="1">
        <v>-18000000</v>
      </c>
      <c r="BU15" s="1">
        <v>17000000</v>
      </c>
    </row>
    <row r="16" spans="1:73" x14ac:dyDescent="0.2">
      <c r="A16" s="1" t="s">
        <v>96</v>
      </c>
      <c r="B16" s="1">
        <v>101000000</v>
      </c>
      <c r="C16" s="1">
        <v>142000000</v>
      </c>
      <c r="D16" s="1">
        <v>-2898000000</v>
      </c>
      <c r="E16" s="1">
        <v>112000000</v>
      </c>
      <c r="F16" s="1">
        <v>134000000</v>
      </c>
      <c r="G16" s="1">
        <v>203000000</v>
      </c>
      <c r="H16" s="1">
        <v>281000000</v>
      </c>
      <c r="I16" s="1">
        <v>356000000</v>
      </c>
      <c r="J16" s="1">
        <v>211000000</v>
      </c>
      <c r="K16" s="1">
        <v>191000000</v>
      </c>
      <c r="L16" s="1">
        <v>61000000</v>
      </c>
      <c r="M16" s="1">
        <v>33000000</v>
      </c>
      <c r="N16" s="1">
        <v>54000000</v>
      </c>
      <c r="O16" s="1">
        <v>-7000000</v>
      </c>
      <c r="P16" s="1">
        <v>63000000</v>
      </c>
      <c r="Q16" s="1">
        <v>59000000</v>
      </c>
      <c r="R16" s="1">
        <v>243000000</v>
      </c>
      <c r="S16" s="1">
        <v>47000000</v>
      </c>
      <c r="T16" s="1">
        <v>17000000</v>
      </c>
      <c r="U16" s="1">
        <v>36000000</v>
      </c>
      <c r="V16" s="1">
        <v>81000000</v>
      </c>
      <c r="W16" s="1">
        <v>85000000</v>
      </c>
      <c r="X16" s="1">
        <v>44000000</v>
      </c>
      <c r="Y16" s="1">
        <v>38000000</v>
      </c>
      <c r="Z16" s="1">
        <v>122000000</v>
      </c>
      <c r="AA16" s="1">
        <v>65000000</v>
      </c>
      <c r="AB16" s="1">
        <v>16000000</v>
      </c>
      <c r="AC16" s="1">
        <v>17000000</v>
      </c>
      <c r="AD16" s="1">
        <v>-19000000</v>
      </c>
      <c r="AE16" s="1">
        <v>84000000</v>
      </c>
      <c r="AF16" s="1">
        <v>135000000</v>
      </c>
      <c r="AG16" s="1">
        <v>13000000</v>
      </c>
      <c r="AH16" s="1">
        <v>25000000</v>
      </c>
      <c r="AI16" s="1">
        <v>-115000000</v>
      </c>
      <c r="AJ16" s="1">
        <v>-72000000</v>
      </c>
      <c r="AK16" s="1">
        <v>32000000</v>
      </c>
      <c r="AL16" s="1">
        <v>32000000</v>
      </c>
      <c r="AM16" s="1">
        <v>166000000</v>
      </c>
      <c r="AN16" s="1">
        <v>435000000</v>
      </c>
      <c r="AO16" s="1">
        <v>209000000</v>
      </c>
      <c r="AP16" s="1">
        <v>52000000</v>
      </c>
      <c r="AQ16" s="1">
        <v>7000000</v>
      </c>
      <c r="AR16" s="1">
        <v>19000000</v>
      </c>
      <c r="AS16" s="1">
        <v>11000000</v>
      </c>
      <c r="AT16" s="1">
        <v>-82000000</v>
      </c>
      <c r="AU16" s="1">
        <v>-16000000</v>
      </c>
      <c r="AV16" s="1">
        <v>-31000000</v>
      </c>
      <c r="AW16" s="1">
        <v>-2000000</v>
      </c>
      <c r="AX16" s="1">
        <v>-10000000</v>
      </c>
      <c r="AY16" s="1">
        <v>-6000000</v>
      </c>
      <c r="AZ16" s="1">
        <v>-24000000</v>
      </c>
      <c r="BA16" s="1">
        <v>-4000000</v>
      </c>
      <c r="BB16" s="1">
        <v>-2000000</v>
      </c>
      <c r="BC16" s="1">
        <v>-2000000</v>
      </c>
      <c r="BD16" s="1">
        <v>-401000000</v>
      </c>
      <c r="BE16" s="1">
        <v>-3000000</v>
      </c>
      <c r="BF16" s="1">
        <v>0</v>
      </c>
      <c r="BG16" s="1">
        <v>125000000</v>
      </c>
      <c r="BH16" s="1">
        <v>160000000</v>
      </c>
      <c r="BI16" s="1">
        <v>390000000</v>
      </c>
      <c r="BJ16" s="1">
        <v>-3000000</v>
      </c>
      <c r="BK16" s="1">
        <v>13000000</v>
      </c>
      <c r="BL16" s="1">
        <v>1000000</v>
      </c>
      <c r="BM16" s="1">
        <v>0</v>
      </c>
      <c r="BN16" s="1">
        <v>-1000000</v>
      </c>
      <c r="BO16" s="1">
        <v>10000000</v>
      </c>
      <c r="BP16" s="1">
        <v>1000000</v>
      </c>
      <c r="BQ16" s="1">
        <v>2000000</v>
      </c>
      <c r="BR16" s="1">
        <v>4000000</v>
      </c>
      <c r="BS16" s="1">
        <v>0</v>
      </c>
      <c r="BT16" s="1">
        <v>9000000</v>
      </c>
      <c r="BU16" s="1">
        <v>-23000000</v>
      </c>
    </row>
    <row r="17" spans="1:73" x14ac:dyDescent="0.2">
      <c r="A17" s="6" t="s">
        <v>95</v>
      </c>
      <c r="B17" s="4">
        <v>10493000000</v>
      </c>
      <c r="C17" s="4">
        <v>8260000000</v>
      </c>
      <c r="D17" s="4">
        <v>7703000000</v>
      </c>
      <c r="E17" s="4">
        <v>7166000000</v>
      </c>
      <c r="F17" s="4">
        <v>6555000000</v>
      </c>
      <c r="G17" s="4">
        <v>6113000000</v>
      </c>
      <c r="H17" s="4">
        <v>5604000000</v>
      </c>
      <c r="I17" s="4">
        <v>4963000000</v>
      </c>
      <c r="J17" s="4">
        <v>4580000000</v>
      </c>
      <c r="K17" s="4">
        <v>4815000000</v>
      </c>
      <c r="L17" s="4">
        <v>4828000000</v>
      </c>
      <c r="M17" s="4">
        <v>4719000000</v>
      </c>
      <c r="N17" s="4">
        <v>4502000000</v>
      </c>
      <c r="O17" s="4">
        <v>4036000000</v>
      </c>
      <c r="P17" s="4">
        <v>4583000000</v>
      </c>
      <c r="Q17" s="4">
        <v>4424000000</v>
      </c>
      <c r="R17" s="4">
        <v>4243000000</v>
      </c>
      <c r="S17" s="4">
        <v>3486000000</v>
      </c>
      <c r="T17" s="4">
        <v>3541000000</v>
      </c>
      <c r="U17" s="4">
        <v>3541000000</v>
      </c>
      <c r="V17" s="4">
        <v>3569000000</v>
      </c>
      <c r="W17" s="4">
        <v>3113000000</v>
      </c>
      <c r="X17" s="4">
        <v>3348000000</v>
      </c>
      <c r="Y17" s="4">
        <v>3178000000</v>
      </c>
      <c r="Z17" s="4">
        <v>3213000000</v>
      </c>
      <c r="AA17" s="4">
        <v>2322000000</v>
      </c>
      <c r="AB17" s="4">
        <v>2479000000</v>
      </c>
      <c r="AC17" s="4">
        <v>2419000000</v>
      </c>
      <c r="AD17" s="4">
        <v>2667000000</v>
      </c>
      <c r="AE17" s="4">
        <v>2132000000</v>
      </c>
      <c r="AF17" s="4">
        <v>2635000000</v>
      </c>
      <c r="AG17" s="4">
        <v>2247000000</v>
      </c>
      <c r="AH17" s="4">
        <v>2313000000</v>
      </c>
      <c r="AI17" s="4">
        <v>1685000000</v>
      </c>
      <c r="AJ17" s="4">
        <v>1959000000</v>
      </c>
      <c r="AK17" s="4">
        <v>1656000000</v>
      </c>
      <c r="AL17" s="4">
        <v>1583000000</v>
      </c>
      <c r="AM17" s="4">
        <v>1353000000</v>
      </c>
      <c r="AN17" s="4">
        <v>1352000000</v>
      </c>
      <c r="AO17" s="4">
        <v>963000000</v>
      </c>
      <c r="AP17" s="4">
        <v>622000000</v>
      </c>
      <c r="AQ17" s="4">
        <v>474000000</v>
      </c>
      <c r="AR17" s="4">
        <v>582000000</v>
      </c>
      <c r="AS17" s="4">
        <v>592000000</v>
      </c>
      <c r="AT17" s="4">
        <v>663000000</v>
      </c>
      <c r="AU17" s="4">
        <v>481000000</v>
      </c>
      <c r="AV17" s="4">
        <v>381000000</v>
      </c>
      <c r="AW17" s="4">
        <v>314000000</v>
      </c>
      <c r="AX17" s="4">
        <v>251000000</v>
      </c>
      <c r="AY17" s="4">
        <v>229000000</v>
      </c>
      <c r="AZ17" s="4">
        <v>209000000</v>
      </c>
      <c r="BA17" s="4">
        <v>137000000</v>
      </c>
      <c r="BB17" s="4">
        <v>188000000</v>
      </c>
      <c r="BC17" s="4">
        <v>185000000</v>
      </c>
      <c r="BD17" s="4">
        <v>215000000</v>
      </c>
      <c r="BE17" s="4">
        <v>128000000</v>
      </c>
      <c r="BF17" s="4">
        <v>211000000</v>
      </c>
      <c r="BG17" s="4">
        <v>139000000</v>
      </c>
      <c r="BH17" s="4">
        <v>195000000</v>
      </c>
      <c r="BI17" s="4">
        <v>213000000</v>
      </c>
      <c r="BJ17" s="4">
        <v>253000000</v>
      </c>
      <c r="BK17" s="4">
        <v>67000000</v>
      </c>
      <c r="BL17" s="4">
        <v>217000000</v>
      </c>
      <c r="BM17" s="4">
        <v>137000000</v>
      </c>
      <c r="BN17" s="4">
        <v>115000000</v>
      </c>
      <c r="BO17" s="4">
        <v>41000000</v>
      </c>
      <c r="BP17" s="4">
        <v>46000000</v>
      </c>
      <c r="BQ17" s="4">
        <v>31000000</v>
      </c>
      <c r="BR17" s="4">
        <v>66000000</v>
      </c>
      <c r="BS17" s="4">
        <v>-4000000</v>
      </c>
      <c r="BT17" s="4">
        <v>114000000</v>
      </c>
      <c r="BU17" s="4">
        <v>60000000</v>
      </c>
    </row>
    <row r="19" spans="1:73" x14ac:dyDescent="0.2">
      <c r="A19" s="1" t="s">
        <v>94</v>
      </c>
      <c r="B19" s="1">
        <v>-231000000</v>
      </c>
      <c r="C19" s="1">
        <v>-250000000</v>
      </c>
      <c r="D19" s="1">
        <v>-237000000</v>
      </c>
      <c r="E19" s="1">
        <v>-142000000</v>
      </c>
      <c r="F19" s="1">
        <v>-144000000</v>
      </c>
      <c r="G19" s="1">
        <v>-100000000</v>
      </c>
      <c r="H19" s="1">
        <v>-122000000</v>
      </c>
      <c r="I19" s="1">
        <v>-172000000</v>
      </c>
      <c r="J19" s="1">
        <v>-132000000</v>
      </c>
      <c r="K19" s="1">
        <v>-122000000</v>
      </c>
      <c r="L19" s="1">
        <v>-105000000</v>
      </c>
      <c r="M19" s="1">
        <v>-122000000</v>
      </c>
      <c r="N19" s="1">
        <v>-122000000</v>
      </c>
      <c r="O19" s="1">
        <v>-103000000</v>
      </c>
      <c r="P19" s="1">
        <v>-122000000</v>
      </c>
      <c r="Q19" s="1">
        <v>-116000000</v>
      </c>
      <c r="R19" s="1">
        <v>-85000000</v>
      </c>
      <c r="S19" s="1">
        <v>-101000000</v>
      </c>
      <c r="T19" s="1">
        <v>-88000000</v>
      </c>
      <c r="U19" s="1">
        <v>-115000000</v>
      </c>
      <c r="V19" s="1">
        <v>-126000000</v>
      </c>
      <c r="W19" s="1">
        <v>-114000000</v>
      </c>
      <c r="X19" s="1">
        <v>-102000000</v>
      </c>
      <c r="Y19" s="1">
        <v>-105000000</v>
      </c>
      <c r="Z19" s="1">
        <v>-148000000</v>
      </c>
      <c r="AA19" s="1">
        <v>-108000000</v>
      </c>
      <c r="AB19" s="1">
        <v>-96000000</v>
      </c>
      <c r="AC19" s="1">
        <v>-112000000</v>
      </c>
      <c r="AD19" s="1">
        <v>-125000000</v>
      </c>
      <c r="AE19" s="1">
        <v>-99000000</v>
      </c>
      <c r="AF19" s="1">
        <v>-106000000</v>
      </c>
      <c r="AG19" s="1">
        <v>-120000000</v>
      </c>
      <c r="AH19" s="1">
        <v>-189000000</v>
      </c>
      <c r="AI19" s="1">
        <v>-220000000</v>
      </c>
      <c r="AJ19" s="1">
        <v>-233000000</v>
      </c>
      <c r="AK19" s="1">
        <v>-255000000</v>
      </c>
      <c r="AL19" s="1">
        <v>-256000000</v>
      </c>
      <c r="AM19" s="1">
        <v>-325000000</v>
      </c>
      <c r="AN19" s="1">
        <v>-193000000</v>
      </c>
      <c r="AO19" s="1">
        <v>-232000000</v>
      </c>
      <c r="AP19" s="1">
        <v>-158000000</v>
      </c>
      <c r="AQ19" s="1">
        <v>-140000000</v>
      </c>
      <c r="AR19" s="1">
        <v>-106000000</v>
      </c>
      <c r="AS19" s="1">
        <v>-148000000</v>
      </c>
      <c r="AT19" s="1">
        <v>-177000000</v>
      </c>
      <c r="AU19" s="1">
        <v>-162000000</v>
      </c>
      <c r="AV19" s="1">
        <v>-189000000</v>
      </c>
      <c r="AW19" s="1">
        <v>-95000000</v>
      </c>
      <c r="AX19" s="1">
        <v>-73000000</v>
      </c>
      <c r="AY19" s="1">
        <v>-52000000</v>
      </c>
      <c r="AZ19" s="1">
        <v>-57000000</v>
      </c>
      <c r="BA19" s="1">
        <v>-65000000</v>
      </c>
      <c r="BB19" s="1">
        <v>-47000000</v>
      </c>
      <c r="BC19" s="1">
        <v>-67000000</v>
      </c>
      <c r="BD19" s="1">
        <v>-73000000</v>
      </c>
      <c r="BE19" s="1">
        <v>-65000000</v>
      </c>
      <c r="BF19" s="1">
        <v>-56000000</v>
      </c>
      <c r="BG19" s="1">
        <v>-47000000</v>
      </c>
      <c r="BH19" s="1">
        <v>-37000000</v>
      </c>
      <c r="BI19" s="1">
        <v>-24000000</v>
      </c>
      <c r="BJ19" s="1">
        <v>-19000000</v>
      </c>
      <c r="BK19" s="1">
        <v>-32000000</v>
      </c>
      <c r="BL19" s="1">
        <v>-30000000</v>
      </c>
      <c r="BM19" s="1">
        <v>-22000000</v>
      </c>
      <c r="BN19" s="1">
        <v>-18000000</v>
      </c>
      <c r="BO19" s="1">
        <v>-9000000</v>
      </c>
      <c r="BP19" s="1">
        <v>-20000000</v>
      </c>
      <c r="BQ19" s="1">
        <v>-12000000</v>
      </c>
      <c r="BR19" s="1">
        <v>-13000000</v>
      </c>
      <c r="BS19" s="1">
        <v>-12000000</v>
      </c>
      <c r="BT19" s="1">
        <v>-18000000</v>
      </c>
      <c r="BU19" s="1">
        <v>-19000000</v>
      </c>
    </row>
    <row r="20" spans="1:73" x14ac:dyDescent="0.2">
      <c r="A20" s="1" t="s">
        <v>93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-3485000000</v>
      </c>
      <c r="I20" s="1">
        <v>3483000000</v>
      </c>
      <c r="J20" s="1">
        <v>-560000000</v>
      </c>
      <c r="K20" s="1">
        <v>-25416000000</v>
      </c>
      <c r="L20" s="1">
        <v>-36000000</v>
      </c>
      <c r="M20" s="1">
        <v>-17000000</v>
      </c>
      <c r="N20" s="1">
        <v>0</v>
      </c>
      <c r="O20" s="1">
        <v>0</v>
      </c>
      <c r="P20" s="1">
        <v>-7000000</v>
      </c>
      <c r="Q20" s="1">
        <v>-5000000</v>
      </c>
      <c r="R20" s="1">
        <v>-234000000</v>
      </c>
      <c r="S20" s="1">
        <v>0</v>
      </c>
      <c r="T20" s="1">
        <v>45000000</v>
      </c>
      <c r="U20" s="1">
        <v>-8000000</v>
      </c>
      <c r="V20" s="1">
        <v>-8000000</v>
      </c>
      <c r="W20" s="1">
        <v>-8000000</v>
      </c>
      <c r="X20" s="1">
        <v>2000000</v>
      </c>
      <c r="Y20" s="1">
        <v>58000000</v>
      </c>
      <c r="Z20" s="1">
        <v>168000000</v>
      </c>
      <c r="AA20" s="1">
        <v>-10870000000</v>
      </c>
      <c r="AB20" s="1">
        <v>6000000</v>
      </c>
      <c r="AC20" s="1">
        <v>-6000000</v>
      </c>
      <c r="AD20" s="1">
        <v>-16027000000</v>
      </c>
      <c r="AE20" s="1">
        <v>-15070000000</v>
      </c>
      <c r="AF20" s="1">
        <v>-7000000</v>
      </c>
      <c r="AG20" s="1">
        <v>-7000000</v>
      </c>
      <c r="AH20" s="1">
        <v>1000000</v>
      </c>
      <c r="AI20" s="1">
        <v>-4004000000</v>
      </c>
      <c r="AJ20" s="1">
        <v>440000000</v>
      </c>
      <c r="AK20" s="1">
        <v>-3000000</v>
      </c>
      <c r="AL20" s="1">
        <v>-37000000</v>
      </c>
      <c r="AM20" s="1">
        <v>10000000</v>
      </c>
      <c r="AN20" s="1">
        <v>200000000</v>
      </c>
      <c r="AO20" s="1">
        <v>610000000</v>
      </c>
      <c r="AP20" s="1">
        <v>-10023000000</v>
      </c>
      <c r="AQ20" s="1">
        <v>68000000</v>
      </c>
      <c r="AR20" s="1">
        <v>0</v>
      </c>
      <c r="AS20" s="1">
        <v>-394000000</v>
      </c>
      <c r="AT20" s="1">
        <v>0</v>
      </c>
      <c r="AU20" s="1">
        <v>650000000</v>
      </c>
      <c r="AV20" s="1">
        <v>-317000000</v>
      </c>
      <c r="AW20" s="1">
        <v>-5644000000</v>
      </c>
      <c r="AX20" s="1">
        <v>0</v>
      </c>
      <c r="AY20" s="1">
        <v>0</v>
      </c>
      <c r="AZ20" s="1">
        <v>5000000</v>
      </c>
      <c r="BA20" s="1">
        <v>-400000000</v>
      </c>
      <c r="BB20" s="1">
        <v>-37000000</v>
      </c>
      <c r="BC20" s="1">
        <v>-9000000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-9000000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</row>
    <row r="21" spans="1:73" x14ac:dyDescent="0.2">
      <c r="A21" s="1" t="s">
        <v>92</v>
      </c>
      <c r="B21" s="1">
        <v>-23000000</v>
      </c>
      <c r="C21" s="1">
        <v>-114000000</v>
      </c>
      <c r="D21" s="1">
        <v>-336000000</v>
      </c>
      <c r="E21" s="1">
        <v>-99000000</v>
      </c>
      <c r="F21" s="1">
        <v>-57000000</v>
      </c>
      <c r="G21" s="1">
        <v>-105000000</v>
      </c>
      <c r="H21" s="1">
        <v>-30000000</v>
      </c>
      <c r="I21" s="1">
        <v>-73000000</v>
      </c>
      <c r="J21" s="1">
        <v>-59000000</v>
      </c>
      <c r="K21" s="1">
        <v>-13000000</v>
      </c>
      <c r="L21" s="1">
        <v>-58000000</v>
      </c>
      <c r="M21" s="1">
        <v>-91000000</v>
      </c>
      <c r="N21" s="1">
        <v>-197000000</v>
      </c>
      <c r="O21" s="1">
        <v>0</v>
      </c>
      <c r="P21" s="1">
        <v>0</v>
      </c>
      <c r="Q21" s="1">
        <v>-200000000</v>
      </c>
      <c r="R21" s="1">
        <v>-200000000</v>
      </c>
      <c r="S21" s="1">
        <v>-200000000</v>
      </c>
      <c r="T21" s="1">
        <v>0</v>
      </c>
      <c r="U21" s="1">
        <v>8000000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-5000000</v>
      </c>
      <c r="AD21" s="1">
        <v>-5000000</v>
      </c>
      <c r="AE21" s="1">
        <v>0</v>
      </c>
      <c r="AF21" s="1">
        <v>249000000</v>
      </c>
      <c r="AG21" s="1">
        <v>-249000000</v>
      </c>
      <c r="AH21" s="1">
        <v>-5000000</v>
      </c>
      <c r="AI21" s="1">
        <v>-244000000</v>
      </c>
      <c r="AJ21" s="1">
        <v>-7000000</v>
      </c>
      <c r="AK21" s="1">
        <v>0</v>
      </c>
      <c r="AL21" s="1">
        <v>-200000000</v>
      </c>
      <c r="AM21" s="1">
        <v>0</v>
      </c>
      <c r="AN21" s="1">
        <v>0</v>
      </c>
      <c r="AO21" s="1">
        <v>1000000</v>
      </c>
      <c r="AP21" s="1">
        <v>-58000000</v>
      </c>
      <c r="AQ21" s="1">
        <v>-1000000</v>
      </c>
      <c r="AR21" s="1">
        <v>-5000000</v>
      </c>
      <c r="AS21" s="1">
        <v>0</v>
      </c>
      <c r="AT21" s="1">
        <v>-9000000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-1000000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-9000000</v>
      </c>
      <c r="BL21" s="1">
        <v>0</v>
      </c>
      <c r="BM21" s="1">
        <v>-8000000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-32000000</v>
      </c>
      <c r="BU21" s="1">
        <v>0</v>
      </c>
    </row>
    <row r="22" spans="1:73" x14ac:dyDescent="0.2">
      <c r="A22" s="1" t="s">
        <v>91</v>
      </c>
      <c r="B22" s="1">
        <v>39000000</v>
      </c>
      <c r="C22" s="1">
        <v>244000000</v>
      </c>
      <c r="D22" s="1">
        <v>101000000</v>
      </c>
      <c r="E22" s="1">
        <v>51000000</v>
      </c>
      <c r="F22" s="1">
        <v>78000000</v>
      </c>
      <c r="G22" s="1">
        <v>18000000</v>
      </c>
      <c r="H22" s="1">
        <v>20000000</v>
      </c>
      <c r="I22" s="1">
        <v>5000000</v>
      </c>
      <c r="J22" s="1">
        <v>42000000</v>
      </c>
      <c r="K22" s="1">
        <v>89000000</v>
      </c>
      <c r="L22" s="1">
        <v>154000000</v>
      </c>
      <c r="M22" s="1">
        <v>74000000</v>
      </c>
      <c r="N22" s="1">
        <v>0</v>
      </c>
      <c r="O22" s="1">
        <v>0</v>
      </c>
      <c r="P22" s="1">
        <v>0</v>
      </c>
      <c r="Q22" s="1">
        <v>200000000</v>
      </c>
      <c r="R22" s="1">
        <v>191000000</v>
      </c>
      <c r="S22" s="1">
        <v>0</v>
      </c>
      <c r="T22" s="1">
        <v>102000000</v>
      </c>
      <c r="U22" s="1">
        <v>67000000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2000000</v>
      </c>
      <c r="AD22" s="1">
        <v>3000000</v>
      </c>
      <c r="AE22" s="1">
        <v>0</v>
      </c>
      <c r="AF22" s="1">
        <v>0</v>
      </c>
      <c r="AG22" s="1">
        <v>54000000</v>
      </c>
      <c r="AH22" s="1">
        <v>54000000</v>
      </c>
      <c r="AI22" s="1">
        <v>237000000</v>
      </c>
      <c r="AJ22" s="1">
        <v>200000000</v>
      </c>
      <c r="AK22" s="1">
        <v>0</v>
      </c>
      <c r="AL22" s="1">
        <v>0</v>
      </c>
      <c r="AM22" s="1">
        <v>0</v>
      </c>
      <c r="AN22" s="1">
        <v>15000000</v>
      </c>
      <c r="AO22" s="1">
        <v>57000000</v>
      </c>
      <c r="AP22" s="1">
        <v>32000000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21000000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</row>
    <row r="23" spans="1:73" x14ac:dyDescent="0.2">
      <c r="A23" s="1" t="s">
        <v>90</v>
      </c>
      <c r="B23" s="1">
        <v>7000000</v>
      </c>
      <c r="C23" s="1">
        <v>5000000</v>
      </c>
      <c r="D23" s="1">
        <v>105000000</v>
      </c>
      <c r="E23" s="1">
        <v>284000000</v>
      </c>
      <c r="F23" s="1">
        <v>-10000000</v>
      </c>
      <c r="G23" s="1">
        <v>13000000</v>
      </c>
      <c r="H23" s="1">
        <v>3485000000</v>
      </c>
      <c r="I23" s="1">
        <v>2000000</v>
      </c>
      <c r="J23" s="1">
        <v>3000000</v>
      </c>
      <c r="K23" s="1">
        <v>-15000000</v>
      </c>
      <c r="L23" s="1">
        <v>-79000000</v>
      </c>
      <c r="M23" s="1">
        <v>12000000</v>
      </c>
      <c r="N23" s="1">
        <v>1000000</v>
      </c>
      <c r="O23" s="1">
        <v>0</v>
      </c>
      <c r="P23" s="1">
        <v>1000000</v>
      </c>
      <c r="Q23" s="1">
        <v>201000000</v>
      </c>
      <c r="R23" s="1">
        <v>18000000</v>
      </c>
      <c r="S23" s="1">
        <v>-8000000</v>
      </c>
      <c r="T23" s="1">
        <v>-9000000</v>
      </c>
      <c r="U23" s="1">
        <v>1000000</v>
      </c>
      <c r="V23" s="1">
        <v>8000000</v>
      </c>
      <c r="W23" s="1">
        <v>0</v>
      </c>
      <c r="X23" s="1">
        <v>0</v>
      </c>
      <c r="Y23" s="1">
        <v>1000000</v>
      </c>
      <c r="Z23" s="1">
        <v>4000000</v>
      </c>
      <c r="AA23" s="1">
        <v>-9000000</v>
      </c>
      <c r="AB23" s="1">
        <v>2000000</v>
      </c>
      <c r="AC23" s="1">
        <v>86000000</v>
      </c>
      <c r="AD23" s="1">
        <v>16048000000</v>
      </c>
      <c r="AE23" s="1">
        <v>-24000000</v>
      </c>
      <c r="AF23" s="1">
        <v>-254000000</v>
      </c>
      <c r="AG23" s="1">
        <v>148000000</v>
      </c>
      <c r="AH23" s="1">
        <v>-16000000</v>
      </c>
      <c r="AI23" s="1">
        <v>4000000</v>
      </c>
      <c r="AJ23" s="1">
        <v>-4000000</v>
      </c>
      <c r="AK23" s="1">
        <v>0</v>
      </c>
      <c r="AL23" s="1">
        <v>0</v>
      </c>
      <c r="AM23" s="1">
        <v>-4000000</v>
      </c>
      <c r="AN23" s="1">
        <v>4000000</v>
      </c>
      <c r="AO23" s="1">
        <v>-10000000</v>
      </c>
      <c r="AP23" s="1">
        <v>0</v>
      </c>
      <c r="AQ23" s="1">
        <v>-12000000</v>
      </c>
      <c r="AR23" s="1">
        <v>47000000</v>
      </c>
      <c r="AS23" s="1">
        <v>0</v>
      </c>
      <c r="AT23" s="1">
        <v>37000000</v>
      </c>
      <c r="AU23" s="1">
        <v>26000000</v>
      </c>
      <c r="AV23" s="1">
        <v>450000000</v>
      </c>
      <c r="AW23" s="1">
        <v>0</v>
      </c>
      <c r="AX23" s="1">
        <v>14000000</v>
      </c>
      <c r="AY23" s="1">
        <v>0</v>
      </c>
      <c r="AZ23" s="1">
        <v>-2000000</v>
      </c>
      <c r="BA23" s="1">
        <v>28000000</v>
      </c>
      <c r="BB23" s="1">
        <v>0</v>
      </c>
      <c r="BC23" s="1">
        <v>0</v>
      </c>
      <c r="BD23" s="1">
        <v>-1000000</v>
      </c>
      <c r="BE23" s="1">
        <v>-2000000</v>
      </c>
      <c r="BF23" s="1">
        <v>0</v>
      </c>
      <c r="BG23" s="1">
        <v>0</v>
      </c>
      <c r="BH23" s="1">
        <v>-1000000</v>
      </c>
      <c r="BI23" s="1">
        <v>0</v>
      </c>
      <c r="BJ23" s="1">
        <v>0</v>
      </c>
      <c r="BK23" s="1">
        <v>9000000</v>
      </c>
      <c r="BL23" s="1">
        <v>0</v>
      </c>
      <c r="BM23" s="1">
        <v>1000000</v>
      </c>
      <c r="BN23" s="1">
        <v>0</v>
      </c>
      <c r="BO23" s="1">
        <v>0</v>
      </c>
      <c r="BP23" s="1">
        <v>-1000000</v>
      </c>
      <c r="BQ23" s="1">
        <v>0</v>
      </c>
      <c r="BR23" s="1">
        <v>-5000000</v>
      </c>
      <c r="BS23" s="1">
        <v>0</v>
      </c>
      <c r="BT23" s="1">
        <v>5000000</v>
      </c>
      <c r="BU23" s="1">
        <v>25000000</v>
      </c>
    </row>
    <row r="24" spans="1:73" x14ac:dyDescent="0.2">
      <c r="A24" s="6" t="s">
        <v>89</v>
      </c>
      <c r="B24" s="4">
        <v>-208000000</v>
      </c>
      <c r="C24" s="4">
        <v>-115000000</v>
      </c>
      <c r="D24" s="4">
        <v>-367000000</v>
      </c>
      <c r="E24" s="4">
        <v>94000000</v>
      </c>
      <c r="F24" s="4">
        <v>-133000000</v>
      </c>
      <c r="G24" s="4">
        <v>-174000000</v>
      </c>
      <c r="H24" s="4">
        <v>-132000000</v>
      </c>
      <c r="I24" s="4">
        <v>3245000000</v>
      </c>
      <c r="J24" s="4">
        <v>-706000000</v>
      </c>
      <c r="K24" s="4">
        <v>-25477000000</v>
      </c>
      <c r="L24" s="4">
        <v>-124000000</v>
      </c>
      <c r="M24" s="4">
        <v>-144000000</v>
      </c>
      <c r="N24" s="4">
        <v>-318000000</v>
      </c>
      <c r="O24" s="4">
        <v>-103000000</v>
      </c>
      <c r="P24" s="4">
        <v>-128000000</v>
      </c>
      <c r="Q24" s="4">
        <v>80000000</v>
      </c>
      <c r="R24" s="4">
        <v>-310000000</v>
      </c>
      <c r="S24" s="4">
        <v>-309000000</v>
      </c>
      <c r="T24" s="4">
        <v>50000000</v>
      </c>
      <c r="U24" s="4">
        <v>-47000000</v>
      </c>
      <c r="V24" s="4">
        <v>-126000000</v>
      </c>
      <c r="W24" s="4">
        <v>-122000000</v>
      </c>
      <c r="X24" s="4">
        <v>-100000000</v>
      </c>
      <c r="Y24" s="4">
        <v>-46000000</v>
      </c>
      <c r="Z24" s="4">
        <v>24000000</v>
      </c>
      <c r="AA24" s="4">
        <v>-10987000000</v>
      </c>
      <c r="AB24" s="4">
        <v>-88000000</v>
      </c>
      <c r="AC24" s="4">
        <v>-35000000</v>
      </c>
      <c r="AD24" s="4">
        <v>-106000000</v>
      </c>
      <c r="AE24" s="4">
        <v>-15193000000</v>
      </c>
      <c r="AF24" s="4">
        <v>-118000000</v>
      </c>
      <c r="AG24" s="4">
        <v>-174000000</v>
      </c>
      <c r="AH24" s="4">
        <v>-155000000</v>
      </c>
      <c r="AI24" s="4">
        <v>-4227000000</v>
      </c>
      <c r="AJ24" s="4">
        <v>396000000</v>
      </c>
      <c r="AK24" s="4">
        <v>-258000000</v>
      </c>
      <c r="AL24" s="4">
        <v>-493000000</v>
      </c>
      <c r="AM24" s="4">
        <v>-319000000</v>
      </c>
      <c r="AN24" s="4">
        <v>26000000</v>
      </c>
      <c r="AO24" s="4">
        <v>426000000</v>
      </c>
      <c r="AP24" s="4">
        <v>-10207000000</v>
      </c>
      <c r="AQ24" s="4">
        <v>-85000000</v>
      </c>
      <c r="AR24" s="4">
        <v>-64000000</v>
      </c>
      <c r="AS24" s="4">
        <v>-542000000</v>
      </c>
      <c r="AT24" s="4">
        <v>-149000000</v>
      </c>
      <c r="AU24" s="4">
        <v>514000000</v>
      </c>
      <c r="AV24" s="4">
        <v>-35000000</v>
      </c>
      <c r="AW24" s="4">
        <v>-5739000000</v>
      </c>
      <c r="AX24" s="4">
        <v>-59000000</v>
      </c>
      <c r="AY24" s="4">
        <v>-52000000</v>
      </c>
      <c r="AZ24" s="4">
        <v>-54000000</v>
      </c>
      <c r="BA24" s="4">
        <v>-438000000</v>
      </c>
      <c r="BB24" s="4">
        <v>-84000000</v>
      </c>
      <c r="BC24" s="4">
        <v>-76000000</v>
      </c>
      <c r="BD24" s="4">
        <v>-74000000</v>
      </c>
      <c r="BE24" s="4">
        <v>-67000000</v>
      </c>
      <c r="BF24" s="4">
        <v>-56000000</v>
      </c>
      <c r="BG24" s="4">
        <v>-47000000</v>
      </c>
      <c r="BH24" s="4">
        <v>-38000000</v>
      </c>
      <c r="BI24" s="4">
        <v>-24000000</v>
      </c>
      <c r="BJ24" s="4">
        <v>-19000000</v>
      </c>
      <c r="BK24" s="4">
        <v>-41000000</v>
      </c>
      <c r="BL24" s="4">
        <v>-30000000</v>
      </c>
      <c r="BM24" s="4">
        <v>-29000000</v>
      </c>
      <c r="BN24" s="4">
        <v>-18000000</v>
      </c>
      <c r="BO24" s="4">
        <v>-9000000</v>
      </c>
      <c r="BP24" s="4">
        <v>-21000000</v>
      </c>
      <c r="BQ24" s="4">
        <v>-12000000</v>
      </c>
      <c r="BR24" s="4">
        <v>-18000000</v>
      </c>
      <c r="BS24" s="4">
        <v>-12000000</v>
      </c>
      <c r="BT24" s="4">
        <v>-45000000</v>
      </c>
      <c r="BU24" s="4">
        <v>6000000</v>
      </c>
    </row>
    <row r="26" spans="1:73" x14ac:dyDescent="0.2">
      <c r="A26" s="1" t="s">
        <v>88</v>
      </c>
      <c r="B26" s="1">
        <v>-1250000000</v>
      </c>
      <c r="C26" s="1">
        <v>824000000</v>
      </c>
      <c r="D26" s="1">
        <v>845000000</v>
      </c>
      <c r="E26" s="1">
        <v>-3163000000</v>
      </c>
      <c r="F26" s="1">
        <v>630000000</v>
      </c>
      <c r="G26" s="1">
        <v>-1124000000</v>
      </c>
      <c r="H26" s="1">
        <v>-2503000000</v>
      </c>
      <c r="I26" s="1">
        <v>-4227000000</v>
      </c>
      <c r="J26" s="1">
        <v>-2000000000</v>
      </c>
      <c r="K26" s="1">
        <v>29076000000</v>
      </c>
      <c r="L26" s="1">
        <v>-143000000</v>
      </c>
      <c r="M26" s="1">
        <v>0</v>
      </c>
      <c r="N26" s="1">
        <v>0</v>
      </c>
      <c r="O26" s="1">
        <v>-260000000</v>
      </c>
      <c r="P26" s="1">
        <v>-9000000</v>
      </c>
      <c r="Q26" s="1">
        <v>0</v>
      </c>
      <c r="R26" s="1">
        <v>-162000000</v>
      </c>
      <c r="S26" s="1">
        <v>-255000000</v>
      </c>
      <c r="T26" s="1">
        <v>-762000000</v>
      </c>
      <c r="U26" s="1">
        <v>0</v>
      </c>
      <c r="V26" s="1">
        <v>-1533000000</v>
      </c>
      <c r="W26" s="1">
        <v>704000000</v>
      </c>
      <c r="X26" s="1">
        <v>-3000000000</v>
      </c>
      <c r="Y26" s="1">
        <v>-1900000000</v>
      </c>
      <c r="Z26" s="1">
        <v>1041000000</v>
      </c>
      <c r="AA26" s="1">
        <v>11562000000</v>
      </c>
      <c r="AB26" s="1">
        <v>-4904000000</v>
      </c>
      <c r="AC26" s="1">
        <v>-230000000</v>
      </c>
      <c r="AD26" s="1">
        <v>-59000000</v>
      </c>
      <c r="AE26" s="1">
        <v>18427000000</v>
      </c>
      <c r="AF26" s="1">
        <v>-117000000</v>
      </c>
      <c r="AG26" s="1">
        <v>0</v>
      </c>
      <c r="AH26" s="1">
        <v>0</v>
      </c>
      <c r="AI26" s="1">
        <v>-856000000</v>
      </c>
      <c r="AJ26" s="1">
        <v>3990000000</v>
      </c>
      <c r="AK26" s="1">
        <v>-6000000</v>
      </c>
      <c r="AL26" s="1">
        <v>-20000000</v>
      </c>
      <c r="AM26" s="1">
        <v>-222000000</v>
      </c>
      <c r="AN26" s="1">
        <v>-113000000</v>
      </c>
      <c r="AO26" s="1">
        <v>-1306000000</v>
      </c>
      <c r="AP26" s="1">
        <v>9623000000</v>
      </c>
      <c r="AQ26" s="1">
        <v>-11000000</v>
      </c>
      <c r="AR26" s="1">
        <v>-12000000</v>
      </c>
      <c r="AS26" s="1">
        <v>-1188000000</v>
      </c>
      <c r="AT26" s="1">
        <v>-605000000</v>
      </c>
      <c r="AU26" s="1">
        <v>-12000000</v>
      </c>
      <c r="AV26" s="1">
        <v>-12000000</v>
      </c>
      <c r="AW26" s="1">
        <v>5599000000</v>
      </c>
      <c r="AX26" s="1">
        <v>0</v>
      </c>
      <c r="AY26" s="1">
        <v>0</v>
      </c>
      <c r="AZ26" s="1">
        <v>-1000000</v>
      </c>
      <c r="BA26" s="1">
        <v>0</v>
      </c>
      <c r="BB26" s="1">
        <v>0</v>
      </c>
      <c r="BC26" s="1">
        <v>0</v>
      </c>
      <c r="BD26" s="1">
        <v>0</v>
      </c>
      <c r="BE26" s="1">
        <v>-1000000</v>
      </c>
      <c r="BF26" s="1">
        <v>-1000000</v>
      </c>
      <c r="BG26" s="1">
        <v>0</v>
      </c>
      <c r="BH26" s="1">
        <v>-1000000</v>
      </c>
      <c r="BI26" s="1">
        <v>0</v>
      </c>
      <c r="BJ26" s="1">
        <v>-1000000</v>
      </c>
      <c r="BK26" s="1">
        <v>-231000000</v>
      </c>
      <c r="BL26" s="1">
        <v>-1000000</v>
      </c>
      <c r="BM26" s="1">
        <v>0</v>
      </c>
      <c r="BN26" s="1">
        <v>-1000000</v>
      </c>
      <c r="BO26" s="1">
        <v>-364000000</v>
      </c>
      <c r="BP26" s="1">
        <v>-112000000</v>
      </c>
      <c r="BQ26" s="1">
        <v>-1000000</v>
      </c>
      <c r="BR26" s="1">
        <v>0</v>
      </c>
      <c r="BS26" s="1">
        <v>-2000000</v>
      </c>
      <c r="BT26" s="1">
        <v>0</v>
      </c>
      <c r="BU26" s="1">
        <v>-2000000</v>
      </c>
    </row>
    <row r="27" spans="1:73" x14ac:dyDescent="0.2">
      <c r="A27" s="1" t="s">
        <v>87</v>
      </c>
      <c r="B27" s="1">
        <v>113000000</v>
      </c>
      <c r="C27" s="1">
        <v>0</v>
      </c>
      <c r="D27" s="1">
        <v>103000000</v>
      </c>
      <c r="E27" s="1">
        <v>0</v>
      </c>
      <c r="F27" s="1">
        <v>118000000</v>
      </c>
      <c r="G27" s="1">
        <v>0</v>
      </c>
      <c r="H27" s="1">
        <v>126000000</v>
      </c>
      <c r="I27" s="1">
        <v>0</v>
      </c>
      <c r="J27" s="1">
        <v>64000000</v>
      </c>
      <c r="K27" s="1">
        <v>0</v>
      </c>
      <c r="L27" s="1">
        <v>59000000</v>
      </c>
      <c r="M27" s="1">
        <v>0</v>
      </c>
      <c r="N27" s="1">
        <v>63000000</v>
      </c>
      <c r="O27" s="1">
        <v>0</v>
      </c>
      <c r="P27" s="1">
        <v>54000000</v>
      </c>
      <c r="Q27" s="1">
        <v>0</v>
      </c>
      <c r="R27" s="1">
        <v>59000000</v>
      </c>
      <c r="S27" s="1">
        <v>1000000</v>
      </c>
      <c r="T27" s="1">
        <v>57000000</v>
      </c>
      <c r="U27" s="1">
        <v>7000000</v>
      </c>
      <c r="V27" s="1">
        <v>71000000</v>
      </c>
      <c r="W27" s="1">
        <v>35000000</v>
      </c>
      <c r="X27" s="1">
        <v>102000000</v>
      </c>
      <c r="Y27" s="1">
        <v>46000000</v>
      </c>
      <c r="Z27" s="1">
        <v>91000000</v>
      </c>
      <c r="AA27" s="1">
        <v>37000000</v>
      </c>
      <c r="AB27" s="1">
        <v>59000000</v>
      </c>
      <c r="AC27" s="1">
        <v>11000000</v>
      </c>
      <c r="AD27" s="1">
        <v>121000000</v>
      </c>
      <c r="AE27" s="1">
        <v>62000000</v>
      </c>
      <c r="AF27" s="1">
        <v>38000000</v>
      </c>
      <c r="AG27" s="1">
        <v>39000000</v>
      </c>
      <c r="AH27" s="1">
        <v>78000000</v>
      </c>
      <c r="AI27" s="1">
        <v>34000000</v>
      </c>
      <c r="AJ27" s="1">
        <v>66000000</v>
      </c>
      <c r="AK27" s="1">
        <v>41000000</v>
      </c>
      <c r="AL27" s="1">
        <v>89000000</v>
      </c>
      <c r="AM27" s="1">
        <v>61000000</v>
      </c>
      <c r="AN27" s="1">
        <v>78000000</v>
      </c>
      <c r="AO27" s="1">
        <v>38000000</v>
      </c>
      <c r="AP27" s="1">
        <v>107000000</v>
      </c>
      <c r="AQ27" s="1">
        <v>72000000</v>
      </c>
      <c r="AR27" s="1">
        <v>55000000</v>
      </c>
      <c r="AS27" s="1">
        <v>56000000</v>
      </c>
      <c r="AT27" s="1">
        <v>79000000</v>
      </c>
      <c r="AU27" s="1">
        <v>51000000</v>
      </c>
      <c r="AV27" s="1">
        <v>38000000</v>
      </c>
      <c r="AW27" s="1">
        <v>33000000</v>
      </c>
      <c r="AX27" s="1">
        <v>34000000</v>
      </c>
      <c r="AY27" s="1">
        <v>19000000</v>
      </c>
      <c r="AZ27" s="1">
        <v>41000000</v>
      </c>
      <c r="BA27" s="1">
        <v>32000000</v>
      </c>
      <c r="BB27" s="1">
        <v>18000000</v>
      </c>
      <c r="BC27" s="1">
        <v>10000000</v>
      </c>
      <c r="BD27" s="1">
        <v>16000000</v>
      </c>
      <c r="BE27" s="1">
        <v>6000000</v>
      </c>
      <c r="BF27" s="1">
        <v>17000000</v>
      </c>
      <c r="BG27" s="1">
        <v>5000000</v>
      </c>
      <c r="BH27" s="1">
        <v>15000000</v>
      </c>
      <c r="BI27" s="1">
        <v>11000000</v>
      </c>
      <c r="BJ27" s="1">
        <v>22000000</v>
      </c>
      <c r="BK27" s="1">
        <v>22000000</v>
      </c>
      <c r="BL27" s="1">
        <v>6000000</v>
      </c>
      <c r="BM27" s="1">
        <v>3000000</v>
      </c>
      <c r="BN27" s="1">
        <v>15000000</v>
      </c>
      <c r="BO27" s="1">
        <v>4000000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</row>
    <row r="28" spans="1:73" x14ac:dyDescent="0.2">
      <c r="A28" s="1" t="s">
        <v>86</v>
      </c>
      <c r="B28" s="1">
        <v>-600000000</v>
      </c>
      <c r="C28" s="1">
        <v>-7850000000</v>
      </c>
      <c r="D28" s="1">
        <v>0</v>
      </c>
      <c r="E28" s="1">
        <v>-58000000</v>
      </c>
      <c r="F28" s="1">
        <v>-4216000000</v>
      </c>
      <c r="G28" s="1">
        <v>-2036000000</v>
      </c>
      <c r="H28" s="1">
        <v>-1204000000</v>
      </c>
      <c r="I28" s="1">
        <v>-1350000000</v>
      </c>
      <c r="J28" s="1">
        <v>-1548000000</v>
      </c>
      <c r="K28" s="1">
        <v>-8290000000</v>
      </c>
      <c r="L28" s="1">
        <v>-577000000</v>
      </c>
      <c r="M28" s="1">
        <v>-2167000000</v>
      </c>
      <c r="N28" s="1">
        <v>-3420000000</v>
      </c>
      <c r="O28" s="1">
        <v>-1521000000</v>
      </c>
      <c r="P28" s="1">
        <v>-274000000</v>
      </c>
      <c r="Q28" s="1">
        <v>-1792000000</v>
      </c>
      <c r="R28" s="1">
        <v>-3290000000</v>
      </c>
      <c r="S28" s="1">
        <v>-3099000000</v>
      </c>
      <c r="T28" s="1">
        <v>-266000000</v>
      </c>
      <c r="U28" s="1">
        <v>-347000000</v>
      </c>
      <c r="V28" s="1">
        <v>-461000000</v>
      </c>
      <c r="W28" s="1">
        <v>-225000000</v>
      </c>
      <c r="X28" s="1">
        <v>-185000000</v>
      </c>
      <c r="Y28" s="1">
        <v>-192000000</v>
      </c>
      <c r="Z28" s="1">
        <v>-219000000</v>
      </c>
      <c r="AA28" s="1">
        <v>-169000000</v>
      </c>
      <c r="AB28" s="1">
        <v>-587000000</v>
      </c>
      <c r="AC28" s="1">
        <v>-977000000</v>
      </c>
      <c r="AD28" s="1">
        <v>-1330000000</v>
      </c>
      <c r="AE28" s="1">
        <v>-3513000000</v>
      </c>
      <c r="AF28" s="1">
        <v>-1533000000</v>
      </c>
      <c r="AG28" s="1">
        <v>-5411000000</v>
      </c>
      <c r="AH28" s="1">
        <v>-347000000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-12000000</v>
      </c>
      <c r="AZ28" s="1">
        <v>-33000000</v>
      </c>
      <c r="BA28" s="1">
        <v>-38000000</v>
      </c>
      <c r="BB28" s="1">
        <v>-11000000</v>
      </c>
      <c r="BC28" s="1">
        <v>-13000000</v>
      </c>
      <c r="BD28" s="1">
        <v>-10000000</v>
      </c>
      <c r="BE28" s="1">
        <v>-15000000</v>
      </c>
      <c r="BF28" s="1">
        <v>-6000000</v>
      </c>
      <c r="BG28" s="1">
        <v>-79000000</v>
      </c>
      <c r="BH28" s="1">
        <v>-25000000</v>
      </c>
      <c r="BI28" s="1">
        <v>-68000000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-5000000</v>
      </c>
      <c r="BR28" s="1">
        <v>0</v>
      </c>
      <c r="BS28" s="1">
        <v>0</v>
      </c>
      <c r="BT28" s="1">
        <v>-1000000</v>
      </c>
      <c r="BU28" s="1">
        <v>0</v>
      </c>
    </row>
    <row r="29" spans="1:73" x14ac:dyDescent="0.2">
      <c r="A29" s="1" t="s">
        <v>85</v>
      </c>
      <c r="B29" s="1">
        <v>-3092000000</v>
      </c>
      <c r="C29" s="1">
        <v>-3086000000</v>
      </c>
      <c r="D29" s="1">
        <v>-2797000000</v>
      </c>
      <c r="E29" s="1">
        <v>-2786000000</v>
      </c>
      <c r="F29" s="1">
        <v>-2785000000</v>
      </c>
      <c r="G29" s="1">
        <v>-2774000000</v>
      </c>
      <c r="H29" s="1">
        <v>-2484000000</v>
      </c>
      <c r="I29" s="1">
        <v>-2452000000</v>
      </c>
      <c r="J29" s="1">
        <v>-2443000000</v>
      </c>
      <c r="K29" s="1">
        <v>-2435000000</v>
      </c>
      <c r="L29" s="1">
        <v>-1904000000</v>
      </c>
      <c r="M29" s="1">
        <v>-1901000000</v>
      </c>
      <c r="N29" s="1">
        <v>-1914000000</v>
      </c>
      <c r="O29" s="1">
        <v>-1926000000</v>
      </c>
      <c r="P29" s="1">
        <v>-1782000000</v>
      </c>
      <c r="Q29" s="1">
        <v>-1736000000</v>
      </c>
      <c r="R29" s="1">
        <v>-1750000000</v>
      </c>
      <c r="S29" s="1">
        <v>-1764000000</v>
      </c>
      <c r="T29" s="1">
        <v>-1561000000</v>
      </c>
      <c r="U29" s="1">
        <v>-1556000000</v>
      </c>
      <c r="V29" s="1">
        <v>-1552000000</v>
      </c>
      <c r="W29" s="1">
        <v>-1543000000</v>
      </c>
      <c r="X29" s="1">
        <v>-1395000000</v>
      </c>
      <c r="Y29" s="1">
        <v>-1386000000</v>
      </c>
      <c r="Z29" s="1">
        <v>-1381000000</v>
      </c>
      <c r="AA29" s="1">
        <v>-1372000000</v>
      </c>
      <c r="AB29" s="1">
        <v>-1054000000</v>
      </c>
      <c r="AC29" s="1">
        <v>-1057000000</v>
      </c>
      <c r="AD29" s="1">
        <v>-1057000000</v>
      </c>
      <c r="AE29" s="1">
        <v>-1067000000</v>
      </c>
      <c r="AF29" s="1">
        <v>-723000000</v>
      </c>
      <c r="AG29" s="1">
        <v>-754000000</v>
      </c>
      <c r="AH29" s="1">
        <v>-766000000</v>
      </c>
      <c r="AI29" s="1">
        <v>-755000000</v>
      </c>
      <c r="AJ29" s="1">
        <v>-439000000</v>
      </c>
      <c r="AK29" s="1">
        <v>-438000000</v>
      </c>
      <c r="AL29" s="1">
        <v>-437000000</v>
      </c>
      <c r="AM29" s="1">
        <v>-431000000</v>
      </c>
      <c r="AN29" s="1">
        <v>-202000000</v>
      </c>
      <c r="AO29" s="1">
        <v>-199000000</v>
      </c>
      <c r="AP29" s="1">
        <v>-204000000</v>
      </c>
      <c r="AQ29" s="1">
        <v>-122000000</v>
      </c>
      <c r="AR29" s="1">
        <v>-116000000</v>
      </c>
      <c r="AS29" s="1">
        <v>-104000000</v>
      </c>
      <c r="AT29" s="1">
        <v>-99000000</v>
      </c>
      <c r="AU29" s="1">
        <v>-89000000</v>
      </c>
      <c r="AV29" s="1">
        <v>-81000000</v>
      </c>
      <c r="AW29" s="1">
        <v>-73000000</v>
      </c>
      <c r="AX29" s="1">
        <v>-68000000</v>
      </c>
      <c r="AY29" s="1">
        <v>-62000000</v>
      </c>
      <c r="AZ29" s="1">
        <v>-57000000</v>
      </c>
      <c r="BA29" s="1">
        <v>-52000000</v>
      </c>
      <c r="BB29" s="1">
        <v>-47000000</v>
      </c>
      <c r="BC29" s="1">
        <v>-42000000</v>
      </c>
      <c r="BD29" s="1">
        <v>-39000000</v>
      </c>
      <c r="BE29" s="1">
        <v>-37000000</v>
      </c>
      <c r="BF29" s="1">
        <v>-32000000</v>
      </c>
      <c r="BG29" s="1">
        <v>-29000000</v>
      </c>
      <c r="BH29" s="1">
        <v>-27000000</v>
      </c>
      <c r="BI29" s="1">
        <v>-22000000</v>
      </c>
      <c r="BJ29" s="1">
        <v>-20000000</v>
      </c>
      <c r="BK29" s="1">
        <v>-17000000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</row>
    <row r="30" spans="1:73" x14ac:dyDescent="0.2">
      <c r="A30" s="1" t="s">
        <v>84</v>
      </c>
      <c r="B30" s="1">
        <v>-2000000</v>
      </c>
      <c r="C30" s="1">
        <v>-37000000</v>
      </c>
      <c r="D30" s="1">
        <v>-27000000</v>
      </c>
      <c r="E30" s="1">
        <v>-7000000</v>
      </c>
      <c r="F30" s="1">
        <v>-4000000</v>
      </c>
      <c r="G30" s="1">
        <v>-46000000</v>
      </c>
      <c r="H30" s="1">
        <v>-11000000</v>
      </c>
      <c r="I30" s="1">
        <v>-36000000</v>
      </c>
      <c r="J30" s="1">
        <v>-2000000</v>
      </c>
      <c r="K30" s="1">
        <v>-14000000</v>
      </c>
      <c r="L30" s="1">
        <v>-5000000</v>
      </c>
      <c r="M30" s="1">
        <v>-5000000</v>
      </c>
      <c r="N30" s="1">
        <v>-7000000</v>
      </c>
      <c r="O30" s="1">
        <v>5000000</v>
      </c>
      <c r="P30" s="1">
        <v>-5000000</v>
      </c>
      <c r="Q30" s="1">
        <v>-4000000</v>
      </c>
      <c r="R30" s="1">
        <v>-5000000</v>
      </c>
      <c r="S30" s="1">
        <v>-3000000</v>
      </c>
      <c r="T30" s="1">
        <v>-1000000</v>
      </c>
      <c r="U30" s="1">
        <v>-11000000</v>
      </c>
      <c r="V30" s="1">
        <v>-2000000</v>
      </c>
      <c r="W30" s="1">
        <v>-28000000</v>
      </c>
      <c r="X30" s="1">
        <v>-9000000</v>
      </c>
      <c r="Y30" s="1">
        <v>-50000000</v>
      </c>
      <c r="Z30" s="1">
        <v>-6000000</v>
      </c>
      <c r="AA30" s="1">
        <v>-4000000</v>
      </c>
      <c r="AB30" s="1">
        <v>3688000000</v>
      </c>
      <c r="AC30" s="1">
        <v>3000000</v>
      </c>
      <c r="AD30" s="1">
        <v>-1000000</v>
      </c>
      <c r="AE30" s="1">
        <v>-47000000</v>
      </c>
      <c r="AF30" s="1">
        <v>-26000000</v>
      </c>
      <c r="AG30" s="1">
        <v>2000000</v>
      </c>
      <c r="AH30" s="1">
        <v>-12000000</v>
      </c>
      <c r="AI30" s="1">
        <v>-9000000</v>
      </c>
      <c r="AJ30" s="1">
        <v>-17000000</v>
      </c>
      <c r="AK30" s="1">
        <v>0</v>
      </c>
      <c r="AL30" s="1">
        <v>-4000000</v>
      </c>
      <c r="AM30" s="1">
        <v>-3000000</v>
      </c>
      <c r="AN30" s="1">
        <v>-5000000</v>
      </c>
      <c r="AO30" s="1">
        <v>-2000000</v>
      </c>
      <c r="AP30" s="1">
        <v>-69000000</v>
      </c>
      <c r="AQ30" s="1">
        <v>19000000</v>
      </c>
      <c r="AR30" s="1">
        <v>23000000</v>
      </c>
      <c r="AS30" s="1">
        <v>32000000</v>
      </c>
      <c r="AT30" s="1">
        <v>50000000</v>
      </c>
      <c r="AU30" s="1">
        <v>20000000</v>
      </c>
      <c r="AV30" s="1">
        <v>36000000</v>
      </c>
      <c r="AW30" s="1">
        <v>-135000000</v>
      </c>
      <c r="AX30" s="1">
        <v>8000000</v>
      </c>
      <c r="AY30" s="1">
        <v>5000000</v>
      </c>
      <c r="AZ30" s="1">
        <v>17000000</v>
      </c>
      <c r="BA30" s="1">
        <v>3000000</v>
      </c>
      <c r="BB30" s="1">
        <v>4000000</v>
      </c>
      <c r="BC30" s="1">
        <v>3000000</v>
      </c>
      <c r="BD30" s="1">
        <v>3000000</v>
      </c>
      <c r="BE30" s="1">
        <v>5000000</v>
      </c>
      <c r="BF30" s="1">
        <v>2000000</v>
      </c>
      <c r="BG30" s="1">
        <v>1000000</v>
      </c>
      <c r="BH30" s="1">
        <v>6000000</v>
      </c>
      <c r="BI30" s="1">
        <v>-2000000</v>
      </c>
      <c r="BJ30" s="1">
        <v>-2000000</v>
      </c>
      <c r="BK30" s="1">
        <v>2000000</v>
      </c>
      <c r="BL30" s="1">
        <v>2000000</v>
      </c>
      <c r="BM30" s="1">
        <v>0</v>
      </c>
      <c r="BN30" s="1">
        <v>1000000</v>
      </c>
      <c r="BO30" s="1">
        <v>0</v>
      </c>
      <c r="BP30" s="1">
        <v>1000000</v>
      </c>
      <c r="BQ30" s="1">
        <v>0</v>
      </c>
      <c r="BR30" s="1">
        <v>-2000000</v>
      </c>
      <c r="BS30" s="1">
        <v>0</v>
      </c>
      <c r="BT30" s="1">
        <v>-3000000</v>
      </c>
      <c r="BU30" s="1">
        <v>1000000</v>
      </c>
    </row>
    <row r="31" spans="1:73" x14ac:dyDescent="0.2">
      <c r="A31" s="6" t="s">
        <v>83</v>
      </c>
      <c r="B31" s="4">
        <v>-4831000000</v>
      </c>
      <c r="C31" s="4">
        <v>-10149000000</v>
      </c>
      <c r="D31" s="4">
        <v>-1876000000</v>
      </c>
      <c r="E31" s="4">
        <v>-6014000000</v>
      </c>
      <c r="F31" s="4">
        <v>-6257000000</v>
      </c>
      <c r="G31" s="4">
        <v>-5980000000</v>
      </c>
      <c r="H31" s="4">
        <v>-6076000000</v>
      </c>
      <c r="I31" s="4">
        <v>-8065000000</v>
      </c>
      <c r="J31" s="4">
        <v>-5929000000</v>
      </c>
      <c r="K31" s="4">
        <v>18337000000</v>
      </c>
      <c r="L31" s="4">
        <v>-2570000000</v>
      </c>
      <c r="M31" s="4">
        <v>-4073000000</v>
      </c>
      <c r="N31" s="4">
        <v>-5278000000</v>
      </c>
      <c r="O31" s="4">
        <v>-3702000000</v>
      </c>
      <c r="P31" s="4">
        <v>-2016000000</v>
      </c>
      <c r="Q31" s="4">
        <v>-3532000000</v>
      </c>
      <c r="R31" s="4">
        <v>-5147000000</v>
      </c>
      <c r="S31" s="4">
        <v>-5121000000</v>
      </c>
      <c r="T31" s="4">
        <v>-2533000000</v>
      </c>
      <c r="U31" s="4">
        <v>-1907000000</v>
      </c>
      <c r="V31" s="4">
        <v>-3477000000</v>
      </c>
      <c r="W31" s="4">
        <v>-1057000000</v>
      </c>
      <c r="X31" s="4">
        <v>-4487000000</v>
      </c>
      <c r="Y31" s="4">
        <v>-3482000000</v>
      </c>
      <c r="Z31" s="4">
        <v>-474000000</v>
      </c>
      <c r="AA31" s="4">
        <v>10054000000</v>
      </c>
      <c r="AB31" s="4">
        <v>-2798000000</v>
      </c>
      <c r="AC31" s="4">
        <v>-2250000000</v>
      </c>
      <c r="AD31" s="4">
        <v>-2326000000</v>
      </c>
      <c r="AE31" s="4">
        <v>13862000000</v>
      </c>
      <c r="AF31" s="4">
        <v>-2361000000</v>
      </c>
      <c r="AG31" s="4">
        <v>-6124000000</v>
      </c>
      <c r="AH31" s="4">
        <v>-1047000000</v>
      </c>
      <c r="AI31" s="4">
        <v>-1586000000</v>
      </c>
      <c r="AJ31" s="4">
        <v>3600000000</v>
      </c>
      <c r="AK31" s="4">
        <v>-403000000</v>
      </c>
      <c r="AL31" s="4">
        <v>-372000000</v>
      </c>
      <c r="AM31" s="4">
        <v>-595000000</v>
      </c>
      <c r="AN31" s="4">
        <v>-242000000</v>
      </c>
      <c r="AO31" s="4">
        <v>-1469000000</v>
      </c>
      <c r="AP31" s="4">
        <v>9457000000</v>
      </c>
      <c r="AQ31" s="4">
        <v>-42000000</v>
      </c>
      <c r="AR31" s="4">
        <v>-50000000</v>
      </c>
      <c r="AS31" s="4">
        <v>-1204000000</v>
      </c>
      <c r="AT31" s="4">
        <v>-575000000</v>
      </c>
      <c r="AU31" s="4">
        <v>-30000000</v>
      </c>
      <c r="AV31" s="4">
        <v>-19000000</v>
      </c>
      <c r="AW31" s="4">
        <v>5424000000</v>
      </c>
      <c r="AX31" s="4">
        <v>-26000000</v>
      </c>
      <c r="AY31" s="4">
        <v>-50000000</v>
      </c>
      <c r="AZ31" s="4">
        <v>-33000000</v>
      </c>
      <c r="BA31" s="4">
        <v>-55000000</v>
      </c>
      <c r="BB31" s="4">
        <v>-36000000</v>
      </c>
      <c r="BC31" s="4">
        <v>-42000000</v>
      </c>
      <c r="BD31" s="4">
        <v>-30000000</v>
      </c>
      <c r="BE31" s="4">
        <v>-42000000</v>
      </c>
      <c r="BF31" s="4">
        <v>-20000000</v>
      </c>
      <c r="BG31" s="4">
        <v>-102000000</v>
      </c>
      <c r="BH31" s="4">
        <v>-32000000</v>
      </c>
      <c r="BI31" s="4">
        <v>-81000000</v>
      </c>
      <c r="BJ31" s="4">
        <v>-1000000</v>
      </c>
      <c r="BK31" s="4">
        <v>-224000000</v>
      </c>
      <c r="BL31" s="4">
        <v>7000000</v>
      </c>
      <c r="BM31" s="4">
        <v>3000000</v>
      </c>
      <c r="BN31" s="4">
        <v>15000000</v>
      </c>
      <c r="BO31" s="4">
        <v>-360000000</v>
      </c>
      <c r="BP31" s="4">
        <v>193000000</v>
      </c>
      <c r="BQ31" s="4">
        <v>-6000000</v>
      </c>
      <c r="BR31" s="4">
        <v>-2000000</v>
      </c>
      <c r="BS31" s="4">
        <v>-2000000</v>
      </c>
      <c r="BT31" s="4">
        <v>-4000000</v>
      </c>
      <c r="BU31" s="4">
        <v>-1000000</v>
      </c>
    </row>
    <row r="33" spans="1:73" x14ac:dyDescent="0.2">
      <c r="A33" s="1" t="s">
        <v>82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</row>
    <row r="34" spans="1:73" x14ac:dyDescent="0.2">
      <c r="A34" s="1" t="s">
        <v>81</v>
      </c>
      <c r="B34" s="1">
        <v>5454000000</v>
      </c>
      <c r="C34" s="1">
        <v>-2004000000</v>
      </c>
      <c r="D34" s="1">
        <v>5460000000</v>
      </c>
      <c r="E34" s="1">
        <v>1246000000</v>
      </c>
      <c r="F34" s="1">
        <v>165000000</v>
      </c>
      <c r="G34" s="1">
        <v>-41000000</v>
      </c>
      <c r="H34" s="1">
        <v>-604000000</v>
      </c>
      <c r="I34" s="1">
        <v>143000000</v>
      </c>
      <c r="J34" s="1">
        <v>-2055000000</v>
      </c>
      <c r="K34" s="1">
        <v>-2325000000</v>
      </c>
      <c r="L34" s="1">
        <v>2134000000</v>
      </c>
      <c r="M34" s="1">
        <v>502000000</v>
      </c>
      <c r="N34" s="1">
        <v>-1094000000</v>
      </c>
      <c r="O34" s="1">
        <v>231000000</v>
      </c>
      <c r="P34" s="1">
        <v>2439000000</v>
      </c>
      <c r="Q34" s="1">
        <v>972000000</v>
      </c>
      <c r="R34" s="1">
        <v>-1214000000</v>
      </c>
      <c r="S34" s="1">
        <v>-1944000000</v>
      </c>
      <c r="T34" s="1">
        <v>1058000000</v>
      </c>
      <c r="U34" s="1">
        <v>1587000000</v>
      </c>
      <c r="V34" s="1">
        <v>-34000000</v>
      </c>
      <c r="W34" s="1">
        <v>1934000000</v>
      </c>
      <c r="X34" s="1">
        <v>-1239000000</v>
      </c>
      <c r="Y34" s="1">
        <v>-350000000</v>
      </c>
      <c r="Z34" s="1">
        <v>2763000000</v>
      </c>
      <c r="AA34" s="1">
        <v>1389000000</v>
      </c>
      <c r="AB34" s="1">
        <v>-407000000</v>
      </c>
      <c r="AC34" s="1">
        <v>134000000</v>
      </c>
      <c r="AD34" s="1">
        <v>235000000</v>
      </c>
      <c r="AE34" s="1">
        <v>801000000</v>
      </c>
      <c r="AF34" s="1">
        <v>156000000</v>
      </c>
      <c r="AG34" s="1">
        <v>-4051000000</v>
      </c>
      <c r="AH34" s="1">
        <v>1111000000</v>
      </c>
      <c r="AI34" s="1">
        <v>-4128000000</v>
      </c>
      <c r="AJ34" s="1">
        <v>5955000000</v>
      </c>
      <c r="AK34" s="1">
        <v>995000000</v>
      </c>
      <c r="AL34" s="1">
        <v>718000000</v>
      </c>
      <c r="AM34" s="1">
        <v>439000000</v>
      </c>
      <c r="AN34" s="1">
        <v>1136000000</v>
      </c>
      <c r="AO34" s="1">
        <v>-80000000</v>
      </c>
      <c r="AP34" s="1">
        <v>-128000000</v>
      </c>
      <c r="AQ34" s="1">
        <v>347000000</v>
      </c>
      <c r="AR34" s="1">
        <v>468000000</v>
      </c>
      <c r="AS34" s="1">
        <v>-1154000000</v>
      </c>
      <c r="AT34" s="1">
        <v>-61000000</v>
      </c>
      <c r="AU34" s="1">
        <v>965000000</v>
      </c>
      <c r="AV34" s="1">
        <v>327000000</v>
      </c>
      <c r="AW34" s="1">
        <v>-1000000</v>
      </c>
      <c r="AX34" s="1">
        <v>166000000</v>
      </c>
      <c r="AY34" s="1">
        <v>127000000</v>
      </c>
      <c r="AZ34" s="1">
        <v>122000000</v>
      </c>
      <c r="BA34" s="1">
        <v>-356000000</v>
      </c>
      <c r="BB34" s="1">
        <v>68000000</v>
      </c>
      <c r="BC34" s="1">
        <v>67000000</v>
      </c>
      <c r="BD34" s="1">
        <v>111000000</v>
      </c>
      <c r="BE34" s="1">
        <v>19000000</v>
      </c>
      <c r="BF34" s="1">
        <v>135000000</v>
      </c>
      <c r="BG34" s="1">
        <v>-10000000</v>
      </c>
      <c r="BH34" s="1">
        <v>125000000</v>
      </c>
      <c r="BI34" s="1">
        <v>108000000</v>
      </c>
      <c r="BJ34" s="1">
        <v>233000000</v>
      </c>
      <c r="BK34" s="1">
        <v>-198000000</v>
      </c>
      <c r="BL34" s="1">
        <v>194000000</v>
      </c>
      <c r="BM34" s="1">
        <v>111000000</v>
      </c>
      <c r="BN34" s="1">
        <v>112000000</v>
      </c>
      <c r="BO34" s="1">
        <v>-328000000</v>
      </c>
      <c r="BP34" s="1">
        <v>218000000</v>
      </c>
      <c r="BQ34" s="1">
        <v>13000000</v>
      </c>
      <c r="BR34" s="1">
        <v>46000000</v>
      </c>
      <c r="BS34" s="1">
        <v>-18000000</v>
      </c>
      <c r="BT34" s="1">
        <v>65000000</v>
      </c>
      <c r="BU34" s="1">
        <v>65000000</v>
      </c>
    </row>
    <row r="35" spans="1:73" x14ac:dyDescent="0.2">
      <c r="A35" s="1" t="s">
        <v>80</v>
      </c>
      <c r="B35" s="1">
        <v>19628000000</v>
      </c>
      <c r="C35" s="1">
        <v>14174000000</v>
      </c>
      <c r="D35" s="1">
        <v>16178000000</v>
      </c>
      <c r="E35" s="1">
        <v>10718000000</v>
      </c>
      <c r="F35" s="1">
        <v>9472000000</v>
      </c>
      <c r="G35" s="1">
        <v>9307000000</v>
      </c>
      <c r="H35" s="1">
        <v>9348000000</v>
      </c>
      <c r="I35" s="1">
        <v>9952000000</v>
      </c>
      <c r="J35" s="1">
        <v>9809000000</v>
      </c>
      <c r="K35" s="1">
        <v>11864000000</v>
      </c>
      <c r="L35" s="1">
        <v>14189000000</v>
      </c>
      <c r="M35" s="1">
        <v>12055000000</v>
      </c>
      <c r="N35" s="1">
        <v>11553000000</v>
      </c>
      <c r="O35" s="1">
        <v>12647000000</v>
      </c>
      <c r="P35" s="1">
        <v>12416000000</v>
      </c>
      <c r="Q35" s="1">
        <v>9977000000</v>
      </c>
      <c r="R35" s="1">
        <v>9005000000</v>
      </c>
      <c r="S35" s="1">
        <v>10219000000</v>
      </c>
      <c r="T35" s="1">
        <v>12163000000</v>
      </c>
      <c r="U35" s="1">
        <v>11105000000</v>
      </c>
      <c r="V35" s="1">
        <v>9518000000</v>
      </c>
      <c r="W35" s="1">
        <v>9552000000</v>
      </c>
      <c r="X35" s="1">
        <v>7618000000</v>
      </c>
      <c r="Y35" s="1">
        <v>8857000000</v>
      </c>
      <c r="Z35" s="1">
        <v>9207000000</v>
      </c>
      <c r="AA35" s="1">
        <v>6444000000</v>
      </c>
      <c r="AB35" s="1">
        <v>5055000000</v>
      </c>
      <c r="AC35" s="1">
        <v>5462000000</v>
      </c>
      <c r="AD35" s="1">
        <v>5328000000</v>
      </c>
      <c r="AE35" s="1">
        <v>5093000000</v>
      </c>
      <c r="AF35" s="1">
        <v>4292000000</v>
      </c>
      <c r="AG35" s="1">
        <v>4136000000</v>
      </c>
      <c r="AH35" s="1">
        <v>8187000000</v>
      </c>
      <c r="AI35" s="1">
        <v>7076000000</v>
      </c>
      <c r="AJ35" s="1">
        <v>11204000000</v>
      </c>
      <c r="AK35" s="1">
        <v>5249000000</v>
      </c>
      <c r="AL35" s="1">
        <v>4254000000</v>
      </c>
      <c r="AM35" s="1">
        <v>3536000000</v>
      </c>
      <c r="AN35" s="1">
        <v>3097000000</v>
      </c>
      <c r="AO35" s="1">
        <v>1961000000</v>
      </c>
      <c r="AP35" s="1">
        <v>2041000000</v>
      </c>
      <c r="AQ35" s="1">
        <v>2169000000</v>
      </c>
      <c r="AR35" s="1">
        <v>1822000000</v>
      </c>
      <c r="AS35" s="1">
        <v>1354000000</v>
      </c>
      <c r="AT35" s="1">
        <v>2508000000</v>
      </c>
      <c r="AU35" s="1">
        <v>2569000000</v>
      </c>
      <c r="AV35" s="1">
        <v>1604000000</v>
      </c>
      <c r="AW35" s="1">
        <v>1277000000</v>
      </c>
      <c r="AX35" s="1">
        <v>1278000000</v>
      </c>
      <c r="AY35" s="1">
        <v>1112000000</v>
      </c>
      <c r="AZ35" s="1">
        <v>985000000</v>
      </c>
      <c r="BA35" s="1">
        <v>863000000</v>
      </c>
      <c r="BB35" s="1">
        <v>1219000000</v>
      </c>
      <c r="BC35" s="1">
        <v>1151000000</v>
      </c>
      <c r="BD35" s="1">
        <v>1084000000</v>
      </c>
      <c r="BE35" s="1">
        <v>973000000</v>
      </c>
      <c r="BF35" s="1">
        <v>954000000</v>
      </c>
      <c r="BG35" s="1">
        <v>819000000</v>
      </c>
      <c r="BH35" s="1">
        <v>829000000</v>
      </c>
      <c r="BI35" s="1">
        <v>704000000</v>
      </c>
      <c r="BJ35" s="1">
        <v>596000000</v>
      </c>
      <c r="BK35" s="1">
        <v>363000000</v>
      </c>
      <c r="BL35" s="1">
        <v>561000000</v>
      </c>
      <c r="BM35" s="1">
        <v>367000000</v>
      </c>
      <c r="BN35" s="1">
        <v>256000000</v>
      </c>
      <c r="BO35" s="1">
        <v>144000000</v>
      </c>
      <c r="BP35" s="1">
        <v>472000000</v>
      </c>
      <c r="BQ35" s="1">
        <v>254000000</v>
      </c>
      <c r="BR35" s="1">
        <v>241000000</v>
      </c>
      <c r="BS35" s="1">
        <v>195000000</v>
      </c>
      <c r="BT35" s="1">
        <v>213000000</v>
      </c>
      <c r="BU35" s="1">
        <v>148000000</v>
      </c>
    </row>
    <row r="36" spans="1:73" x14ac:dyDescent="0.2">
      <c r="A36" s="1" t="s">
        <v>79</v>
      </c>
      <c r="B36" s="1">
        <v>14174000000</v>
      </c>
      <c r="C36" s="1">
        <v>16178000000</v>
      </c>
      <c r="D36" s="1">
        <v>10718000000</v>
      </c>
      <c r="E36" s="1">
        <v>9472000000</v>
      </c>
      <c r="F36" s="1">
        <v>9307000000</v>
      </c>
      <c r="G36" s="1">
        <v>9348000000</v>
      </c>
      <c r="H36" s="1">
        <v>9952000000</v>
      </c>
      <c r="I36" s="1">
        <v>9809000000</v>
      </c>
      <c r="J36" s="1">
        <v>11864000000</v>
      </c>
      <c r="K36" s="1">
        <v>14189000000</v>
      </c>
      <c r="L36" s="1">
        <v>12055000000</v>
      </c>
      <c r="M36" s="1">
        <v>11553000000</v>
      </c>
      <c r="N36" s="1">
        <v>12647000000</v>
      </c>
      <c r="O36" s="1">
        <v>12416000000</v>
      </c>
      <c r="P36" s="1">
        <v>9977000000</v>
      </c>
      <c r="Q36" s="1">
        <v>9005000000</v>
      </c>
      <c r="R36" s="1">
        <v>10219000000</v>
      </c>
      <c r="S36" s="1">
        <v>12163000000</v>
      </c>
      <c r="T36" s="1">
        <v>11105000000</v>
      </c>
      <c r="U36" s="1">
        <v>9518000000</v>
      </c>
      <c r="V36" s="1">
        <v>9552000000</v>
      </c>
      <c r="W36" s="1">
        <v>7618000000</v>
      </c>
      <c r="X36" s="1">
        <v>8857000000</v>
      </c>
      <c r="Y36" s="1">
        <v>9207000000</v>
      </c>
      <c r="Z36" s="1">
        <v>6444000000</v>
      </c>
      <c r="AA36" s="1">
        <v>5055000000</v>
      </c>
      <c r="AB36" s="1">
        <v>5462000000</v>
      </c>
      <c r="AC36" s="1">
        <v>5328000000</v>
      </c>
      <c r="AD36" s="1">
        <v>5093000000</v>
      </c>
      <c r="AE36" s="1">
        <v>4292000000</v>
      </c>
      <c r="AF36" s="1">
        <v>4136000000</v>
      </c>
      <c r="AG36" s="1">
        <v>8187000000</v>
      </c>
      <c r="AH36" s="1">
        <v>7076000000</v>
      </c>
      <c r="AI36" s="1">
        <v>11204000000</v>
      </c>
      <c r="AJ36" s="1">
        <v>5249000000</v>
      </c>
      <c r="AK36" s="1">
        <v>4254000000</v>
      </c>
      <c r="AL36" s="1">
        <v>3536000000</v>
      </c>
      <c r="AM36" s="1">
        <v>3097000000</v>
      </c>
      <c r="AN36" s="1">
        <v>1961000000</v>
      </c>
      <c r="AO36" s="1">
        <v>2041000000</v>
      </c>
      <c r="AP36" s="1">
        <v>2169000000</v>
      </c>
      <c r="AQ36" s="1">
        <v>1822000000</v>
      </c>
      <c r="AR36" s="1">
        <v>1354000000</v>
      </c>
      <c r="AS36" s="1">
        <v>2508000000</v>
      </c>
      <c r="AT36" s="1">
        <v>2569000000</v>
      </c>
      <c r="AU36" s="1">
        <v>1604000000</v>
      </c>
      <c r="AV36" s="1">
        <v>1277000000</v>
      </c>
      <c r="AW36" s="1">
        <v>1278000000</v>
      </c>
      <c r="AX36" s="1">
        <v>1112000000</v>
      </c>
      <c r="AY36" s="1">
        <v>985000000</v>
      </c>
      <c r="AZ36" s="1">
        <v>863000000</v>
      </c>
      <c r="BA36" s="1">
        <v>1219000000</v>
      </c>
      <c r="BB36" s="1">
        <v>1151000000</v>
      </c>
      <c r="BC36" s="1">
        <v>1084000000</v>
      </c>
      <c r="BD36" s="1">
        <v>973000000</v>
      </c>
      <c r="BE36" s="1">
        <v>954000000</v>
      </c>
      <c r="BF36" s="1">
        <v>819000000</v>
      </c>
      <c r="BG36" s="1">
        <v>829000000</v>
      </c>
      <c r="BH36" s="1">
        <v>704000000</v>
      </c>
      <c r="BI36" s="1">
        <v>596000000</v>
      </c>
      <c r="BJ36" s="1">
        <v>363000000</v>
      </c>
      <c r="BK36" s="1">
        <v>561000000</v>
      </c>
      <c r="BL36" s="1">
        <v>367000000</v>
      </c>
      <c r="BM36" s="1">
        <v>256000000</v>
      </c>
      <c r="BN36" s="1">
        <v>144000000</v>
      </c>
      <c r="BO36" s="1">
        <v>472000000</v>
      </c>
      <c r="BP36" s="1">
        <v>254000000</v>
      </c>
      <c r="BQ36" s="1">
        <v>241000000</v>
      </c>
      <c r="BR36" s="1">
        <v>195000000</v>
      </c>
      <c r="BS36" s="1">
        <v>213000000</v>
      </c>
      <c r="BT36" s="1">
        <v>148000000</v>
      </c>
      <c r="BU36" s="1">
        <v>83000000</v>
      </c>
    </row>
    <row r="37" spans="1:73" x14ac:dyDescent="0.2">
      <c r="A37" s="1" t="s">
        <v>78</v>
      </c>
      <c r="B37" s="1">
        <v>10493000000</v>
      </c>
      <c r="C37" s="1">
        <v>8260000000</v>
      </c>
      <c r="D37" s="1">
        <v>7703000000</v>
      </c>
      <c r="E37" s="1">
        <v>7166000000</v>
      </c>
      <c r="F37" s="1">
        <v>6555000000</v>
      </c>
      <c r="G37" s="1">
        <v>6113000000</v>
      </c>
      <c r="H37" s="1">
        <v>5604000000</v>
      </c>
      <c r="I37" s="1">
        <v>4963000000</v>
      </c>
      <c r="J37" s="1">
        <v>4580000000</v>
      </c>
      <c r="K37" s="1">
        <v>4815000000</v>
      </c>
      <c r="L37" s="1">
        <v>4828000000</v>
      </c>
      <c r="M37" s="1">
        <v>4719000000</v>
      </c>
      <c r="N37" s="1">
        <v>4502000000</v>
      </c>
      <c r="O37" s="1">
        <v>4036000000</v>
      </c>
      <c r="P37" s="1">
        <v>4583000000</v>
      </c>
      <c r="Q37" s="1">
        <v>4424000000</v>
      </c>
      <c r="R37" s="1">
        <v>4243000000</v>
      </c>
      <c r="S37" s="1">
        <v>3486000000</v>
      </c>
      <c r="T37" s="1">
        <v>3541000000</v>
      </c>
      <c r="U37" s="1">
        <v>3541000000</v>
      </c>
      <c r="V37" s="1">
        <v>3569000000</v>
      </c>
      <c r="W37" s="1">
        <v>3113000000</v>
      </c>
      <c r="X37" s="1">
        <v>3348000000</v>
      </c>
      <c r="Y37" s="1">
        <v>3178000000</v>
      </c>
      <c r="Z37" s="1">
        <v>3213000000</v>
      </c>
      <c r="AA37" s="1">
        <v>2322000000</v>
      </c>
      <c r="AB37" s="1">
        <v>2479000000</v>
      </c>
      <c r="AC37" s="1">
        <v>2419000000</v>
      </c>
      <c r="AD37" s="1">
        <v>2667000000</v>
      </c>
      <c r="AE37" s="1">
        <v>2132000000</v>
      </c>
      <c r="AF37" s="1">
        <v>2635000000</v>
      </c>
      <c r="AG37" s="1">
        <v>2247000000</v>
      </c>
      <c r="AH37" s="1">
        <v>2313000000</v>
      </c>
      <c r="AI37" s="1">
        <v>1685000000</v>
      </c>
      <c r="AJ37" s="1">
        <v>1959000000</v>
      </c>
      <c r="AK37" s="1">
        <v>1656000000</v>
      </c>
      <c r="AL37" s="1">
        <v>1583000000</v>
      </c>
      <c r="AM37" s="1">
        <v>1353000000</v>
      </c>
      <c r="AN37" s="1">
        <v>1352000000</v>
      </c>
      <c r="AO37" s="1">
        <v>963000000</v>
      </c>
      <c r="AP37" s="1">
        <v>622000000</v>
      </c>
      <c r="AQ37" s="1">
        <v>474000000</v>
      </c>
      <c r="AR37" s="1">
        <v>582000000</v>
      </c>
      <c r="AS37" s="1">
        <v>592000000</v>
      </c>
      <c r="AT37" s="1">
        <v>663000000</v>
      </c>
      <c r="AU37" s="1">
        <v>481000000</v>
      </c>
      <c r="AV37" s="1">
        <v>381000000</v>
      </c>
      <c r="AW37" s="1">
        <v>314000000</v>
      </c>
      <c r="AX37" s="1">
        <v>251000000</v>
      </c>
      <c r="AY37" s="1">
        <v>229000000</v>
      </c>
      <c r="AZ37" s="1">
        <v>209000000</v>
      </c>
      <c r="BA37" s="1">
        <v>137000000</v>
      </c>
      <c r="BB37" s="1">
        <v>188000000</v>
      </c>
      <c r="BC37" s="1">
        <v>185000000</v>
      </c>
      <c r="BD37" s="1">
        <v>215000000</v>
      </c>
      <c r="BE37" s="1">
        <v>128000000</v>
      </c>
      <c r="BF37" s="1">
        <v>211000000</v>
      </c>
      <c r="BG37" s="1">
        <v>139000000</v>
      </c>
      <c r="BH37" s="1">
        <v>195000000</v>
      </c>
      <c r="BI37" s="1">
        <v>213000000</v>
      </c>
      <c r="BJ37" s="1">
        <v>253000000</v>
      </c>
      <c r="BK37" s="1">
        <v>67000000</v>
      </c>
      <c r="BL37" s="1">
        <v>217000000</v>
      </c>
      <c r="BM37" s="1">
        <v>137000000</v>
      </c>
      <c r="BN37" s="1">
        <v>115000000</v>
      </c>
      <c r="BO37" s="1">
        <v>41000000</v>
      </c>
      <c r="BP37" s="1">
        <v>46000000</v>
      </c>
      <c r="BQ37" s="1">
        <v>31000000</v>
      </c>
      <c r="BR37" s="1">
        <v>66000000</v>
      </c>
      <c r="BS37" s="1">
        <v>-4000000</v>
      </c>
      <c r="BT37" s="1">
        <v>114000000</v>
      </c>
      <c r="BU37" s="1">
        <v>60000000</v>
      </c>
    </row>
    <row r="38" spans="1:73" x14ac:dyDescent="0.2">
      <c r="A38" s="1" t="s">
        <v>77</v>
      </c>
      <c r="B38" s="1">
        <v>-231000000</v>
      </c>
      <c r="C38" s="1">
        <v>-250000000</v>
      </c>
      <c r="D38" s="1">
        <v>-237000000</v>
      </c>
      <c r="E38" s="1">
        <v>-142000000</v>
      </c>
      <c r="F38" s="1">
        <v>-144000000</v>
      </c>
      <c r="G38" s="1">
        <v>-100000000</v>
      </c>
      <c r="H38" s="1">
        <v>-122000000</v>
      </c>
      <c r="I38" s="1">
        <v>-172000000</v>
      </c>
      <c r="J38" s="1">
        <v>-132000000</v>
      </c>
      <c r="K38" s="1">
        <v>-122000000</v>
      </c>
      <c r="L38" s="1">
        <v>-105000000</v>
      </c>
      <c r="M38" s="1">
        <v>-122000000</v>
      </c>
      <c r="N38" s="1">
        <v>-122000000</v>
      </c>
      <c r="O38" s="1">
        <v>-103000000</v>
      </c>
      <c r="P38" s="1">
        <v>-122000000</v>
      </c>
      <c r="Q38" s="1">
        <v>-116000000</v>
      </c>
      <c r="R38" s="1">
        <v>-85000000</v>
      </c>
      <c r="S38" s="1">
        <v>-101000000</v>
      </c>
      <c r="T38" s="1">
        <v>-88000000</v>
      </c>
      <c r="U38" s="1">
        <v>-115000000</v>
      </c>
      <c r="V38" s="1">
        <v>-126000000</v>
      </c>
      <c r="W38" s="1">
        <v>-114000000</v>
      </c>
      <c r="X38" s="1">
        <v>-102000000</v>
      </c>
      <c r="Y38" s="1">
        <v>-105000000</v>
      </c>
      <c r="Z38" s="1">
        <v>-148000000</v>
      </c>
      <c r="AA38" s="1">
        <v>-108000000</v>
      </c>
      <c r="AB38" s="1">
        <v>-96000000</v>
      </c>
      <c r="AC38" s="1">
        <v>-112000000</v>
      </c>
      <c r="AD38" s="1">
        <v>-125000000</v>
      </c>
      <c r="AE38" s="1">
        <v>-99000000</v>
      </c>
      <c r="AF38" s="1">
        <v>-106000000</v>
      </c>
      <c r="AG38" s="1">
        <v>-120000000</v>
      </c>
      <c r="AH38" s="1">
        <v>-189000000</v>
      </c>
      <c r="AI38" s="1">
        <v>-220000000</v>
      </c>
      <c r="AJ38" s="1">
        <v>-233000000</v>
      </c>
      <c r="AK38" s="1">
        <v>-255000000</v>
      </c>
      <c r="AL38" s="1">
        <v>-256000000</v>
      </c>
      <c r="AM38" s="1">
        <v>-325000000</v>
      </c>
      <c r="AN38" s="1">
        <v>-193000000</v>
      </c>
      <c r="AO38" s="1">
        <v>-232000000</v>
      </c>
      <c r="AP38" s="1">
        <v>-158000000</v>
      </c>
      <c r="AQ38" s="1">
        <v>-140000000</v>
      </c>
      <c r="AR38" s="1">
        <v>-106000000</v>
      </c>
      <c r="AS38" s="1">
        <v>-148000000</v>
      </c>
      <c r="AT38" s="1">
        <v>-177000000</v>
      </c>
      <c r="AU38" s="1">
        <v>-162000000</v>
      </c>
      <c r="AV38" s="1">
        <v>-189000000</v>
      </c>
      <c r="AW38" s="1">
        <v>-95000000</v>
      </c>
      <c r="AX38" s="1">
        <v>-73000000</v>
      </c>
      <c r="AY38" s="1">
        <v>-52000000</v>
      </c>
      <c r="AZ38" s="1">
        <v>-57000000</v>
      </c>
      <c r="BA38" s="1">
        <v>-65000000</v>
      </c>
      <c r="BB38" s="1">
        <v>-47000000</v>
      </c>
      <c r="BC38" s="1">
        <v>-67000000</v>
      </c>
      <c r="BD38" s="1">
        <v>-73000000</v>
      </c>
      <c r="BE38" s="1">
        <v>-65000000</v>
      </c>
      <c r="BF38" s="1">
        <v>-56000000</v>
      </c>
      <c r="BG38" s="1">
        <v>-47000000</v>
      </c>
      <c r="BH38" s="1">
        <v>-37000000</v>
      </c>
      <c r="BI38" s="1">
        <v>-24000000</v>
      </c>
      <c r="BJ38" s="1">
        <v>-19000000</v>
      </c>
      <c r="BK38" s="1">
        <v>-32000000</v>
      </c>
      <c r="BL38" s="1">
        <v>-30000000</v>
      </c>
      <c r="BM38" s="1">
        <v>-22000000</v>
      </c>
      <c r="BN38" s="1">
        <v>-18000000</v>
      </c>
      <c r="BO38" s="1">
        <v>-9000000</v>
      </c>
      <c r="BP38" s="1">
        <v>-21000000</v>
      </c>
      <c r="BQ38" s="1">
        <v>-12000000</v>
      </c>
      <c r="BR38" s="1">
        <v>-13000000</v>
      </c>
      <c r="BS38" s="1">
        <v>-12000000</v>
      </c>
      <c r="BT38" s="1">
        <v>-18000000</v>
      </c>
      <c r="BU38" s="1">
        <v>-19000000</v>
      </c>
    </row>
    <row r="39" spans="1:73" x14ac:dyDescent="0.2">
      <c r="A39" s="6" t="s">
        <v>76</v>
      </c>
      <c r="B39" s="5">
        <v>10262000000</v>
      </c>
      <c r="C39" s="5">
        <v>8010000000</v>
      </c>
      <c r="D39" s="5">
        <v>7466000000</v>
      </c>
      <c r="E39" s="5">
        <v>7024000000</v>
      </c>
      <c r="F39" s="5">
        <v>6411000000</v>
      </c>
      <c r="G39" s="5">
        <v>6013000000</v>
      </c>
      <c r="H39" s="5">
        <v>5482000000</v>
      </c>
      <c r="I39" s="5">
        <v>4791000000</v>
      </c>
      <c r="J39" s="5">
        <v>4448000000</v>
      </c>
      <c r="K39" s="5">
        <v>4693000000</v>
      </c>
      <c r="L39" s="5">
        <v>4723000000</v>
      </c>
      <c r="M39" s="5">
        <v>4597000000</v>
      </c>
      <c r="N39" s="5">
        <v>4380000000</v>
      </c>
      <c r="O39" s="5">
        <v>3933000000</v>
      </c>
      <c r="P39" s="5">
        <v>4461000000</v>
      </c>
      <c r="Q39" s="5">
        <v>4308000000</v>
      </c>
      <c r="R39" s="5">
        <v>4158000000</v>
      </c>
      <c r="S39" s="5">
        <v>3385000000</v>
      </c>
      <c r="T39" s="5">
        <v>3453000000</v>
      </c>
      <c r="U39" s="5">
        <v>3426000000</v>
      </c>
      <c r="V39" s="5">
        <v>3443000000</v>
      </c>
      <c r="W39" s="5">
        <v>2999000000</v>
      </c>
      <c r="X39" s="5">
        <v>3246000000</v>
      </c>
      <c r="Y39" s="5">
        <v>3073000000</v>
      </c>
      <c r="Z39" s="5">
        <v>3065000000</v>
      </c>
      <c r="AA39" s="5">
        <v>2214000000</v>
      </c>
      <c r="AB39" s="5">
        <v>2383000000</v>
      </c>
      <c r="AC39" s="5">
        <v>2307000000</v>
      </c>
      <c r="AD39" s="5">
        <v>2542000000</v>
      </c>
      <c r="AE39" s="5">
        <v>2033000000</v>
      </c>
      <c r="AF39" s="5">
        <v>2529000000</v>
      </c>
      <c r="AG39" s="5">
        <v>2127000000</v>
      </c>
      <c r="AH39" s="5">
        <v>2124000000</v>
      </c>
      <c r="AI39" s="5">
        <v>1465000000</v>
      </c>
      <c r="AJ39" s="5">
        <v>1726000000</v>
      </c>
      <c r="AK39" s="5">
        <v>1401000000</v>
      </c>
      <c r="AL39" s="5">
        <v>1327000000</v>
      </c>
      <c r="AM39" s="5">
        <v>1028000000</v>
      </c>
      <c r="AN39" s="5">
        <v>1159000000</v>
      </c>
      <c r="AO39" s="5">
        <v>731000000</v>
      </c>
      <c r="AP39" s="5">
        <v>464000000</v>
      </c>
      <c r="AQ39" s="5">
        <v>334000000</v>
      </c>
      <c r="AR39" s="5">
        <v>476000000</v>
      </c>
      <c r="AS39" s="5">
        <v>444000000</v>
      </c>
      <c r="AT39" s="5">
        <v>486000000</v>
      </c>
      <c r="AU39" s="5">
        <v>319000000</v>
      </c>
      <c r="AV39" s="5">
        <v>192000000</v>
      </c>
      <c r="AW39" s="5">
        <v>219000000</v>
      </c>
      <c r="AX39" s="5">
        <v>178000000</v>
      </c>
      <c r="AY39" s="5">
        <v>177000000</v>
      </c>
      <c r="AZ39" s="5">
        <v>152000000</v>
      </c>
      <c r="BA39" s="5">
        <v>72000000</v>
      </c>
      <c r="BB39" s="5">
        <v>144000000</v>
      </c>
      <c r="BC39" s="5">
        <v>118000000</v>
      </c>
      <c r="BD39" s="5">
        <v>142000000</v>
      </c>
      <c r="BE39" s="5">
        <v>63000000</v>
      </c>
      <c r="BF39" s="5">
        <v>155000000</v>
      </c>
      <c r="BG39" s="5">
        <v>92000000</v>
      </c>
      <c r="BH39" s="5">
        <v>158000000</v>
      </c>
      <c r="BI39" s="5">
        <v>189000000</v>
      </c>
      <c r="BJ39" s="5">
        <v>232000000</v>
      </c>
      <c r="BK39" s="5">
        <v>35000000</v>
      </c>
      <c r="BL39" s="5">
        <v>187000000</v>
      </c>
      <c r="BM39" s="5">
        <v>115000000</v>
      </c>
      <c r="BN39" s="5">
        <v>97000000</v>
      </c>
      <c r="BO39" s="5">
        <v>32000000</v>
      </c>
      <c r="BP39" s="5">
        <v>25000000</v>
      </c>
      <c r="BQ39" s="5">
        <v>19000000</v>
      </c>
      <c r="BR39" s="5">
        <v>53000000</v>
      </c>
      <c r="BS39" s="5">
        <v>-16000000</v>
      </c>
      <c r="BT39" s="5">
        <v>96000000</v>
      </c>
      <c r="BU39" s="5">
        <v>41000000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C072-4FBB-5140-9BDF-36BEE31D3136}">
  <dimension ref="A1:BU61"/>
  <sheetViews>
    <sheetView topLeftCell="A49" workbookViewId="0"/>
  </sheetViews>
  <sheetFormatPr baseColWidth="10" defaultRowHeight="16" x14ac:dyDescent="0.2"/>
  <cols>
    <col min="1" max="1" width="38" bestFit="1" customWidth="1"/>
    <col min="2" max="7" width="19.5" bestFit="1" customWidth="1"/>
    <col min="8" max="37" width="18" bestFit="1" customWidth="1"/>
    <col min="38" max="42" width="17.6640625" bestFit="1" customWidth="1"/>
    <col min="43" max="52" width="17" bestFit="1" customWidth="1"/>
    <col min="53" max="73" width="15.83203125" bestFit="1" customWidth="1"/>
  </cols>
  <sheetData>
    <row r="1" spans="1:73" x14ac:dyDescent="0.2">
      <c r="A1" s="9" t="s">
        <v>103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</row>
    <row r="2" spans="1:73" x14ac:dyDescent="0.2">
      <c r="A2" t="s">
        <v>1</v>
      </c>
      <c r="B2" t="s">
        <v>2</v>
      </c>
    </row>
    <row r="3" spans="1:73" x14ac:dyDescent="0.2">
      <c r="A3" t="s">
        <v>3</v>
      </c>
      <c r="B3" t="str">
        <f>'AVGO - Income Statement Q'!B3</f>
        <v>USD</v>
      </c>
    </row>
    <row r="4" spans="1:73" x14ac:dyDescent="0.2">
      <c r="A4" t="s">
        <v>32</v>
      </c>
      <c r="B4" t="s">
        <v>195</v>
      </c>
      <c r="C4" t="s">
        <v>196</v>
      </c>
      <c r="D4" t="s">
        <v>197</v>
      </c>
      <c r="E4" t="s">
        <v>198</v>
      </c>
      <c r="F4" t="s">
        <v>195</v>
      </c>
      <c r="G4" t="s">
        <v>196</v>
      </c>
      <c r="H4" t="s">
        <v>197</v>
      </c>
      <c r="I4" t="s">
        <v>198</v>
      </c>
      <c r="J4" t="s">
        <v>195</v>
      </c>
      <c r="K4" t="s">
        <v>196</v>
      </c>
      <c r="L4" t="s">
        <v>197</v>
      </c>
      <c r="M4" t="s">
        <v>198</v>
      </c>
      <c r="N4" t="s">
        <v>195</v>
      </c>
      <c r="O4" t="s">
        <v>196</v>
      </c>
      <c r="P4" t="s">
        <v>197</v>
      </c>
      <c r="Q4" t="s">
        <v>198</v>
      </c>
      <c r="R4" t="s">
        <v>195</v>
      </c>
      <c r="S4" t="s">
        <v>196</v>
      </c>
      <c r="T4" t="s">
        <v>197</v>
      </c>
      <c r="U4" t="s">
        <v>198</v>
      </c>
      <c r="V4" t="s">
        <v>195</v>
      </c>
      <c r="W4" t="s">
        <v>196</v>
      </c>
      <c r="X4" t="s">
        <v>197</v>
      </c>
      <c r="Y4" t="s">
        <v>198</v>
      </c>
      <c r="Z4" t="s">
        <v>195</v>
      </c>
      <c r="AA4" t="s">
        <v>196</v>
      </c>
      <c r="AB4" t="s">
        <v>197</v>
      </c>
      <c r="AC4" t="s">
        <v>198</v>
      </c>
      <c r="AD4" t="s">
        <v>195</v>
      </c>
      <c r="AE4" t="s">
        <v>196</v>
      </c>
      <c r="AF4" t="s">
        <v>197</v>
      </c>
      <c r="AG4" t="s">
        <v>198</v>
      </c>
      <c r="AH4" t="s">
        <v>195</v>
      </c>
      <c r="AI4" t="s">
        <v>196</v>
      </c>
      <c r="AJ4" t="s">
        <v>197</v>
      </c>
      <c r="AK4" t="s">
        <v>198</v>
      </c>
      <c r="AL4" t="s">
        <v>195</v>
      </c>
      <c r="AM4" t="s">
        <v>196</v>
      </c>
      <c r="AN4" t="s">
        <v>197</v>
      </c>
      <c r="AO4" t="s">
        <v>198</v>
      </c>
      <c r="AP4" t="s">
        <v>195</v>
      </c>
      <c r="AQ4" t="s">
        <v>196</v>
      </c>
      <c r="AR4" t="s">
        <v>197</v>
      </c>
      <c r="AS4" t="s">
        <v>198</v>
      </c>
      <c r="AT4" t="s">
        <v>195</v>
      </c>
      <c r="AU4" t="s">
        <v>196</v>
      </c>
      <c r="AV4" t="s">
        <v>197</v>
      </c>
      <c r="AW4" t="s">
        <v>198</v>
      </c>
      <c r="AX4" t="s">
        <v>195</v>
      </c>
      <c r="AY4" t="s">
        <v>196</v>
      </c>
      <c r="AZ4" t="s">
        <v>197</v>
      </c>
      <c r="BA4" t="s">
        <v>198</v>
      </c>
      <c r="BB4" t="s">
        <v>195</v>
      </c>
      <c r="BC4" t="s">
        <v>196</v>
      </c>
      <c r="BD4" t="s">
        <v>197</v>
      </c>
      <c r="BE4" t="s">
        <v>198</v>
      </c>
      <c r="BF4" t="s">
        <v>195</v>
      </c>
      <c r="BG4" t="s">
        <v>196</v>
      </c>
      <c r="BH4" t="s">
        <v>197</v>
      </c>
      <c r="BI4" t="s">
        <v>198</v>
      </c>
      <c r="BJ4" t="s">
        <v>195</v>
      </c>
      <c r="BK4" t="s">
        <v>196</v>
      </c>
      <c r="BL4" t="s">
        <v>197</v>
      </c>
      <c r="BM4" t="s">
        <v>198</v>
      </c>
      <c r="BN4" t="s">
        <v>195</v>
      </c>
      <c r="BO4" t="s">
        <v>196</v>
      </c>
      <c r="BP4" t="s">
        <v>197</v>
      </c>
      <c r="BQ4" t="s">
        <v>198</v>
      </c>
      <c r="BR4" t="s">
        <v>195</v>
      </c>
      <c r="BS4" t="s">
        <v>196</v>
      </c>
      <c r="BT4" t="s">
        <v>197</v>
      </c>
      <c r="BU4" t="s">
        <v>198</v>
      </c>
    </row>
    <row r="5" spans="1:73" x14ac:dyDescent="0.2">
      <c r="A5" t="s">
        <v>34</v>
      </c>
      <c r="B5" s="8">
        <v>46142</v>
      </c>
      <c r="C5" s="8">
        <v>46054</v>
      </c>
      <c r="D5" s="8">
        <v>45963</v>
      </c>
      <c r="E5" s="8">
        <v>45872</v>
      </c>
      <c r="F5" s="8">
        <v>45781</v>
      </c>
      <c r="G5" s="8">
        <v>45690</v>
      </c>
      <c r="H5" s="8">
        <v>45599</v>
      </c>
      <c r="I5" s="8">
        <v>45508</v>
      </c>
      <c r="J5" s="8">
        <v>45417</v>
      </c>
      <c r="K5" s="8">
        <v>45326</v>
      </c>
      <c r="L5" s="8">
        <v>45228</v>
      </c>
      <c r="M5" s="8">
        <v>45137</v>
      </c>
      <c r="N5" s="8">
        <v>45046</v>
      </c>
      <c r="O5" s="8">
        <v>44955</v>
      </c>
      <c r="P5" s="8">
        <v>44864</v>
      </c>
      <c r="Q5" s="8">
        <v>44773</v>
      </c>
      <c r="R5" s="8">
        <v>44682</v>
      </c>
      <c r="S5" s="8">
        <v>44591</v>
      </c>
      <c r="T5" s="8">
        <v>44500</v>
      </c>
      <c r="U5" s="8">
        <v>44409</v>
      </c>
      <c r="V5" s="8">
        <v>44318</v>
      </c>
      <c r="W5" s="8">
        <v>44227</v>
      </c>
      <c r="X5" s="8">
        <v>44136</v>
      </c>
      <c r="Y5" s="8">
        <v>44045</v>
      </c>
      <c r="Z5" s="8">
        <v>43954</v>
      </c>
      <c r="AA5" s="8">
        <v>43863</v>
      </c>
      <c r="AB5" s="8">
        <v>43772</v>
      </c>
      <c r="AC5" s="8">
        <v>43681</v>
      </c>
      <c r="AD5" s="8">
        <v>43590</v>
      </c>
      <c r="AE5" s="8">
        <v>43498</v>
      </c>
      <c r="AF5" s="8">
        <v>43408</v>
      </c>
      <c r="AG5" s="8">
        <v>43317</v>
      </c>
      <c r="AH5" s="8">
        <v>43226</v>
      </c>
      <c r="AI5" s="8">
        <v>43194</v>
      </c>
      <c r="AJ5" s="8">
        <v>43039</v>
      </c>
      <c r="AK5" s="8">
        <v>42947</v>
      </c>
      <c r="AL5" s="8">
        <v>42855</v>
      </c>
      <c r="AM5" s="8">
        <v>42766</v>
      </c>
      <c r="AN5" s="8">
        <v>42674</v>
      </c>
      <c r="AO5" s="8">
        <v>42582</v>
      </c>
      <c r="AP5" s="8">
        <v>42490</v>
      </c>
      <c r="AQ5" s="8">
        <v>42400</v>
      </c>
      <c r="AR5" s="8">
        <v>42308</v>
      </c>
      <c r="AS5" s="8">
        <v>42216</v>
      </c>
      <c r="AT5" s="8">
        <v>42124</v>
      </c>
      <c r="AU5" s="8">
        <v>42035</v>
      </c>
      <c r="AV5" s="8">
        <v>41943</v>
      </c>
      <c r="AW5" s="8">
        <v>41851</v>
      </c>
      <c r="AX5" s="8">
        <v>41759</v>
      </c>
      <c r="AY5" s="8">
        <v>41670</v>
      </c>
      <c r="AZ5" s="8">
        <v>41578</v>
      </c>
      <c r="BA5" s="8">
        <v>41486</v>
      </c>
      <c r="BB5" s="8">
        <v>41394</v>
      </c>
      <c r="BC5" s="8">
        <v>41305</v>
      </c>
      <c r="BD5" s="8">
        <v>41213</v>
      </c>
      <c r="BE5" s="8">
        <v>41121</v>
      </c>
      <c r="BF5" s="8">
        <v>41029</v>
      </c>
      <c r="BG5" s="8">
        <v>40939</v>
      </c>
      <c r="BH5" s="8">
        <v>40847</v>
      </c>
      <c r="BI5" s="8">
        <v>40755</v>
      </c>
      <c r="BJ5" s="8">
        <v>40663</v>
      </c>
      <c r="BK5" s="8">
        <v>40574</v>
      </c>
      <c r="BL5" s="8">
        <v>40482</v>
      </c>
      <c r="BM5" s="8">
        <v>40390</v>
      </c>
      <c r="BN5" s="8">
        <v>40298</v>
      </c>
      <c r="BO5" s="8">
        <v>40209</v>
      </c>
      <c r="BP5" s="8">
        <v>40117</v>
      </c>
      <c r="BQ5" s="8">
        <v>40025</v>
      </c>
      <c r="BR5" s="8">
        <v>39933</v>
      </c>
      <c r="BS5" s="8">
        <v>39844</v>
      </c>
      <c r="BT5" s="8">
        <v>39752</v>
      </c>
      <c r="BU5" s="8">
        <v>39660</v>
      </c>
    </row>
    <row r="6" spans="1:73" x14ac:dyDescent="0.2">
      <c r="A6" s="2" t="s">
        <v>159</v>
      </c>
      <c r="B6" s="2">
        <v>4.6738993048240998</v>
      </c>
      <c r="C6" s="2">
        <v>4.0731913098502428</v>
      </c>
      <c r="D6" s="2">
        <v>3.8070583262890954</v>
      </c>
      <c r="E6" s="2">
        <v>3.3839626644039034</v>
      </c>
      <c r="F6" s="2">
        <v>3.1875929466751645</v>
      </c>
      <c r="G6" s="2">
        <v>3.1769968051118211</v>
      </c>
      <c r="H6" s="2">
        <v>3.0036332549690106</v>
      </c>
      <c r="I6" s="2">
        <v>2.8033454857387947</v>
      </c>
      <c r="J6" s="2">
        <v>2.6853763440860217</v>
      </c>
      <c r="K6" s="2">
        <v>2.6462389380530973</v>
      </c>
      <c r="L6" s="2">
        <v>2.2506053268765132</v>
      </c>
      <c r="M6" s="2">
        <v>2.1491525423728812</v>
      </c>
      <c r="N6" s="2">
        <v>2.1043373493975905</v>
      </c>
      <c r="O6" s="2">
        <v>2.1327751196172251</v>
      </c>
      <c r="P6" s="2">
        <v>2.172749391727494</v>
      </c>
      <c r="Q6" s="2">
        <v>2.0846520448751895</v>
      </c>
      <c r="R6" s="2">
        <v>1.9810646113600108</v>
      </c>
      <c r="S6" s="2">
        <v>1.870388349514563</v>
      </c>
      <c r="T6" s="2">
        <v>1.7933209146202986</v>
      </c>
      <c r="U6" s="2">
        <v>1.6450254483835041</v>
      </c>
      <c r="V6" s="2">
        <v>1.6120964301941516</v>
      </c>
      <c r="W6" s="2">
        <v>1.6310474976716827</v>
      </c>
      <c r="X6" s="2">
        <v>1.5927982956294717</v>
      </c>
      <c r="Y6" s="2">
        <v>1.4444168734491316</v>
      </c>
      <c r="Z6" s="2">
        <v>1.4319201995012469</v>
      </c>
      <c r="AA6" s="2">
        <v>1.471859296482412</v>
      </c>
      <c r="AB6" s="2">
        <v>1.4549118387909319</v>
      </c>
      <c r="AC6" s="2">
        <v>1.385678391959799</v>
      </c>
      <c r="AD6" s="2">
        <v>1.3896725440806046</v>
      </c>
      <c r="AE6" s="2">
        <v>1.443640897755611</v>
      </c>
      <c r="AF6" s="2">
        <v>1.3213592233009708</v>
      </c>
      <c r="AG6" s="2">
        <v>1.1774418604651162</v>
      </c>
      <c r="AH6" s="2">
        <v>1.1909738717339668</v>
      </c>
      <c r="AI6" s="2">
        <v>1.2992682926829269</v>
      </c>
      <c r="AJ6" s="2">
        <v>1.1872549019607843</v>
      </c>
      <c r="AK6" s="2">
        <v>1.0965601965601965</v>
      </c>
      <c r="AL6" s="2">
        <v>1.0397022332506203</v>
      </c>
      <c r="AM6" s="2">
        <v>1.0373433583959899</v>
      </c>
      <c r="AN6" s="2">
        <v>1.0391959798994974</v>
      </c>
      <c r="AO6" s="2">
        <v>0.95757575757575752</v>
      </c>
      <c r="AP6" s="2">
        <v>0.90331632653061222</v>
      </c>
      <c r="AQ6" s="2">
        <v>0.63935018050541514</v>
      </c>
      <c r="AR6" s="2">
        <v>0.66666666666666663</v>
      </c>
      <c r="AS6" s="2">
        <v>0.65471698113207544</v>
      </c>
      <c r="AT6" s="2">
        <v>0.62558139534883717</v>
      </c>
      <c r="AU6" s="2">
        <v>0.64117647058823535</v>
      </c>
      <c r="AV6" s="2">
        <v>0.62598425196850394</v>
      </c>
      <c r="AW6" s="2">
        <v>0.50760000000000005</v>
      </c>
      <c r="AX6" s="2">
        <v>0.2792828685258964</v>
      </c>
      <c r="AY6" s="2">
        <v>0.28473895582329317</v>
      </c>
      <c r="AZ6" s="2">
        <v>0.29758064516129035</v>
      </c>
      <c r="BA6" s="2">
        <v>0.25967741935483873</v>
      </c>
      <c r="BB6" s="2">
        <v>0.22845528455284553</v>
      </c>
      <c r="BC6" s="2">
        <v>0.23414634146341465</v>
      </c>
      <c r="BD6" s="2">
        <v>0.25121951219512195</v>
      </c>
      <c r="BE6" s="2">
        <v>0.2473469387755102</v>
      </c>
      <c r="BF6" s="2">
        <v>0.23647540983606558</v>
      </c>
      <c r="BG6" s="2">
        <v>0.22979591836734695</v>
      </c>
      <c r="BH6" s="2">
        <v>0.25428571428571428</v>
      </c>
      <c r="BI6" s="2">
        <v>0.24512195121951219</v>
      </c>
      <c r="BJ6" s="2">
        <v>0.22857142857142856</v>
      </c>
      <c r="BK6" s="2">
        <v>0.22727272727272727</v>
      </c>
      <c r="BL6" s="2">
        <v>0.23636363636363636</v>
      </c>
      <c r="BM6" s="2">
        <v>0.23012552301255229</v>
      </c>
      <c r="BN6" s="2">
        <v>0.21638655462184875</v>
      </c>
      <c r="BO6" s="2">
        <v>0.19322033898305085</v>
      </c>
      <c r="BP6" s="2">
        <v>0.18135593220338983</v>
      </c>
      <c r="BQ6" s="2">
        <v>0.1704225352112676</v>
      </c>
      <c r="BR6" s="2">
        <v>0.15186915887850466</v>
      </c>
      <c r="BS6" s="2">
        <v>0.17196261682242991</v>
      </c>
      <c r="BT6" s="2">
        <v>0.2088785046728972</v>
      </c>
      <c r="BU6" s="2">
        <v>0.20514018691588784</v>
      </c>
    </row>
    <row r="7" spans="1:73" x14ac:dyDescent="0.2">
      <c r="A7" s="2" t="s">
        <v>158</v>
      </c>
      <c r="B7" s="2">
        <v>1.9612386770591952</v>
      </c>
      <c r="C7" s="2">
        <v>1.5500949166842439</v>
      </c>
      <c r="D7" s="2">
        <v>1.8000845308537616</v>
      </c>
      <c r="E7" s="2">
        <v>0.87823504454815449</v>
      </c>
      <c r="F7" s="2">
        <v>1.0548119821542383</v>
      </c>
      <c r="G7" s="2">
        <v>1.1720979765708199</v>
      </c>
      <c r="H7" s="2">
        <v>0.92412908741184019</v>
      </c>
      <c r="I7" s="2">
        <v>-0.40210165129744802</v>
      </c>
      <c r="J7" s="2">
        <v>0.4561290322580645</v>
      </c>
      <c r="K7" s="2">
        <v>0.29314159292035397</v>
      </c>
      <c r="L7" s="2">
        <v>0.85326876513317196</v>
      </c>
      <c r="M7" s="2">
        <v>0.79975786924939463</v>
      </c>
      <c r="N7" s="2">
        <v>0.83879518072289161</v>
      </c>
      <c r="O7" s="2">
        <v>0.90287081339712916</v>
      </c>
      <c r="P7" s="2">
        <v>0.8172749391727494</v>
      </c>
      <c r="Q7" s="2">
        <v>0.75711488491804491</v>
      </c>
      <c r="R7" s="2">
        <v>0.63321699906484363</v>
      </c>
      <c r="S7" s="2">
        <v>0.6</v>
      </c>
      <c r="T7" s="2">
        <v>0.48156005119208506</v>
      </c>
      <c r="U7" s="2">
        <v>0.455306541924971</v>
      </c>
      <c r="V7" s="2">
        <v>0.36412404996669717</v>
      </c>
      <c r="W7" s="2">
        <v>0.33772854271849417</v>
      </c>
      <c r="X7" s="2">
        <v>0.3260963264904006</v>
      </c>
      <c r="Y7" s="2">
        <v>0.1707196029776675</v>
      </c>
      <c r="Z7" s="2">
        <v>0.14039900249376558</v>
      </c>
      <c r="AA7" s="2">
        <v>9.6733668341708545E-2</v>
      </c>
      <c r="AB7" s="2">
        <v>0.21335012594458438</v>
      </c>
      <c r="AC7" s="2">
        <v>0.17964824120603015</v>
      </c>
      <c r="AD7" s="2">
        <v>0.17405541561712845</v>
      </c>
      <c r="AE7" s="2">
        <v>0.11745635910224439</v>
      </c>
      <c r="AF7" s="2">
        <v>0.27063106796116504</v>
      </c>
      <c r="AG7" s="2">
        <v>0.27813953488372095</v>
      </c>
      <c r="AH7" s="2">
        <v>0.88313539192399049</v>
      </c>
      <c r="AI7" s="2">
        <v>1.5195121951219512</v>
      </c>
      <c r="AJ7" s="2">
        <v>0.13039215686274511</v>
      </c>
      <c r="AK7" s="2">
        <v>0.11818181818181818</v>
      </c>
      <c r="AL7" s="2">
        <v>0.10918114143920596</v>
      </c>
      <c r="AM7" s="2">
        <v>5.9899749373433585E-2</v>
      </c>
      <c r="AN7" s="2">
        <v>-0.15879396984924624</v>
      </c>
      <c r="AO7" s="2">
        <v>-7.5252525252525251E-2</v>
      </c>
      <c r="AP7" s="2">
        <v>-0.30255102040816328</v>
      </c>
      <c r="AQ7" s="2">
        <v>0.13610108303249097</v>
      </c>
      <c r="AR7" s="2">
        <v>0.15543478260869564</v>
      </c>
      <c r="AS7" s="2">
        <v>9.056603773584905E-2</v>
      </c>
      <c r="AT7" s="2">
        <v>0.13333333333333333</v>
      </c>
      <c r="AU7" s="2">
        <v>0.1376470588235294</v>
      </c>
      <c r="AV7" s="2">
        <v>5.3149606299212601E-2</v>
      </c>
      <c r="AW7" s="2">
        <v>-6.5600000000000006E-2</v>
      </c>
      <c r="AX7" s="2">
        <v>6.2948207171314746E-2</v>
      </c>
      <c r="AY7" s="2">
        <v>5.3815261044176707E-2</v>
      </c>
      <c r="AZ7" s="2">
        <v>6.9354838709677416E-2</v>
      </c>
      <c r="BA7" s="2">
        <v>5.7258064516129033E-2</v>
      </c>
      <c r="BB7" s="2">
        <v>4.5934959349593497E-2</v>
      </c>
      <c r="BC7" s="2">
        <v>5.08130081300813E-2</v>
      </c>
      <c r="BD7" s="2">
        <v>6.4634146341463417E-2</v>
      </c>
      <c r="BE7" s="2">
        <v>5.9183673469387757E-2</v>
      </c>
      <c r="BF7" s="2">
        <v>5.4918032786885243E-2</v>
      </c>
      <c r="BG7" s="2">
        <v>5.1020408163265307E-2</v>
      </c>
      <c r="BH7" s="2">
        <v>6.2857142857142861E-2</v>
      </c>
      <c r="BI7" s="2">
        <v>5.8536585365853662E-2</v>
      </c>
      <c r="BJ7" s="2">
        <v>5.5102040816326532E-2</v>
      </c>
      <c r="BK7" s="2">
        <v>4.9173553719008264E-2</v>
      </c>
      <c r="BL7" s="2">
        <v>6.7768595041322308E-2</v>
      </c>
      <c r="BM7" s="2">
        <v>5.1464435146443513E-2</v>
      </c>
      <c r="BN7" s="2">
        <v>3.7815126050420166E-2</v>
      </c>
      <c r="BO7" s="2">
        <v>1.6101694915254237E-2</v>
      </c>
      <c r="BP7" s="2">
        <v>-8.8983050847457629E-3</v>
      </c>
      <c r="BQ7" s="2">
        <v>9.3896713615023472E-4</v>
      </c>
      <c r="BR7" s="2">
        <v>-1.4485981308411215E-2</v>
      </c>
      <c r="BS7" s="2">
        <v>2.8037383177570091E-3</v>
      </c>
      <c r="BT7" s="2">
        <v>8.4112149532710283E-3</v>
      </c>
      <c r="BU7" s="2">
        <v>2.0560747663551402E-2</v>
      </c>
    </row>
    <row r="8" spans="1:73" x14ac:dyDescent="0.2">
      <c r="A8" s="2" t="s">
        <v>157</v>
      </c>
      <c r="B8" s="2">
        <v>2.2104487044449126</v>
      </c>
      <c r="C8" s="2">
        <v>1.7422484707867538</v>
      </c>
      <c r="D8" s="2">
        <v>1.6278529163144548</v>
      </c>
      <c r="E8" s="2">
        <v>1.5201527365294867</v>
      </c>
      <c r="F8" s="2">
        <v>1.3926067558954749</v>
      </c>
      <c r="G8" s="2">
        <v>1.3020234291799786</v>
      </c>
      <c r="H8" s="2">
        <v>1.1976918144902757</v>
      </c>
      <c r="I8" s="2">
        <v>1.0643362642075918</v>
      </c>
      <c r="J8" s="2">
        <v>0.98494623655913982</v>
      </c>
      <c r="K8" s="2">
        <v>1.0652654867256637</v>
      </c>
      <c r="L8" s="2">
        <v>1.1690072639225182</v>
      </c>
      <c r="M8" s="2">
        <v>1.1426150121065375</v>
      </c>
      <c r="N8" s="2">
        <v>1.0848192771084337</v>
      </c>
      <c r="O8" s="2">
        <v>0.96555023923444971</v>
      </c>
      <c r="P8" s="2">
        <v>1.1150851581508516</v>
      </c>
      <c r="Q8" s="2">
        <v>1.0896149157050847</v>
      </c>
      <c r="R8" s="2">
        <v>1.0373512459583518</v>
      </c>
      <c r="S8" s="2">
        <v>0.84611650485436896</v>
      </c>
      <c r="T8" s="2">
        <v>0.85731731587288751</v>
      </c>
      <c r="U8" s="2">
        <v>0.85940323291914833</v>
      </c>
      <c r="V8" s="2">
        <v>0.87043451730150179</v>
      </c>
      <c r="W8" s="2">
        <v>0.76295279643154745</v>
      </c>
      <c r="X8" s="2">
        <v>0.82460007635185895</v>
      </c>
      <c r="Y8" s="2">
        <v>0.78858560794044663</v>
      </c>
      <c r="Z8" s="2">
        <v>0.80124688279301748</v>
      </c>
      <c r="AA8" s="2">
        <v>0.58341708542713566</v>
      </c>
      <c r="AB8" s="2">
        <v>0.62443324937027711</v>
      </c>
      <c r="AC8" s="2">
        <v>0.60778894472361811</v>
      </c>
      <c r="AD8" s="2">
        <v>0.67178841309823678</v>
      </c>
      <c r="AE8" s="2">
        <v>0.53167082294264334</v>
      </c>
      <c r="AF8" s="2">
        <v>0.6395631067961165</v>
      </c>
      <c r="AG8" s="2">
        <v>0.52255813953488373</v>
      </c>
      <c r="AH8" s="2">
        <v>0.54940617577197148</v>
      </c>
      <c r="AI8" s="2">
        <v>0.41097560975609754</v>
      </c>
      <c r="AJ8" s="2">
        <v>0.48014705882352943</v>
      </c>
      <c r="AK8" s="2">
        <v>0.40687960687960689</v>
      </c>
      <c r="AL8" s="2">
        <v>0.39280397022332508</v>
      </c>
      <c r="AM8" s="2">
        <v>0.33909774436090223</v>
      </c>
      <c r="AN8" s="2">
        <v>0.33969849246231154</v>
      </c>
      <c r="AO8" s="2">
        <v>0.24318181818181819</v>
      </c>
      <c r="AP8" s="2">
        <v>0.15867346938775509</v>
      </c>
      <c r="AQ8" s="2">
        <v>0.17111913357400721</v>
      </c>
      <c r="AR8" s="2">
        <v>0.21086956521739131</v>
      </c>
      <c r="AS8" s="2">
        <v>0.22339622641509435</v>
      </c>
      <c r="AT8" s="2">
        <v>0.25697674418604649</v>
      </c>
      <c r="AU8" s="2">
        <v>0.18862745098039216</v>
      </c>
      <c r="AV8" s="2">
        <v>0.15</v>
      </c>
      <c r="AW8" s="2">
        <v>0.12559999999999999</v>
      </c>
      <c r="AX8" s="2">
        <v>0.1</v>
      </c>
      <c r="AY8" s="2">
        <v>9.1967871485943778E-2</v>
      </c>
      <c r="AZ8" s="2">
        <v>8.4274193548387097E-2</v>
      </c>
      <c r="BA8" s="2">
        <v>5.524193548387097E-2</v>
      </c>
      <c r="BB8" s="2">
        <v>7.642276422764227E-2</v>
      </c>
      <c r="BC8" s="2">
        <v>7.5203252032520332E-2</v>
      </c>
      <c r="BD8" s="2">
        <v>8.7398373983739841E-2</v>
      </c>
      <c r="BE8" s="2">
        <v>5.2244897959183675E-2</v>
      </c>
      <c r="BF8" s="2">
        <v>8.6475409836065567E-2</v>
      </c>
      <c r="BG8" s="2">
        <v>5.6734693877551021E-2</v>
      </c>
      <c r="BH8" s="2">
        <v>7.9591836734693874E-2</v>
      </c>
      <c r="BI8" s="2">
        <v>8.658536585365853E-2</v>
      </c>
      <c r="BJ8" s="2">
        <v>0.10326530612244898</v>
      </c>
      <c r="BK8" s="2">
        <v>2.7685950413223141E-2</v>
      </c>
      <c r="BL8" s="2">
        <v>8.9669421487603304E-2</v>
      </c>
      <c r="BM8" s="2">
        <v>5.7322175732217574E-2</v>
      </c>
      <c r="BN8" s="2">
        <v>4.8319327731092439E-2</v>
      </c>
      <c r="BO8" s="2">
        <v>1.7372881355932204E-2</v>
      </c>
      <c r="BP8" s="2">
        <v>1.9491525423728815E-2</v>
      </c>
      <c r="BQ8" s="2">
        <v>1.4553990610328639E-2</v>
      </c>
      <c r="BR8" s="2">
        <v>3.0841121495327101E-2</v>
      </c>
      <c r="BS8" s="2">
        <v>-1.869158878504673E-3</v>
      </c>
      <c r="BT8" s="2">
        <v>5.3271028037383178E-2</v>
      </c>
      <c r="BU8" s="2">
        <v>2.8037383177570093E-2</v>
      </c>
    </row>
    <row r="9" spans="1:73" x14ac:dyDescent="0.2">
      <c r="A9" s="2" t="s">
        <v>156</v>
      </c>
      <c r="B9" s="2">
        <v>2.1617863914050979</v>
      </c>
      <c r="C9" s="2">
        <v>1.6895169795401814</v>
      </c>
      <c r="D9" s="2">
        <v>1.5777683854606932</v>
      </c>
      <c r="E9" s="2">
        <v>1.4900296987696224</v>
      </c>
      <c r="F9" s="2">
        <v>1.3620140216698533</v>
      </c>
      <c r="G9" s="2">
        <v>1.2807241746538871</v>
      </c>
      <c r="H9" s="2">
        <v>1.1716178670656123</v>
      </c>
      <c r="I9" s="2">
        <v>1.0274501393952391</v>
      </c>
      <c r="J9" s="2">
        <v>0.95655913978494622</v>
      </c>
      <c r="K9" s="2">
        <v>1.0382743362831859</v>
      </c>
      <c r="L9" s="2">
        <v>1.1435835351089589</v>
      </c>
      <c r="M9" s="2">
        <v>1.1130750605326876</v>
      </c>
      <c r="N9" s="2">
        <v>1.0554216867469879</v>
      </c>
      <c r="O9" s="2">
        <v>0.94090909090909092</v>
      </c>
      <c r="P9" s="2">
        <v>1.0854014598540147</v>
      </c>
      <c r="Q9" s="2">
        <v>1.0610445426893096</v>
      </c>
      <c r="R9" s="2">
        <v>1.0165699930932894</v>
      </c>
      <c r="S9" s="2">
        <v>0.82160194174757284</v>
      </c>
      <c r="T9" s="2">
        <v>0.83601149158686261</v>
      </c>
      <c r="U9" s="2">
        <v>0.83149265065828926</v>
      </c>
      <c r="V9" s="2">
        <v>0.8397046912493894</v>
      </c>
      <c r="W9" s="2">
        <v>0.73501298955933536</v>
      </c>
      <c r="X9" s="2">
        <v>0.79947785180350484</v>
      </c>
      <c r="Y9" s="2">
        <v>0.76253101736972706</v>
      </c>
      <c r="Z9" s="2">
        <v>0.76433915211970072</v>
      </c>
      <c r="AA9" s="2">
        <v>0.55628140703517592</v>
      </c>
      <c r="AB9" s="2">
        <v>0.60025188916876571</v>
      </c>
      <c r="AC9" s="2">
        <v>0.5796482412060302</v>
      </c>
      <c r="AD9" s="2">
        <v>0.64030226700251891</v>
      </c>
      <c r="AE9" s="2">
        <v>0.50698254364089779</v>
      </c>
      <c r="AF9" s="2">
        <v>0.61383495145631073</v>
      </c>
      <c r="AG9" s="2">
        <v>0.49465116279069765</v>
      </c>
      <c r="AH9" s="2">
        <v>0.50451306413301666</v>
      </c>
      <c r="AI9" s="2">
        <v>0.35731707317073169</v>
      </c>
      <c r="AJ9" s="2">
        <v>0.42303921568627451</v>
      </c>
      <c r="AK9" s="2">
        <v>0.34422604422604425</v>
      </c>
      <c r="AL9" s="2">
        <v>0.32928039702233253</v>
      </c>
      <c r="AM9" s="2">
        <v>0.25764411027568923</v>
      </c>
      <c r="AN9" s="2">
        <v>0.29120603015075375</v>
      </c>
      <c r="AO9" s="2">
        <v>0.18459595959595959</v>
      </c>
      <c r="AP9" s="2">
        <v>0.11836734693877551</v>
      </c>
      <c r="AQ9" s="2">
        <v>0.12057761732851986</v>
      </c>
      <c r="AR9" s="2">
        <v>0.17246376811594202</v>
      </c>
      <c r="AS9" s="2">
        <v>0.16754716981132076</v>
      </c>
      <c r="AT9" s="2">
        <v>0.1883720930232558</v>
      </c>
      <c r="AU9" s="2">
        <v>0.12509803921568627</v>
      </c>
      <c r="AV9" s="2">
        <v>7.5590551181102361E-2</v>
      </c>
      <c r="AW9" s="2">
        <v>8.7599999999999997E-2</v>
      </c>
      <c r="AX9" s="2">
        <v>7.091633466135458E-2</v>
      </c>
      <c r="AY9" s="2">
        <v>7.1084337349397592E-2</v>
      </c>
      <c r="AZ9" s="2">
        <v>6.1290322580645158E-2</v>
      </c>
      <c r="BA9" s="2">
        <v>2.903225806451613E-2</v>
      </c>
      <c r="BB9" s="2">
        <v>5.8536585365853662E-2</v>
      </c>
      <c r="BC9" s="2">
        <v>4.7967479674796747E-2</v>
      </c>
      <c r="BD9" s="2">
        <v>5.7723577235772358E-2</v>
      </c>
      <c r="BE9" s="2">
        <v>2.5714285714285714E-2</v>
      </c>
      <c r="BF9" s="2">
        <v>6.3524590163934427E-2</v>
      </c>
      <c r="BG9" s="2">
        <v>3.7551020408163265E-2</v>
      </c>
      <c r="BH9" s="2">
        <v>6.4489795918367343E-2</v>
      </c>
      <c r="BI9" s="2">
        <v>7.6829268292682926E-2</v>
      </c>
      <c r="BJ9" s="2">
        <v>9.4693877551020406E-2</v>
      </c>
      <c r="BK9" s="2">
        <v>1.4462809917355372E-2</v>
      </c>
      <c r="BL9" s="2">
        <v>7.7272727272727271E-2</v>
      </c>
      <c r="BM9" s="2">
        <v>4.8117154811715482E-2</v>
      </c>
      <c r="BN9" s="2">
        <v>4.0756302521008404E-2</v>
      </c>
      <c r="BO9" s="2">
        <v>1.3559322033898305E-2</v>
      </c>
      <c r="BP9" s="2">
        <v>1.059322033898305E-2</v>
      </c>
      <c r="BQ9" s="2">
        <v>8.9201877934272297E-3</v>
      </c>
      <c r="BR9" s="2">
        <v>2.4766355140186914E-2</v>
      </c>
      <c r="BS9" s="2">
        <v>-7.4766355140186919E-3</v>
      </c>
      <c r="BT9" s="2">
        <v>4.4859813084112146E-2</v>
      </c>
      <c r="BU9" s="2">
        <v>1.9158878504672898E-2</v>
      </c>
    </row>
    <row r="10" spans="1:73" x14ac:dyDescent="0.2">
      <c r="A10" s="2" t="s">
        <v>155</v>
      </c>
      <c r="B10" s="2">
        <v>4.1348219928375816</v>
      </c>
      <c r="C10" s="2">
        <v>2.9896646277156718</v>
      </c>
      <c r="D10" s="2">
        <v>3.4188503803888421</v>
      </c>
      <c r="E10" s="2">
        <v>2.2736529486635555</v>
      </c>
      <c r="F10" s="2">
        <v>2.012322073507542</v>
      </c>
      <c r="G10" s="2">
        <v>1.9823216187433439</v>
      </c>
      <c r="H10" s="2">
        <v>1.9978627911946998</v>
      </c>
      <c r="I10" s="2">
        <v>2.1342483379798414</v>
      </c>
      <c r="J10" s="2">
        <v>2.1094623655913978</v>
      </c>
      <c r="K10" s="2">
        <v>2.6247787610619469</v>
      </c>
      <c r="L10" s="2">
        <v>3.435593220338983</v>
      </c>
      <c r="M10" s="2">
        <v>2.9188861985472156</v>
      </c>
      <c r="N10" s="2">
        <v>2.7838554216867468</v>
      </c>
      <c r="O10" s="2">
        <v>3.0255980861244018</v>
      </c>
      <c r="P10" s="2">
        <v>3.0209245742092459</v>
      </c>
      <c r="Q10" s="2">
        <v>2.4572983756757756</v>
      </c>
      <c r="R10" s="2">
        <v>2.2015903770574967</v>
      </c>
      <c r="S10" s="2">
        <v>2.4803398058252428</v>
      </c>
      <c r="T10" s="2">
        <v>2.9448038726240982</v>
      </c>
      <c r="U10" s="2">
        <v>2.6951914435377415</v>
      </c>
      <c r="V10" s="2">
        <v>2.3213213044762382</v>
      </c>
      <c r="W10" s="2">
        <v>2.3410617126611442</v>
      </c>
      <c r="X10" s="2">
        <v>1.876285358915311</v>
      </c>
      <c r="Y10" s="2">
        <v>2.1977667493796527</v>
      </c>
      <c r="Z10" s="2">
        <v>2.2960099750623439</v>
      </c>
      <c r="AA10" s="2">
        <v>1.6190954773869346</v>
      </c>
      <c r="AB10" s="2">
        <v>1.2732997481108312</v>
      </c>
      <c r="AC10" s="2">
        <v>1.3723618090452261</v>
      </c>
      <c r="AD10" s="2">
        <v>1.3420654911838792</v>
      </c>
      <c r="AE10" s="2">
        <v>1.270074812967581</v>
      </c>
      <c r="AF10" s="2">
        <v>1.0417475728155339</v>
      </c>
      <c r="AG10" s="2">
        <v>0.9618604651162791</v>
      </c>
      <c r="AH10" s="2">
        <v>1.9446555819477436</v>
      </c>
      <c r="AI10" s="2">
        <v>1.7258536585365853</v>
      </c>
      <c r="AJ10" s="2">
        <v>2.746078431372549</v>
      </c>
      <c r="AK10" s="2">
        <v>1.3388206388206387</v>
      </c>
      <c r="AL10" s="2">
        <v>1.1052109181141438</v>
      </c>
      <c r="AM10" s="2">
        <v>0.88621553884711779</v>
      </c>
      <c r="AN10" s="2">
        <v>0.77814070351758791</v>
      </c>
      <c r="AO10" s="2">
        <v>0.4952020202020202</v>
      </c>
      <c r="AP10" s="2">
        <v>0.5206632653061225</v>
      </c>
      <c r="AQ10" s="2">
        <v>0.78303249097472927</v>
      </c>
      <c r="AR10" s="2">
        <v>0.66014492753623188</v>
      </c>
      <c r="AS10" s="2">
        <v>0.51094339622641505</v>
      </c>
      <c r="AT10" s="2">
        <v>0.97209302325581393</v>
      </c>
      <c r="AU10" s="2">
        <v>1.007450980392157</v>
      </c>
      <c r="AV10" s="2">
        <v>0.64094488188976373</v>
      </c>
      <c r="AW10" s="2">
        <v>0.51080000000000003</v>
      </c>
      <c r="AX10" s="2">
        <v>0.50916334661354579</v>
      </c>
      <c r="AY10" s="2">
        <v>0.45220883534136547</v>
      </c>
      <c r="AZ10" s="2">
        <v>0.4028225806451613</v>
      </c>
      <c r="BA10" s="2">
        <v>0.34798387096774192</v>
      </c>
      <c r="BB10" s="2">
        <v>0.49959349593495933</v>
      </c>
      <c r="BC10" s="2">
        <v>0.47235772357723577</v>
      </c>
      <c r="BD10" s="2">
        <v>0.44065040650406506</v>
      </c>
      <c r="BE10" s="2">
        <v>0.39714285714285713</v>
      </c>
      <c r="BF10" s="2">
        <v>0.39098360655737707</v>
      </c>
      <c r="BG10" s="2">
        <v>0.3342857142857143</v>
      </c>
      <c r="BH10" s="2">
        <v>0.33836734693877552</v>
      </c>
      <c r="BI10" s="2">
        <v>0.2861788617886179</v>
      </c>
      <c r="BJ10" s="2">
        <v>0.24326530612244898</v>
      </c>
      <c r="BK10" s="2">
        <v>0.15</v>
      </c>
      <c r="BL10" s="2">
        <v>0.23181818181818181</v>
      </c>
      <c r="BM10" s="2">
        <v>0.15355648535564853</v>
      </c>
      <c r="BN10" s="2">
        <v>0.10756302521008404</v>
      </c>
      <c r="BO10" s="2">
        <v>6.1016949152542375E-2</v>
      </c>
      <c r="BP10" s="2">
        <v>0.2</v>
      </c>
      <c r="BQ10" s="2">
        <v>0.11924882629107982</v>
      </c>
      <c r="BR10" s="2">
        <v>0.11261682242990655</v>
      </c>
      <c r="BS10" s="2">
        <v>0</v>
      </c>
      <c r="BT10" s="2">
        <v>9.9532710280373832E-2</v>
      </c>
      <c r="BU10" s="2">
        <v>0</v>
      </c>
    </row>
    <row r="11" spans="1:73" x14ac:dyDescent="0.2">
      <c r="A11" s="2" t="s">
        <v>154</v>
      </c>
      <c r="B11" s="2">
        <v>18.472930271750581</v>
      </c>
      <c r="C11" s="2">
        <v>16.847078675384939</v>
      </c>
      <c r="D11" s="2">
        <v>17.179205409974642</v>
      </c>
      <c r="E11" s="2">
        <v>15.544548154433603</v>
      </c>
      <c r="F11" s="2">
        <v>14.783513915445083</v>
      </c>
      <c r="G11" s="2">
        <v>14.864536741214058</v>
      </c>
      <c r="H11" s="2">
        <v>14.464201752511221</v>
      </c>
      <c r="I11" s="2">
        <v>14.079133604975338</v>
      </c>
      <c r="J11" s="2">
        <v>15.045376344086021</v>
      </c>
      <c r="K11" s="2">
        <v>15.549557522123894</v>
      </c>
      <c r="L11" s="2">
        <v>5.8082324455205807</v>
      </c>
      <c r="M11" s="2">
        <v>5.3460048426150122</v>
      </c>
      <c r="N11" s="2">
        <v>5.3028915662650604</v>
      </c>
      <c r="O11" s="2">
        <v>5.5765550239234454</v>
      </c>
      <c r="P11" s="2">
        <v>5.5253041362530411</v>
      </c>
      <c r="Q11" s="2">
        <v>5.1483319581788853</v>
      </c>
      <c r="R11" s="2">
        <v>5.1317470310313</v>
      </c>
      <c r="S11" s="2">
        <v>5.5810679611650489</v>
      </c>
      <c r="T11" s="2">
        <v>6.0501277623122238</v>
      </c>
      <c r="U11" s="2">
        <v>5.9138883300030747</v>
      </c>
      <c r="V11" s="2">
        <v>5.845008025118462</v>
      </c>
      <c r="W11" s="2">
        <v>5.8818195186510467</v>
      </c>
      <c r="X11" s="2">
        <v>5.8867283228452152</v>
      </c>
      <c r="Y11" s="2">
        <v>5.852357320099256</v>
      </c>
      <c r="Z11" s="2">
        <v>5.9775561097256862</v>
      </c>
      <c r="AA11" s="2">
        <v>6.1296482412060298</v>
      </c>
      <c r="AB11" s="2">
        <v>6.2896725440806049</v>
      </c>
      <c r="AC11" s="2">
        <v>5.402763819095477</v>
      </c>
      <c r="AD11" s="2">
        <v>5.584886649874055</v>
      </c>
      <c r="AE11" s="2">
        <v>5.7915211970074809</v>
      </c>
      <c r="AF11" s="2">
        <v>6.470145631067961</v>
      </c>
      <c r="AG11" s="2">
        <v>6.384186046511628</v>
      </c>
      <c r="AH11" s="2">
        <v>7.6168646080760096</v>
      </c>
      <c r="AI11" s="2">
        <v>7.0929268292682925</v>
      </c>
      <c r="AJ11" s="2">
        <v>5.7098039215686276</v>
      </c>
      <c r="AK11" s="2">
        <v>5.5783783783783782</v>
      </c>
      <c r="AL11" s="2">
        <v>5.5441687344913149</v>
      </c>
      <c r="AM11" s="2">
        <v>5.5162907268170427</v>
      </c>
      <c r="AN11" s="2">
        <v>5.4964824120603017</v>
      </c>
      <c r="AO11" s="2">
        <v>5.6828282828282832</v>
      </c>
      <c r="AP11" s="2">
        <v>5.8066326530612242</v>
      </c>
      <c r="AQ11" s="2">
        <v>1.8487364620938629</v>
      </c>
      <c r="AR11" s="2">
        <v>1.7079710144927536</v>
      </c>
      <c r="AS11" s="2">
        <v>1.6154716981132076</v>
      </c>
      <c r="AT11" s="2">
        <v>1.5740310077519379</v>
      </c>
      <c r="AU11" s="2">
        <v>1.4227450980392158</v>
      </c>
      <c r="AV11" s="2">
        <v>1.2767716535433071</v>
      </c>
      <c r="AW11" s="2">
        <v>1.2392000000000001</v>
      </c>
      <c r="AX11" s="2">
        <v>1.2565737051792829</v>
      </c>
      <c r="AY11" s="2">
        <v>1.2016064257028112</v>
      </c>
      <c r="AZ11" s="2">
        <v>1.1637096774193549</v>
      </c>
      <c r="BA11" s="2">
        <v>1.0991935483870967</v>
      </c>
      <c r="BB11" s="2">
        <v>1.0613821138211381</v>
      </c>
      <c r="BC11" s="2">
        <v>1.0235772357723578</v>
      </c>
      <c r="BD11" s="2">
        <v>0.98333333333333328</v>
      </c>
      <c r="BE11" s="2">
        <v>0.93428571428571427</v>
      </c>
      <c r="BF11" s="2">
        <v>0.8881147540983606</v>
      </c>
      <c r="BG11" s="2">
        <v>0.83265306122448979</v>
      </c>
      <c r="BH11" s="2">
        <v>0.81877551020408168</v>
      </c>
      <c r="BI11" s="2">
        <v>0.76016260162601623</v>
      </c>
      <c r="BJ11" s="2">
        <v>0.7310204081632653</v>
      </c>
      <c r="BK11" s="2">
        <v>0.67933884297520664</v>
      </c>
      <c r="BL11" s="2">
        <v>0.62190082644628097</v>
      </c>
      <c r="BM11" s="2">
        <v>0.55774058577405861</v>
      </c>
      <c r="BN11" s="2">
        <v>0.50420168067226889</v>
      </c>
      <c r="BO11" s="2">
        <v>0.46059322033898303</v>
      </c>
      <c r="BP11" s="2">
        <v>0.44067796610169491</v>
      </c>
      <c r="BQ11" s="2">
        <v>0.35586854460093897</v>
      </c>
      <c r="BR11" s="2">
        <v>0.35420560747663549</v>
      </c>
      <c r="BS11" s="2">
        <v>0</v>
      </c>
      <c r="BT11" s="2">
        <v>0.3644859813084112</v>
      </c>
      <c r="BU11" s="2">
        <v>0</v>
      </c>
    </row>
    <row r="12" spans="1:73" x14ac:dyDescent="0.2">
      <c r="A12" s="2" t="s">
        <v>153</v>
      </c>
      <c r="B12" s="2">
        <v>-8.0983779228986723</v>
      </c>
      <c r="C12" s="2">
        <v>-10.173170217253745</v>
      </c>
      <c r="D12" s="2">
        <v>-10.308960270498732</v>
      </c>
      <c r="E12" s="2">
        <v>-12.487908358082308</v>
      </c>
      <c r="F12" s="2">
        <v>-13.725940089228809</v>
      </c>
      <c r="G12" s="2">
        <v>-14.199148029818957</v>
      </c>
      <c r="H12" s="2">
        <v>-15.126736482154307</v>
      </c>
      <c r="I12" s="2">
        <v>-16.138966330688397</v>
      </c>
      <c r="J12" s="2">
        <v>-15.76752688172043</v>
      </c>
      <c r="K12" s="2">
        <v>-16.479424778761061</v>
      </c>
      <c r="L12" s="2">
        <v>-5.6978208232445517</v>
      </c>
      <c r="M12" s="2">
        <v>-6.3423728813559324</v>
      </c>
      <c r="N12" s="2">
        <v>-6.5159036144578311</v>
      </c>
      <c r="O12" s="2">
        <v>-6.3466507177033495</v>
      </c>
      <c r="P12" s="2">
        <v>-6.8165450121654505</v>
      </c>
      <c r="Q12" s="2">
        <v>-7.6053840375355595</v>
      </c>
      <c r="R12" s="2">
        <v>-7.7878356325141036</v>
      </c>
      <c r="S12" s="2">
        <v>-7.4514563106796112</v>
      </c>
      <c r="T12" s="2">
        <v>-7.2234007678812766</v>
      </c>
      <c r="U12" s="2">
        <v>-7.7200670533536266</v>
      </c>
      <c r="V12" s="2">
        <v>-8.1846208927209574</v>
      </c>
      <c r="W12" s="2">
        <v>-8.5478653007205523</v>
      </c>
      <c r="X12" s="2">
        <v>-8.9474526803196923</v>
      </c>
      <c r="Y12" s="2">
        <v>-9.4836228287841191</v>
      </c>
      <c r="Z12" s="2">
        <v>-9.8244389027431414</v>
      </c>
      <c r="AA12" s="2">
        <v>-10.186180904522613</v>
      </c>
      <c r="AB12" s="2">
        <v>-7.3798488664987403</v>
      </c>
      <c r="AC12" s="2">
        <v>-8.5582914572864315</v>
      </c>
      <c r="AD12" s="2">
        <v>-8.7350125944584391</v>
      </c>
      <c r="AE12" s="2">
        <v>-8.7072319201995008</v>
      </c>
      <c r="AF12" s="2">
        <v>-2.6742718446601943</v>
      </c>
      <c r="AG12" s="2">
        <v>-2.5734883720930233</v>
      </c>
      <c r="AH12" s="2">
        <v>-1.707125890736342</v>
      </c>
      <c r="AI12" s="2">
        <v>-2.6802439024390243</v>
      </c>
      <c r="AJ12" s="2">
        <v>-3.0004901960784314</v>
      </c>
      <c r="AK12" s="2">
        <v>-3.4223587223587222</v>
      </c>
      <c r="AL12" s="2">
        <v>-3.8161290322580643</v>
      </c>
      <c r="AM12" s="2">
        <v>-4.1997493734335842</v>
      </c>
      <c r="AN12" s="2">
        <v>-4.5035175879396983</v>
      </c>
      <c r="AO12" s="2">
        <v>-4.5704545454545453</v>
      </c>
      <c r="AP12" s="2">
        <v>-4.8362244897959181</v>
      </c>
      <c r="AQ12" s="2">
        <v>0.12527075812274369</v>
      </c>
      <c r="AR12" s="2">
        <v>-8.5869565217391308E-2</v>
      </c>
      <c r="AS12" s="2">
        <v>-0.34603773584905662</v>
      </c>
      <c r="AT12" s="2">
        <v>-0.31589147286821706</v>
      </c>
      <c r="AU12" s="2">
        <v>-0.55411764705882349</v>
      </c>
      <c r="AV12" s="2">
        <v>-0.77559055118110232</v>
      </c>
      <c r="AW12" s="2">
        <v>-0.79200000000000004</v>
      </c>
      <c r="AX12" s="2">
        <v>0.92470119521912353</v>
      </c>
      <c r="AY12" s="2">
        <v>0.8566265060240964</v>
      </c>
      <c r="AZ12" s="2">
        <v>0.80766129032258061</v>
      </c>
      <c r="BA12" s="2">
        <v>0.73548387096774193</v>
      </c>
      <c r="BB12" s="2">
        <v>0.8199186991869919</v>
      </c>
      <c r="BC12" s="2">
        <v>0.78658536585365857</v>
      </c>
      <c r="BD12" s="2">
        <v>0.73861788617886182</v>
      </c>
      <c r="BE12" s="2">
        <v>0.68081632653061219</v>
      </c>
      <c r="BF12" s="2">
        <v>0.62663934426229506</v>
      </c>
      <c r="BG12" s="2">
        <v>0.56448979591836734</v>
      </c>
      <c r="BH12" s="2">
        <v>0.54285714285714282</v>
      </c>
      <c r="BI12" s="2">
        <v>0.47723577235772358</v>
      </c>
      <c r="BJ12" s="2">
        <v>0.43918367346938775</v>
      </c>
      <c r="BK12" s="2">
        <v>0.3768595041322314</v>
      </c>
      <c r="BL12" s="2">
        <v>0.31404958677685951</v>
      </c>
      <c r="BM12" s="2">
        <v>0.23765690376569037</v>
      </c>
      <c r="BN12" s="2">
        <v>0.17731092436974791</v>
      </c>
      <c r="BO12" s="2">
        <v>0.12245762711864407</v>
      </c>
      <c r="BP12" s="2">
        <v>9.4067796610169493E-2</v>
      </c>
      <c r="BQ12" s="2">
        <v>-3.6619718309859155E-2</v>
      </c>
      <c r="BR12" s="2">
        <v>-4.5794392523364487E-2</v>
      </c>
      <c r="BS12" s="2">
        <v>0</v>
      </c>
      <c r="BT12" s="2">
        <v>-5.1401869158878503E-2</v>
      </c>
      <c r="BU12" s="2">
        <v>0</v>
      </c>
    </row>
    <row r="13" spans="1:73" x14ac:dyDescent="0.2">
      <c r="A13" s="2" t="s">
        <v>152</v>
      </c>
      <c r="B13" s="2">
        <v>18.472930271750581</v>
      </c>
      <c r="C13" s="2">
        <v>16.847078675384939</v>
      </c>
      <c r="D13" s="2">
        <v>17.179205409974642</v>
      </c>
      <c r="E13" s="2">
        <v>15.544548154433603</v>
      </c>
      <c r="F13" s="2">
        <v>14.783513915445083</v>
      </c>
      <c r="G13" s="2">
        <v>14.864536741214058</v>
      </c>
      <c r="H13" s="2">
        <v>14.464201752511221</v>
      </c>
      <c r="I13" s="2">
        <v>14.079133604975338</v>
      </c>
      <c r="J13" s="2">
        <v>15.045376344086021</v>
      </c>
      <c r="K13" s="2">
        <v>15.549557522123894</v>
      </c>
      <c r="L13" s="2">
        <v>5.8082324455205807</v>
      </c>
      <c r="M13" s="2">
        <v>5.3460048426150122</v>
      </c>
      <c r="N13" s="2">
        <v>5.3028915662650604</v>
      </c>
      <c r="O13" s="2">
        <v>5.5765550239234454</v>
      </c>
      <c r="P13" s="2">
        <v>5.5253041362530411</v>
      </c>
      <c r="Q13" s="2">
        <v>5.1483319581788853</v>
      </c>
      <c r="R13" s="2">
        <v>5.1317470310313</v>
      </c>
      <c r="S13" s="2">
        <v>5.5810679611650489</v>
      </c>
      <c r="T13" s="2">
        <v>6.0501277623122238</v>
      </c>
      <c r="U13" s="2">
        <v>5.9138883300030747</v>
      </c>
      <c r="V13" s="2">
        <v>5.845008025118462</v>
      </c>
      <c r="W13" s="2">
        <v>5.8818195186510467</v>
      </c>
      <c r="X13" s="2">
        <v>5.8867283228452152</v>
      </c>
      <c r="Y13" s="2">
        <v>5.852357320099256</v>
      </c>
      <c r="Z13" s="2">
        <v>5.9775561097256862</v>
      </c>
      <c r="AA13" s="2">
        <v>6.1296482412060298</v>
      </c>
      <c r="AB13" s="2">
        <v>6.2896725440806049</v>
      </c>
      <c r="AC13" s="2">
        <v>5.402763819095477</v>
      </c>
      <c r="AD13" s="2">
        <v>5.584886649874055</v>
      </c>
      <c r="AE13" s="2">
        <v>5.7915211970074809</v>
      </c>
      <c r="AF13" s="2">
        <v>6.470145631067961</v>
      </c>
      <c r="AG13" s="2">
        <v>6.384186046511628</v>
      </c>
      <c r="AH13" s="2">
        <v>7.6168646080760096</v>
      </c>
      <c r="AI13" s="2">
        <v>6.3173170731707318</v>
      </c>
      <c r="AJ13" s="2">
        <v>4.971813725490196</v>
      </c>
      <c r="AK13" s="2">
        <v>4.8653562653562652</v>
      </c>
      <c r="AL13" s="2">
        <v>4.8200992555831261</v>
      </c>
      <c r="AM13" s="2">
        <v>4.7701754385964916</v>
      </c>
      <c r="AN13" s="2">
        <v>4.746733668341709</v>
      </c>
      <c r="AO13" s="2">
        <v>4.917424242424242</v>
      </c>
      <c r="AP13" s="2">
        <v>5.0260204081632649</v>
      </c>
      <c r="AQ13" s="2">
        <v>1.8487364620938629</v>
      </c>
      <c r="AR13" s="2">
        <v>1.7079710144927536</v>
      </c>
      <c r="AS13" s="2">
        <v>1.6154716981132076</v>
      </c>
      <c r="AT13" s="2">
        <v>1.5740310077519379</v>
      </c>
      <c r="AU13" s="2">
        <v>1.4227450980392158</v>
      </c>
      <c r="AV13" s="2">
        <v>1.2767716535433071</v>
      </c>
      <c r="AW13" s="2">
        <v>1.2392000000000001</v>
      </c>
      <c r="AX13" s="2">
        <v>1.2565737051792829</v>
      </c>
      <c r="AY13" s="2">
        <v>1.2016064257028112</v>
      </c>
      <c r="AZ13" s="2">
        <v>1.1637096774193549</v>
      </c>
      <c r="BA13" s="2">
        <v>1.0991935483870967</v>
      </c>
      <c r="BB13" s="2">
        <v>1.0613821138211381</v>
      </c>
      <c r="BC13" s="2">
        <v>1.0235772357723578</v>
      </c>
      <c r="BD13" s="2">
        <v>0.98333333333333328</v>
      </c>
      <c r="BE13" s="2">
        <v>0.93428571428571427</v>
      </c>
      <c r="BF13" s="2">
        <v>0.8881147540983606</v>
      </c>
      <c r="BG13" s="2">
        <v>0.83265306122448979</v>
      </c>
      <c r="BH13" s="2">
        <v>0.81877551020408168</v>
      </c>
      <c r="BI13" s="2">
        <v>0.76016260162601623</v>
      </c>
      <c r="BJ13" s="2">
        <v>0.7310204081632653</v>
      </c>
      <c r="BK13" s="2">
        <v>0.67933884297520664</v>
      </c>
      <c r="BL13" s="2">
        <v>0.62190082644628097</v>
      </c>
      <c r="BM13" s="2">
        <v>0.55774058577405861</v>
      </c>
      <c r="BN13" s="2">
        <v>0.50420168067226889</v>
      </c>
      <c r="BO13" s="2">
        <v>0.46059322033898303</v>
      </c>
      <c r="BP13" s="2">
        <v>0.44067796610169491</v>
      </c>
      <c r="BQ13" s="2">
        <v>0.35586854460093897</v>
      </c>
      <c r="BR13" s="2">
        <v>0.35420560747663549</v>
      </c>
      <c r="BS13" s="2">
        <v>0</v>
      </c>
      <c r="BT13" s="2">
        <v>0.3644859813084112</v>
      </c>
      <c r="BU13" s="2">
        <v>0</v>
      </c>
    </row>
    <row r="14" spans="1:73" x14ac:dyDescent="0.2">
      <c r="A14" s="2" t="s">
        <v>151</v>
      </c>
      <c r="B14" s="2">
        <v>13.83020855277017</v>
      </c>
      <c r="C14" s="2">
        <v>14.090487238979119</v>
      </c>
      <c r="D14" s="2">
        <v>13.925824175824175</v>
      </c>
      <c r="E14" s="2">
        <v>13.785108188375053</v>
      </c>
      <c r="F14" s="2">
        <v>14.457403866581688</v>
      </c>
      <c r="G14" s="2">
        <v>14.366773162939298</v>
      </c>
      <c r="H14" s="2">
        <v>14.624919854669802</v>
      </c>
      <c r="I14" s="2">
        <v>15.23118164271928</v>
      </c>
      <c r="J14" s="2">
        <v>16.142580645161292</v>
      </c>
      <c r="K14" s="2">
        <v>16.997123893805309</v>
      </c>
      <c r="L14" s="2">
        <v>9.6980629539951568</v>
      </c>
      <c r="M14" s="2">
        <v>9.6239709443099279</v>
      </c>
      <c r="N14" s="2">
        <v>9.5701204819277113</v>
      </c>
      <c r="O14" s="2">
        <v>9.4947368421052634</v>
      </c>
      <c r="P14" s="2">
        <v>9.8257907542579073</v>
      </c>
      <c r="Q14" s="2">
        <v>9.8274694284693922</v>
      </c>
      <c r="R14" s="2">
        <v>9.7755013477253705</v>
      </c>
      <c r="S14" s="2">
        <v>9.6873786407766982</v>
      </c>
      <c r="T14" s="2">
        <v>9.8500699460526846</v>
      </c>
      <c r="U14" s="2">
        <v>9.9196636362246355</v>
      </c>
      <c r="V14" s="2">
        <v>9.9759746415524315</v>
      </c>
      <c r="W14" s="2">
        <v>10.416646242831234</v>
      </c>
      <c r="X14" s="2">
        <v>10.371291701045529</v>
      </c>
      <c r="Y14" s="2">
        <v>11.199255583126551</v>
      </c>
      <c r="Z14" s="2">
        <v>11.720199501246883</v>
      </c>
      <c r="AA14" s="2">
        <v>11.504271356783919</v>
      </c>
      <c r="AB14" s="2">
        <v>8.3523929471032741</v>
      </c>
      <c r="AC14" s="2">
        <v>9.5293969849246238</v>
      </c>
      <c r="AD14" s="2">
        <v>9.5526448362720409</v>
      </c>
      <c r="AE14" s="2">
        <v>9.4728179551122196</v>
      </c>
      <c r="AF14" s="2">
        <v>4.2817961165048546</v>
      </c>
      <c r="AG14" s="2">
        <v>4.1286046511627905</v>
      </c>
      <c r="AH14" s="2">
        <v>4.2152019002375294</v>
      </c>
      <c r="AI14" s="2">
        <v>4.3353658536585362</v>
      </c>
      <c r="AJ14" s="2">
        <v>4.3301470588235293</v>
      </c>
      <c r="AK14" s="2">
        <v>3.362162162162162</v>
      </c>
      <c r="AL14" s="2">
        <v>3.3942928039702234</v>
      </c>
      <c r="AM14" s="2">
        <v>3.4268170426065163</v>
      </c>
      <c r="AN14" s="2">
        <v>3.4542713567839196</v>
      </c>
      <c r="AO14" s="2">
        <v>3.4984848484848485</v>
      </c>
      <c r="AP14" s="2">
        <v>3.8938775510204082</v>
      </c>
      <c r="AQ14" s="2">
        <v>1.451985559566787</v>
      </c>
      <c r="AR14" s="2">
        <v>1.4456521739130435</v>
      </c>
      <c r="AS14" s="2">
        <v>1.5109433962264152</v>
      </c>
      <c r="AT14" s="2">
        <v>1.9189922480620154</v>
      </c>
      <c r="AU14" s="2">
        <v>2.1780392156862747</v>
      </c>
      <c r="AV14" s="2">
        <v>2.1901574803149608</v>
      </c>
      <c r="AW14" s="2">
        <v>2.2292000000000001</v>
      </c>
      <c r="AX14" s="2">
        <v>3.9840637450199205E-4</v>
      </c>
      <c r="AY14" s="2">
        <v>1.0441767068273093E-2</v>
      </c>
      <c r="AZ14" s="2">
        <v>8.0645161290322581E-4</v>
      </c>
      <c r="BA14" s="2">
        <v>1.6129032258064516E-3</v>
      </c>
      <c r="BB14" s="2">
        <v>1.6260162601626016E-3</v>
      </c>
      <c r="BC14" s="2">
        <v>1.6260162601626016E-3</v>
      </c>
      <c r="BD14" s="2">
        <v>1.2195121951219512E-3</v>
      </c>
      <c r="BE14" s="2">
        <v>1.6326530612244899E-3</v>
      </c>
      <c r="BF14" s="2">
        <v>1.639344262295082E-3</v>
      </c>
      <c r="BG14" s="2">
        <v>2.4489795918367346E-3</v>
      </c>
      <c r="BH14" s="2">
        <v>1.6326530612244899E-3</v>
      </c>
      <c r="BI14" s="2">
        <v>3.2520325203252032E-3</v>
      </c>
      <c r="BJ14" s="2">
        <v>2.8571428571428571E-3</v>
      </c>
      <c r="BK14" s="2">
        <v>4.1322314049586778E-3</v>
      </c>
      <c r="BL14" s="2">
        <v>0.10041322314049586</v>
      </c>
      <c r="BM14" s="2">
        <v>0.10209205020920502</v>
      </c>
      <c r="BN14" s="2">
        <v>0.10252100840336134</v>
      </c>
      <c r="BO14" s="2">
        <v>0.10423728813559321</v>
      </c>
      <c r="BP14" s="2">
        <v>0.261864406779661</v>
      </c>
      <c r="BQ14" s="2">
        <v>0.34037558685446012</v>
      </c>
      <c r="BR14" s="2">
        <v>0.33925233644859815</v>
      </c>
      <c r="BS14" s="2">
        <v>0</v>
      </c>
      <c r="BT14" s="2">
        <v>0.34158878504672896</v>
      </c>
      <c r="BU14" s="2">
        <v>0</v>
      </c>
    </row>
    <row r="15" spans="1:73" x14ac:dyDescent="0.2">
      <c r="A15" s="1" t="s">
        <v>150</v>
      </c>
      <c r="B15" s="1">
        <v>1981540210000</v>
      </c>
      <c r="C15" s="1">
        <v>1569792510000</v>
      </c>
      <c r="D15" s="1">
        <v>1715586600000</v>
      </c>
      <c r="E15" s="1">
        <v>1403452080000.0002</v>
      </c>
      <c r="F15" s="1">
        <v>944789040000</v>
      </c>
      <c r="G15" s="1">
        <v>1022242350000</v>
      </c>
      <c r="H15" s="1">
        <v>788645450000</v>
      </c>
      <c r="I15" s="1">
        <v>662519040000</v>
      </c>
      <c r="J15" s="1">
        <v>609289500000</v>
      </c>
      <c r="K15" s="1">
        <v>561881200000</v>
      </c>
      <c r="L15" s="1">
        <v>347456900000</v>
      </c>
      <c r="M15" s="1">
        <v>371163100000</v>
      </c>
      <c r="N15" s="1">
        <v>264770000000</v>
      </c>
      <c r="O15" s="1">
        <v>243067000000</v>
      </c>
      <c r="P15" s="1">
        <v>193211100000</v>
      </c>
      <c r="Q15" s="1">
        <v>217786446000</v>
      </c>
      <c r="R15" s="1">
        <v>235760569000</v>
      </c>
      <c r="S15" s="1">
        <v>241390800000</v>
      </c>
      <c r="T15" s="1">
        <v>218122516060</v>
      </c>
      <c r="U15" s="1">
        <v>199710989470</v>
      </c>
      <c r="V15" s="1">
        <v>184552297510</v>
      </c>
      <c r="W15" s="1">
        <v>190422934000</v>
      </c>
      <c r="X15" s="1">
        <v>142633069500</v>
      </c>
      <c r="Y15" s="1">
        <v>129443599999.99998</v>
      </c>
      <c r="Z15" s="1">
        <v>105182300000</v>
      </c>
      <c r="AA15" s="1">
        <v>121469600000</v>
      </c>
      <c r="AB15" s="1">
        <v>121085000000</v>
      </c>
      <c r="AC15" s="1">
        <v>106544600000</v>
      </c>
      <c r="AD15" s="1">
        <v>123705200000</v>
      </c>
      <c r="AE15" s="1">
        <v>106986800000</v>
      </c>
      <c r="AF15" s="1">
        <v>90681200000</v>
      </c>
      <c r="AG15" s="1">
        <v>93310000000</v>
      </c>
      <c r="AH15" s="1">
        <v>99356000000</v>
      </c>
      <c r="AI15" s="1">
        <v>97170000000</v>
      </c>
      <c r="AJ15" s="1">
        <v>107671200000</v>
      </c>
      <c r="AK15" s="1">
        <v>100406900000</v>
      </c>
      <c r="AL15" s="1">
        <v>89183900000</v>
      </c>
      <c r="AM15" s="1">
        <v>79600500000</v>
      </c>
      <c r="AN15" s="1">
        <v>67779400000.000008</v>
      </c>
      <c r="AO15" s="1">
        <v>64746000000.000008</v>
      </c>
      <c r="AP15" s="1">
        <v>57153600000</v>
      </c>
      <c r="AQ15" s="1">
        <v>38142900000</v>
      </c>
      <c r="AR15" s="1">
        <v>33975600000</v>
      </c>
      <c r="AS15" s="1">
        <v>33151500000</v>
      </c>
      <c r="AT15" s="1">
        <v>30160200000</v>
      </c>
      <c r="AU15" s="1">
        <v>26239499999.999996</v>
      </c>
      <c r="AV15" s="1">
        <v>21920200000.000004</v>
      </c>
      <c r="AW15" s="1">
        <v>17350000000</v>
      </c>
      <c r="AX15" s="1">
        <v>15938500000</v>
      </c>
      <c r="AY15" s="1">
        <v>13595400000</v>
      </c>
      <c r="AZ15" s="1">
        <v>11259200000</v>
      </c>
      <c r="BA15" s="1">
        <v>9101600000</v>
      </c>
      <c r="BB15" s="1">
        <v>7872000000</v>
      </c>
      <c r="BC15" s="1">
        <v>8806800000</v>
      </c>
      <c r="BD15" s="1">
        <v>8118000000</v>
      </c>
      <c r="BE15" s="1">
        <v>9040500000</v>
      </c>
      <c r="BF15" s="1">
        <v>8418000000</v>
      </c>
      <c r="BG15" s="1">
        <v>8305500000</v>
      </c>
      <c r="BH15" s="1">
        <v>8281000000</v>
      </c>
      <c r="BI15" s="1">
        <v>8167200000</v>
      </c>
      <c r="BJ15" s="1">
        <v>8207500000</v>
      </c>
      <c r="BK15" s="1">
        <v>6945400000</v>
      </c>
      <c r="BL15" s="1">
        <v>5759600000</v>
      </c>
      <c r="BM15" s="1">
        <v>5210200000</v>
      </c>
      <c r="BN15" s="1">
        <v>4879000000</v>
      </c>
      <c r="BO15" s="1">
        <v>4130000000</v>
      </c>
      <c r="BP15" s="1">
        <v>3540000000</v>
      </c>
      <c r="BQ15" s="1">
        <v>3450600000</v>
      </c>
      <c r="BR15" s="1">
        <v>3466800000</v>
      </c>
      <c r="BS15" s="1">
        <v>3466800000</v>
      </c>
      <c r="BT15" s="1">
        <v>3466800000</v>
      </c>
      <c r="BU15" s="1">
        <v>3466800000</v>
      </c>
    </row>
    <row r="16" spans="1:73" x14ac:dyDescent="0.2">
      <c r="A16" s="1" t="s">
        <v>149</v>
      </c>
      <c r="B16" s="1">
        <v>2026819210000</v>
      </c>
      <c r="C16" s="1">
        <v>1621675510000</v>
      </c>
      <c r="D16" s="1">
        <v>1764544600000</v>
      </c>
      <c r="E16" s="1">
        <v>1456963080000.0002</v>
      </c>
      <c r="F16" s="1">
        <v>1002599040000</v>
      </c>
      <c r="G16" s="1">
        <v>1079514350000</v>
      </c>
      <c r="H16" s="1">
        <v>846863450000</v>
      </c>
      <c r="I16" s="1">
        <v>722526040000</v>
      </c>
      <c r="J16" s="1">
        <v>673496500000</v>
      </c>
      <c r="K16" s="1">
        <v>625918200000</v>
      </c>
      <c r="L16" s="1">
        <v>372915900000</v>
      </c>
      <c r="M16" s="1">
        <v>398449100000</v>
      </c>
      <c r="N16" s="1">
        <v>292528000000</v>
      </c>
      <c r="O16" s="1">
        <v>269702000000</v>
      </c>
      <c r="P16" s="1">
        <v>220773100000</v>
      </c>
      <c r="Q16" s="1">
        <v>247304446000</v>
      </c>
      <c r="R16" s="1">
        <v>266221569000</v>
      </c>
      <c r="S16" s="1">
        <v>270676800000</v>
      </c>
      <c r="T16" s="1">
        <v>246232516060</v>
      </c>
      <c r="U16" s="1">
        <v>229062989470</v>
      </c>
      <c r="V16" s="1">
        <v>215472297510</v>
      </c>
      <c r="W16" s="1">
        <v>222802934000</v>
      </c>
      <c r="X16" s="1">
        <v>176704069500</v>
      </c>
      <c r="Y16" s="1">
        <v>165255600000</v>
      </c>
      <c r="Z16" s="1">
        <v>142486300000</v>
      </c>
      <c r="AA16" s="1">
        <v>160406600000</v>
      </c>
      <c r="AB16" s="1">
        <v>148828000000</v>
      </c>
      <c r="AC16" s="1">
        <v>138647600000</v>
      </c>
      <c r="AD16" s="1">
        <v>155925200000</v>
      </c>
      <c r="AE16" s="1">
        <v>139534800000</v>
      </c>
      <c r="AF16" s="1">
        <v>103882200000</v>
      </c>
      <c r="AG16" s="1">
        <v>106778000000</v>
      </c>
      <c r="AH16" s="1">
        <v>108767000000</v>
      </c>
      <c r="AI16" s="1">
        <v>107686000000</v>
      </c>
      <c r="AJ16" s="1">
        <v>114015200000</v>
      </c>
      <c r="AK16" s="1">
        <v>108729900000</v>
      </c>
      <c r="AL16" s="1">
        <v>98496900000</v>
      </c>
      <c r="AM16" s="1">
        <v>89626500000</v>
      </c>
      <c r="AN16" s="1">
        <v>78324400000</v>
      </c>
      <c r="AO16" s="1">
        <v>76500000000</v>
      </c>
      <c r="AP16" s="1">
        <v>70120600000</v>
      </c>
      <c r="AQ16" s="1">
        <v>39911900000</v>
      </c>
      <c r="AR16" s="1">
        <v>36102600000</v>
      </c>
      <c r="AS16" s="1">
        <v>35758500000</v>
      </c>
      <c r="AT16" s="1">
        <v>32550200000</v>
      </c>
      <c r="AU16" s="1">
        <v>29170499999.999996</v>
      </c>
      <c r="AV16" s="1">
        <v>25825200000.000004</v>
      </c>
      <c r="AW16" s="1">
        <v>21591000000</v>
      </c>
      <c r="AX16" s="1">
        <v>14660500000</v>
      </c>
      <c r="AY16" s="1">
        <v>12485400000</v>
      </c>
      <c r="AZ16" s="1">
        <v>10276200000</v>
      </c>
      <c r="BA16" s="1">
        <v>8241600000</v>
      </c>
      <c r="BB16" s="1">
        <v>6656000000</v>
      </c>
      <c r="BC16" s="1">
        <v>7658800000</v>
      </c>
      <c r="BD16" s="1">
        <v>7037000000</v>
      </c>
      <c r="BE16" s="1">
        <v>8070500000</v>
      </c>
      <c r="BF16" s="1">
        <v>7468000000</v>
      </c>
      <c r="BG16" s="1">
        <v>7491500000</v>
      </c>
      <c r="BH16" s="1">
        <v>7458000000</v>
      </c>
      <c r="BI16" s="1">
        <v>7469200000</v>
      </c>
      <c r="BJ16" s="1">
        <v>7617500000</v>
      </c>
      <c r="BK16" s="1">
        <v>6589400000</v>
      </c>
      <c r="BL16" s="1">
        <v>5434600000</v>
      </c>
      <c r="BM16" s="1">
        <v>5079200000</v>
      </c>
      <c r="BN16" s="1">
        <v>4859000000</v>
      </c>
      <c r="BO16" s="1">
        <v>4221000000</v>
      </c>
      <c r="BP16" s="1">
        <v>3667000000</v>
      </c>
      <c r="BQ16" s="1">
        <v>3901600000</v>
      </c>
      <c r="BR16" s="1">
        <v>3931800000</v>
      </c>
      <c r="BS16" s="1">
        <v>0</v>
      </c>
      <c r="BT16" s="1">
        <v>3963800000</v>
      </c>
      <c r="BU16" s="1">
        <v>0</v>
      </c>
    </row>
    <row r="17" spans="1:73" x14ac:dyDescent="0.2">
      <c r="A17" s="2" t="s">
        <v>148</v>
      </c>
      <c r="B17" s="2">
        <v>53.209994897959184</v>
      </c>
      <c r="C17" s="2">
        <v>53.401568580759289</v>
      </c>
      <c r="D17" s="2">
        <v>50.351802066212727</v>
      </c>
      <c r="E17" s="2">
        <v>84.749521739130444</v>
      </c>
      <c r="F17" s="2">
        <v>47.572459214501514</v>
      </c>
      <c r="G17" s="2">
        <v>46.440230328911504</v>
      </c>
      <c r="H17" s="2">
        <v>45.5969848519889</v>
      </c>
      <c r="I17" s="2">
        <v>-88.335872000000009</v>
      </c>
      <c r="J17" s="2">
        <v>71.816301272984447</v>
      </c>
      <c r="K17" s="2">
        <v>106.015320754717</v>
      </c>
      <c r="L17" s="2">
        <v>24.649326049943244</v>
      </c>
      <c r="M17" s="2">
        <v>28.092877686951258</v>
      </c>
      <c r="N17" s="2">
        <v>19.015369146796896</v>
      </c>
      <c r="O17" s="2">
        <v>16.101417594064653</v>
      </c>
      <c r="P17" s="2">
        <v>14.380105686216135</v>
      </c>
      <c r="Q17" s="2">
        <v>17.711975113858166</v>
      </c>
      <c r="R17" s="2">
        <v>22.756811679536678</v>
      </c>
      <c r="S17" s="2">
        <v>24.412500000000001</v>
      </c>
      <c r="T17" s="2">
        <v>27.416103074409254</v>
      </c>
      <c r="U17" s="2">
        <v>26.613937829157784</v>
      </c>
      <c r="V17" s="2">
        <v>30.902929924648358</v>
      </c>
      <c r="W17" s="2">
        <v>34.546976415094342</v>
      </c>
      <c r="X17" s="2">
        <v>26.932226114048341</v>
      </c>
      <c r="Y17" s="2">
        <v>47.036191860465109</v>
      </c>
      <c r="Z17" s="2">
        <v>46.706172291296632</v>
      </c>
      <c r="AA17" s="2">
        <v>78.876363636363635</v>
      </c>
      <c r="AB17" s="2">
        <v>35.739374262101535</v>
      </c>
      <c r="AC17" s="2">
        <v>37.253356643356639</v>
      </c>
      <c r="AD17" s="2">
        <v>44.755861070911727</v>
      </c>
      <c r="AE17" s="2">
        <v>56.787048832271758</v>
      </c>
      <c r="AF17" s="2">
        <v>20.332107623318389</v>
      </c>
      <c r="AG17" s="2">
        <v>19.504598662207357</v>
      </c>
      <c r="AH17" s="2">
        <v>6.6807423345884889</v>
      </c>
      <c r="AI17" s="2">
        <v>3.8992776886035312</v>
      </c>
      <c r="AJ17" s="2">
        <v>50.597368421052629</v>
      </c>
      <c r="AK17" s="2">
        <v>52.186538461538468</v>
      </c>
      <c r="AL17" s="2">
        <v>50.672670454545454</v>
      </c>
      <c r="AM17" s="2">
        <v>83.264121338912133</v>
      </c>
      <c r="AN17" s="2">
        <v>-26.811471518987343</v>
      </c>
      <c r="AO17" s="2">
        <v>-54.317114093959738</v>
      </c>
      <c r="AP17" s="2">
        <v>-12.047554806070826</v>
      </c>
      <c r="AQ17" s="2">
        <v>25.293700265251989</v>
      </c>
      <c r="AR17" s="2">
        <v>19.799300699300701</v>
      </c>
      <c r="AS17" s="2">
        <v>34.532812499999999</v>
      </c>
      <c r="AT17" s="2">
        <v>21.918749999999999</v>
      </c>
      <c r="AU17" s="2">
        <v>18.689102564102566</v>
      </c>
      <c r="AV17" s="2">
        <v>40.592962962962964</v>
      </c>
      <c r="AW17" s="2">
        <v>-26.448170731707318</v>
      </c>
      <c r="AX17" s="2">
        <v>25.219145569620249</v>
      </c>
      <c r="AY17" s="2">
        <v>25.36455223880597</v>
      </c>
      <c r="AZ17" s="2">
        <v>16.365116279069767</v>
      </c>
      <c r="BA17" s="2">
        <v>16.023943661971831</v>
      </c>
      <c r="BB17" s="2">
        <v>17.415929203539822</v>
      </c>
      <c r="BC17" s="2">
        <v>17.613600000000002</v>
      </c>
      <c r="BD17" s="2">
        <v>12.764150943396226</v>
      </c>
      <c r="BE17" s="2">
        <v>15.58706896551724</v>
      </c>
      <c r="BF17" s="2">
        <v>15.705223880597016</v>
      </c>
      <c r="BG17" s="2">
        <v>16.611000000000001</v>
      </c>
      <c r="BH17" s="2">
        <v>13.443181818181817</v>
      </c>
      <c r="BI17" s="2">
        <v>14.179166666666665</v>
      </c>
      <c r="BJ17" s="2">
        <v>15.199074074074074</v>
      </c>
      <c r="BK17" s="2">
        <v>14.591176470588236</v>
      </c>
      <c r="BL17" s="2">
        <v>8.7798780487804891</v>
      </c>
      <c r="BM17" s="2">
        <v>10.589837398373986</v>
      </c>
      <c r="BN17" s="2">
        <v>13.552777777777777</v>
      </c>
      <c r="BO17" s="2">
        <v>27.171052631578949</v>
      </c>
      <c r="BP17" s="2">
        <v>-42.142857142857139</v>
      </c>
      <c r="BQ17" s="2">
        <v>431.32500000000005</v>
      </c>
      <c r="BR17" s="2">
        <v>-27.958064516129035</v>
      </c>
      <c r="BS17" s="2">
        <v>144.45000000000002</v>
      </c>
      <c r="BT17" s="2">
        <v>48.15</v>
      </c>
      <c r="BU17" s="2">
        <v>19.697727272727274</v>
      </c>
    </row>
    <row r="18" spans="1:73" x14ac:dyDescent="0.2">
      <c r="A18" s="2" t="s">
        <v>147</v>
      </c>
      <c r="B18" s="2">
        <v>89.310867174471539</v>
      </c>
      <c r="C18" s="2">
        <v>81.290068354823674</v>
      </c>
      <c r="D18" s="2">
        <v>95.2310074937552</v>
      </c>
      <c r="E18" s="2">
        <v>87.979694082246752</v>
      </c>
      <c r="F18" s="2">
        <v>62.969144228205813</v>
      </c>
      <c r="G18" s="2">
        <v>68.533276347546263</v>
      </c>
      <c r="H18" s="2">
        <v>56.115372847587878</v>
      </c>
      <c r="I18" s="2">
        <v>50.682301101591186</v>
      </c>
      <c r="J18" s="2">
        <v>48.793905661888367</v>
      </c>
      <c r="K18" s="2">
        <v>46.976105676782879</v>
      </c>
      <c r="L18" s="2">
        <v>37.381054330285103</v>
      </c>
      <c r="M18" s="2">
        <v>41.816482649842271</v>
      </c>
      <c r="N18" s="2">
        <v>30.318332760792398</v>
      </c>
      <c r="O18" s="2">
        <v>27.264946719012901</v>
      </c>
      <c r="P18" s="2">
        <v>21.636181410974245</v>
      </c>
      <c r="Q18" s="2">
        <v>25.730912807183365</v>
      </c>
      <c r="R18" s="2">
        <v>29.095466987535481</v>
      </c>
      <c r="S18" s="2">
        <v>31.325045419153906</v>
      </c>
      <c r="T18" s="2">
        <v>29.448159316862426</v>
      </c>
      <c r="U18" s="2">
        <v>29.464589771318973</v>
      </c>
      <c r="V18" s="2">
        <v>27.920166037821481</v>
      </c>
      <c r="W18" s="2">
        <v>28.613513749060857</v>
      </c>
      <c r="X18" s="2">
        <v>22.055523349311891</v>
      </c>
      <c r="Y18" s="2">
        <v>22.237347534787833</v>
      </c>
      <c r="Z18" s="2">
        <v>18.318059909439221</v>
      </c>
      <c r="AA18" s="2">
        <v>20.735677705701605</v>
      </c>
      <c r="AB18" s="2">
        <v>20.963469529085874</v>
      </c>
      <c r="AC18" s="2">
        <v>19.319057116953761</v>
      </c>
      <c r="AD18" s="2">
        <v>22.422548486496286</v>
      </c>
      <c r="AE18" s="2">
        <v>18.481050267749179</v>
      </c>
      <c r="AF18" s="2">
        <v>16.657090374724469</v>
      </c>
      <c r="AG18" s="2">
        <v>18.429784712620975</v>
      </c>
      <c r="AH18" s="2">
        <v>19.815715995213402</v>
      </c>
      <c r="AI18" s="2">
        <v>18.241036230523747</v>
      </c>
      <c r="AJ18" s="2">
        <v>22.227745664739885</v>
      </c>
      <c r="AK18" s="2">
        <v>22.497624915975802</v>
      </c>
      <c r="AL18" s="2">
        <v>21.28494033412888</v>
      </c>
      <c r="AM18" s="2">
        <v>19.231819280019327</v>
      </c>
      <c r="AN18" s="2">
        <v>16.38766924564797</v>
      </c>
      <c r="AO18" s="2">
        <v>17.074367088607598</v>
      </c>
      <c r="AP18" s="2">
        <v>16.140525275345947</v>
      </c>
      <c r="AQ18" s="2">
        <v>21.537492941840767</v>
      </c>
      <c r="AR18" s="2">
        <v>18.465</v>
      </c>
      <c r="AS18" s="2">
        <v>19.107492795389049</v>
      </c>
      <c r="AT18" s="2">
        <v>18.686617100371748</v>
      </c>
      <c r="AU18" s="2">
        <v>16.048623853211009</v>
      </c>
      <c r="AV18" s="2">
        <v>13.786289308176103</v>
      </c>
      <c r="AW18" s="2">
        <v>13.672182821118991</v>
      </c>
      <c r="AX18" s="2">
        <v>22.736804564907274</v>
      </c>
      <c r="AY18" s="2">
        <v>19.17545839210155</v>
      </c>
      <c r="AZ18" s="2">
        <v>15.256368563685637</v>
      </c>
      <c r="BA18" s="2">
        <v>14.132919254658384</v>
      </c>
      <c r="BB18" s="2">
        <v>14.007117437722419</v>
      </c>
      <c r="BC18" s="2">
        <v>15.289583333333333</v>
      </c>
      <c r="BD18" s="2">
        <v>13.135922330097088</v>
      </c>
      <c r="BE18" s="2">
        <v>14.918316831683168</v>
      </c>
      <c r="BF18" s="2">
        <v>14.589254766031196</v>
      </c>
      <c r="BG18" s="2">
        <v>14.75222024866785</v>
      </c>
      <c r="BH18" s="2">
        <v>13.292134831460674</v>
      </c>
      <c r="BI18" s="2">
        <v>13.544278606965173</v>
      </c>
      <c r="BJ18" s="2">
        <v>14.65625</v>
      </c>
      <c r="BK18" s="2">
        <v>12.628</v>
      </c>
      <c r="BL18" s="2">
        <v>10.069230769230769</v>
      </c>
      <c r="BM18" s="2">
        <v>9.4730909090909083</v>
      </c>
      <c r="BN18" s="2">
        <v>9.4737864077669904</v>
      </c>
      <c r="BO18" s="2">
        <v>9.057017543859649</v>
      </c>
      <c r="BP18" s="2">
        <v>8.2710280373831768</v>
      </c>
      <c r="BQ18" s="2">
        <v>9.5057851239669429</v>
      </c>
      <c r="BR18" s="2">
        <v>10.667076923076923</v>
      </c>
      <c r="BS18" s="2">
        <v>9.4206521739130427</v>
      </c>
      <c r="BT18" s="2">
        <v>7.7557046979865776</v>
      </c>
      <c r="BU18" s="2">
        <v>7.8970387243735765</v>
      </c>
    </row>
    <row r="19" spans="1:73" x14ac:dyDescent="0.2">
      <c r="A19" s="2" t="s">
        <v>146</v>
      </c>
      <c r="B19" s="2">
        <v>188.8440112455923</v>
      </c>
      <c r="C19" s="2">
        <v>190.04751937046007</v>
      </c>
      <c r="D19" s="2">
        <v>222.71668181228094</v>
      </c>
      <c r="E19" s="2">
        <v>195.84874127825844</v>
      </c>
      <c r="F19" s="2">
        <v>144.1325766590389</v>
      </c>
      <c r="G19" s="2">
        <v>167.22433338786195</v>
      </c>
      <c r="H19" s="2">
        <v>140.72902391149179</v>
      </c>
      <c r="I19" s="2">
        <v>133.49164618174493</v>
      </c>
      <c r="J19" s="2">
        <v>133.03264192139738</v>
      </c>
      <c r="K19" s="2">
        <v>116.69391484942888</v>
      </c>
      <c r="L19" s="2">
        <v>71.967046396023193</v>
      </c>
      <c r="M19" s="2">
        <v>78.652913752913761</v>
      </c>
      <c r="N19" s="2">
        <v>58.811639271434913</v>
      </c>
      <c r="O19" s="2">
        <v>60.224727452923688</v>
      </c>
      <c r="P19" s="2">
        <v>42.158215142919481</v>
      </c>
      <c r="Q19" s="2">
        <v>49.228400994575047</v>
      </c>
      <c r="R19" s="2">
        <v>55.564593212349756</v>
      </c>
      <c r="S19" s="2">
        <v>69.245783132530121</v>
      </c>
      <c r="T19" s="2">
        <v>61.599129076532058</v>
      </c>
      <c r="U19" s="2">
        <v>56.399601657723807</v>
      </c>
      <c r="V19" s="2">
        <v>51.709805970860181</v>
      </c>
      <c r="W19" s="2">
        <v>61.170232573080632</v>
      </c>
      <c r="X19" s="2">
        <v>42.602469982078858</v>
      </c>
      <c r="Y19" s="2">
        <v>40.731151667715544</v>
      </c>
      <c r="Z19" s="2">
        <v>32.736476812947402</v>
      </c>
      <c r="AA19" s="2">
        <v>52.31248923341947</v>
      </c>
      <c r="AB19" s="2">
        <v>48.844292053247273</v>
      </c>
      <c r="AC19" s="2">
        <v>44.044894584539065</v>
      </c>
      <c r="AD19" s="2">
        <v>46.383652043494564</v>
      </c>
      <c r="AE19" s="2">
        <v>50.181425891181995</v>
      </c>
      <c r="AF19" s="2">
        <v>34.414117647058823</v>
      </c>
      <c r="AG19" s="2">
        <v>41.526479750778812</v>
      </c>
      <c r="AH19" s="2">
        <v>42.955469087764811</v>
      </c>
      <c r="AI19" s="2">
        <v>57.667655786350153</v>
      </c>
      <c r="AJ19" s="2">
        <v>54.962327718223584</v>
      </c>
      <c r="AK19" s="2">
        <v>60.632185990338165</v>
      </c>
      <c r="AL19" s="2">
        <v>56.33853442830069</v>
      </c>
      <c r="AM19" s="2">
        <v>58.832594235033262</v>
      </c>
      <c r="AN19" s="2">
        <v>50.132692307692317</v>
      </c>
      <c r="AO19" s="2">
        <v>67.233644859813083</v>
      </c>
      <c r="AP19" s="2">
        <v>91.886816720257244</v>
      </c>
      <c r="AQ19" s="2">
        <v>80.470253164556965</v>
      </c>
      <c r="AR19" s="2">
        <v>58.377319587628868</v>
      </c>
      <c r="AS19" s="2">
        <v>55.999155405405403</v>
      </c>
      <c r="AT19" s="2">
        <v>45.490497737556559</v>
      </c>
      <c r="AU19" s="2">
        <v>54.551975051975049</v>
      </c>
      <c r="AV19" s="2">
        <v>57.533333333333339</v>
      </c>
      <c r="AW19" s="2">
        <v>55.254777070063703</v>
      </c>
      <c r="AX19" s="2">
        <v>63.499999999999993</v>
      </c>
      <c r="AY19" s="2">
        <v>59.368558951965063</v>
      </c>
      <c r="AZ19" s="2">
        <v>53.871770334928229</v>
      </c>
      <c r="BA19" s="2">
        <v>66.435036496350364</v>
      </c>
      <c r="BB19" s="2">
        <v>41.872340425531924</v>
      </c>
      <c r="BC19" s="2">
        <v>47.604324324324324</v>
      </c>
      <c r="BD19" s="2">
        <v>37.758139534883718</v>
      </c>
      <c r="BE19" s="2">
        <v>70.62890625</v>
      </c>
      <c r="BF19" s="2">
        <v>39.895734597156405</v>
      </c>
      <c r="BG19" s="2">
        <v>59.751798561151084</v>
      </c>
      <c r="BH19" s="2">
        <v>42.466666666666669</v>
      </c>
      <c r="BI19" s="2">
        <v>38.34366197183099</v>
      </c>
      <c r="BJ19" s="2">
        <v>32.440711462450594</v>
      </c>
      <c r="BK19" s="2">
        <v>103.66268656716419</v>
      </c>
      <c r="BL19" s="2">
        <v>26.541935483870969</v>
      </c>
      <c r="BM19" s="2">
        <v>38.03065693430657</v>
      </c>
      <c r="BN19" s="2">
        <v>42.426086956521736</v>
      </c>
      <c r="BO19" s="2">
        <v>100.73170731707317</v>
      </c>
      <c r="BP19" s="2">
        <v>76.956521739130423</v>
      </c>
      <c r="BQ19" s="2">
        <v>111.30967741935484</v>
      </c>
      <c r="BR19" s="2">
        <v>52.527272727272731</v>
      </c>
      <c r="BS19" s="2">
        <v>-866.7</v>
      </c>
      <c r="BT19" s="2">
        <v>30.410526315789475</v>
      </c>
      <c r="BU19" s="2">
        <v>57.78</v>
      </c>
    </row>
    <row r="20" spans="1:73" x14ac:dyDescent="0.2">
      <c r="A20" s="2" t="s">
        <v>145</v>
      </c>
      <c r="B20" s="2">
        <v>193.09493373611383</v>
      </c>
      <c r="C20" s="2">
        <v>195.97908988764044</v>
      </c>
      <c r="D20" s="2">
        <v>229.78657915885347</v>
      </c>
      <c r="E20" s="2">
        <v>199.80809794988613</v>
      </c>
      <c r="F20" s="2">
        <v>147.36999532054281</v>
      </c>
      <c r="G20" s="2">
        <v>170.00538000997838</v>
      </c>
      <c r="H20" s="2">
        <v>143.86089930682232</v>
      </c>
      <c r="I20" s="2">
        <v>138.28408265497808</v>
      </c>
      <c r="J20" s="2">
        <v>136.98055305755395</v>
      </c>
      <c r="K20" s="2">
        <v>119.72750905604092</v>
      </c>
      <c r="L20" s="2">
        <v>73.566991319076863</v>
      </c>
      <c r="M20" s="2">
        <v>80.740287143789431</v>
      </c>
      <c r="N20" s="2">
        <v>60.449771689497716</v>
      </c>
      <c r="O20" s="2">
        <v>61.80193236714976</v>
      </c>
      <c r="P20" s="2">
        <v>43.311163416274375</v>
      </c>
      <c r="Q20" s="2">
        <v>50.553956824512532</v>
      </c>
      <c r="R20" s="2">
        <v>56.700473544973548</v>
      </c>
      <c r="S20" s="2">
        <v>71.311905465288035</v>
      </c>
      <c r="T20" s="2">
        <v>63.168988143643212</v>
      </c>
      <c r="U20" s="2">
        <v>58.292758164039697</v>
      </c>
      <c r="V20" s="2">
        <v>53.602177609642752</v>
      </c>
      <c r="W20" s="2">
        <v>63.495476492164052</v>
      </c>
      <c r="X20" s="2">
        <v>43.941179759704248</v>
      </c>
      <c r="Y20" s="2">
        <v>42.122876667751378</v>
      </c>
      <c r="Z20" s="2">
        <v>34.317226753670475</v>
      </c>
      <c r="AA20" s="2">
        <v>54.864317976513099</v>
      </c>
      <c r="AB20" s="2">
        <v>50.812001678556442</v>
      </c>
      <c r="AC20" s="2">
        <v>46.183181621153011</v>
      </c>
      <c r="AD20" s="2">
        <v>48.664516129032258</v>
      </c>
      <c r="AE20" s="2">
        <v>52.625086079685197</v>
      </c>
      <c r="AF20" s="2">
        <v>35.856544088572555</v>
      </c>
      <c r="AG20" s="2">
        <v>43.869299482839679</v>
      </c>
      <c r="AH20" s="2">
        <v>46.777777777777779</v>
      </c>
      <c r="AI20" s="2">
        <v>66.327645051194537</v>
      </c>
      <c r="AJ20" s="2">
        <v>62.381923522595599</v>
      </c>
      <c r="AK20" s="2">
        <v>71.668022840827973</v>
      </c>
      <c r="AL20" s="2">
        <v>67.207159005275059</v>
      </c>
      <c r="AM20" s="2">
        <v>77.432392996108945</v>
      </c>
      <c r="AN20" s="2">
        <v>58.480931837791204</v>
      </c>
      <c r="AO20" s="2">
        <v>88.571819425444602</v>
      </c>
      <c r="AP20" s="2">
        <v>123.17586206896551</v>
      </c>
      <c r="AQ20" s="2">
        <v>114.20029940119761</v>
      </c>
      <c r="AR20" s="2">
        <v>71.377310924369752</v>
      </c>
      <c r="AS20" s="2">
        <v>74.665540540540547</v>
      </c>
      <c r="AT20" s="2">
        <v>62.058024691358028</v>
      </c>
      <c r="AU20" s="2">
        <v>82.255485893416918</v>
      </c>
      <c r="AV20" s="2">
        <v>114.16770833333335</v>
      </c>
      <c r="AW20" s="2">
        <v>79.223744292237441</v>
      </c>
      <c r="AX20" s="2">
        <v>89.542134831460672</v>
      </c>
      <c r="AY20" s="2">
        <v>76.810169491525428</v>
      </c>
      <c r="AZ20" s="2">
        <v>74.073684210526309</v>
      </c>
      <c r="BA20" s="2">
        <v>126.41111111111111</v>
      </c>
      <c r="BB20" s="2">
        <v>54.666666666666664</v>
      </c>
      <c r="BC20" s="2">
        <v>74.633898305084742</v>
      </c>
      <c r="BD20" s="2">
        <v>57.16901408450704</v>
      </c>
      <c r="BE20" s="2">
        <v>143.5</v>
      </c>
      <c r="BF20" s="2">
        <v>54.309677419354841</v>
      </c>
      <c r="BG20" s="2">
        <v>90.277173913043484</v>
      </c>
      <c r="BH20" s="2">
        <v>52.411392405063289</v>
      </c>
      <c r="BI20" s="2">
        <v>43.212698412698415</v>
      </c>
      <c r="BJ20" s="2">
        <v>35.377155172413794</v>
      </c>
      <c r="BK20" s="2">
        <v>198.44</v>
      </c>
      <c r="BL20" s="2">
        <v>30.8</v>
      </c>
      <c r="BM20" s="2">
        <v>45.306086956521739</v>
      </c>
      <c r="BN20" s="2">
        <v>50.298969072164951</v>
      </c>
      <c r="BO20" s="2">
        <v>129.0625</v>
      </c>
      <c r="BP20" s="2">
        <v>141.6</v>
      </c>
      <c r="BQ20" s="2">
        <v>181.61052631578949</v>
      </c>
      <c r="BR20" s="2">
        <v>65.411320754716982</v>
      </c>
      <c r="BS20" s="2">
        <v>-216.67500000000001</v>
      </c>
      <c r="BT20" s="2">
        <v>36.112499999999997</v>
      </c>
      <c r="BU20" s="2">
        <v>84.556097560975616</v>
      </c>
    </row>
    <row r="21" spans="1:73" x14ac:dyDescent="0.2">
      <c r="A21" s="2" t="s">
        <v>144</v>
      </c>
      <c r="B21" s="2">
        <v>22.596848137209061</v>
      </c>
      <c r="C21" s="2">
        <v>19.653852539062502</v>
      </c>
      <c r="D21" s="2">
        <v>21.104002853909364</v>
      </c>
      <c r="E21" s="2">
        <v>19.152695661667373</v>
      </c>
      <c r="F21" s="2">
        <v>13.577286235737073</v>
      </c>
      <c r="G21" s="2">
        <v>14.647614237200704</v>
      </c>
      <c r="H21" s="2">
        <v>11.6529071485564</v>
      </c>
      <c r="I21" s="2">
        <v>10.09153006047128</v>
      </c>
      <c r="J21" s="2">
        <v>8.7089878646674581</v>
      </c>
      <c r="K21" s="2">
        <v>7.994439701781344</v>
      </c>
      <c r="L21" s="2">
        <v>14.484613139903285</v>
      </c>
      <c r="M21" s="2">
        <v>16.810684360704741</v>
      </c>
      <c r="N21" s="2">
        <v>12.031171899850047</v>
      </c>
      <c r="O21" s="2">
        <v>10.427584727584726</v>
      </c>
      <c r="P21" s="2">
        <v>8.5081289356642742</v>
      </c>
      <c r="Q21" s="2">
        <v>10.418908577716117</v>
      </c>
      <c r="R21" s="2">
        <v>11.232042353501669</v>
      </c>
      <c r="S21" s="2">
        <v>10.497990780203532</v>
      </c>
      <c r="T21" s="2">
        <v>8.7287412885669706</v>
      </c>
      <c r="U21" s="2">
        <v>8.1959613194073953</v>
      </c>
      <c r="V21" s="2">
        <v>7.7005882295752315</v>
      </c>
      <c r="W21" s="2">
        <v>7.9346195258135754</v>
      </c>
      <c r="X21" s="2">
        <v>5.9676611648048201</v>
      </c>
      <c r="Y21" s="2">
        <v>5.4883866864532536</v>
      </c>
      <c r="Z21" s="2">
        <v>4.3880809345014598</v>
      </c>
      <c r="AA21" s="2">
        <v>4.979078537465158</v>
      </c>
      <c r="AB21" s="2">
        <v>4.8492190628754503</v>
      </c>
      <c r="AC21" s="2">
        <v>4.9548714132911691</v>
      </c>
      <c r="AD21" s="2">
        <v>5.5793433158939205</v>
      </c>
      <c r="AE21" s="2">
        <v>4.6067344126765422</v>
      </c>
      <c r="AF21" s="2">
        <v>3.4017781445774098</v>
      </c>
      <c r="AG21" s="2">
        <v>3.3990237505464083</v>
      </c>
      <c r="AH21" s="2">
        <v>3.0983877506470829</v>
      </c>
      <c r="AI21" s="2">
        <v>3.7515926026022162</v>
      </c>
      <c r="AJ21" s="2">
        <v>5.3079221099334486</v>
      </c>
      <c r="AK21" s="2">
        <v>5.0705433794566215</v>
      </c>
      <c r="AL21" s="2">
        <v>4.5911917631917634</v>
      </c>
      <c r="AM21" s="2">
        <v>4.1822361162191974</v>
      </c>
      <c r="AN21" s="2">
        <v>3.5877302561930975</v>
      </c>
      <c r="AO21" s="2">
        <v>3.3249114158065018</v>
      </c>
      <c r="AP21" s="2">
        <v>2.9009034615775051</v>
      </c>
      <c r="AQ21" s="2">
        <v>7.4483304042179252</v>
      </c>
      <c r="AR21" s="2">
        <v>7.2073822655918542</v>
      </c>
      <c r="AS21" s="2">
        <v>7.7438682550805886</v>
      </c>
      <c r="AT21" s="2">
        <v>7.4267914306820977</v>
      </c>
      <c r="AU21" s="2">
        <v>7.2324972436604176</v>
      </c>
      <c r="AV21" s="2">
        <v>6.759235275979032</v>
      </c>
      <c r="AW21" s="2">
        <v>5.6003873466752747</v>
      </c>
      <c r="AX21" s="2">
        <v>5.0534242232086237</v>
      </c>
      <c r="AY21" s="2">
        <v>4.5439171122994653</v>
      </c>
      <c r="AZ21" s="2">
        <v>3.9013167013167012</v>
      </c>
      <c r="BA21" s="2">
        <v>3.3388114453411593</v>
      </c>
      <c r="BB21" s="2">
        <v>3.0149368058215247</v>
      </c>
      <c r="BC21" s="2">
        <v>3.4975377283558378</v>
      </c>
      <c r="BD21" s="2">
        <v>3.3559322033898304</v>
      </c>
      <c r="BE21" s="2">
        <v>3.9495412844036699</v>
      </c>
      <c r="BF21" s="2">
        <v>3.8846331333640984</v>
      </c>
      <c r="BG21" s="2">
        <v>4.0713235294117647</v>
      </c>
      <c r="BH21" s="2">
        <v>4.1281156530408767</v>
      </c>
      <c r="BI21" s="2">
        <v>4.3674866310160425</v>
      </c>
      <c r="BJ21" s="2">
        <v>4.5826353992183142</v>
      </c>
      <c r="BK21" s="2">
        <v>4.2246958637469589</v>
      </c>
      <c r="BL21" s="2">
        <v>3.8269767441860463</v>
      </c>
      <c r="BM21" s="2">
        <v>3.9086271567891973</v>
      </c>
      <c r="BN21" s="2">
        <v>4.065833333333333</v>
      </c>
      <c r="BO21" s="2">
        <v>3.7994480220791171</v>
      </c>
      <c r="BP21" s="2">
        <v>3.4038461538461537</v>
      </c>
      <c r="BQ21" s="2">
        <v>4.5522427440633244</v>
      </c>
      <c r="BR21" s="2">
        <v>4.5736147757255941</v>
      </c>
      <c r="BS21" s="2">
        <v>0</v>
      </c>
      <c r="BT21" s="2">
        <v>4.4446153846153855</v>
      </c>
      <c r="BU21" s="2">
        <v>0</v>
      </c>
    </row>
    <row r="22" spans="1:73" x14ac:dyDescent="0.2">
      <c r="A22" s="2" t="s">
        <v>143</v>
      </c>
      <c r="B22" s="2">
        <v>22.596848137209061</v>
      </c>
      <c r="C22" s="2">
        <v>19.653852539062502</v>
      </c>
      <c r="D22" s="2">
        <v>21.104002853909364</v>
      </c>
      <c r="E22" s="2">
        <v>19.152695661667373</v>
      </c>
      <c r="F22" s="2">
        <v>13.577286235737073</v>
      </c>
      <c r="G22" s="2">
        <v>14.647614237200704</v>
      </c>
      <c r="H22" s="2">
        <v>11.6529071485564</v>
      </c>
      <c r="I22" s="2">
        <v>10.09153006047128</v>
      </c>
      <c r="J22" s="2">
        <v>8.7089878646674581</v>
      </c>
      <c r="K22" s="2">
        <v>7.994439701781344</v>
      </c>
      <c r="L22" s="2">
        <v>14.484613139903285</v>
      </c>
      <c r="M22" s="2">
        <v>16.810684360704741</v>
      </c>
      <c r="N22" s="2">
        <v>12.031171899850047</v>
      </c>
      <c r="O22" s="2">
        <v>10.427584727584726</v>
      </c>
      <c r="P22" s="2">
        <v>8.5081289356642742</v>
      </c>
      <c r="Q22" s="2">
        <v>10.418908577716117</v>
      </c>
      <c r="R22" s="2">
        <v>11.232042353501669</v>
      </c>
      <c r="S22" s="2">
        <v>10.497990780203532</v>
      </c>
      <c r="T22" s="2">
        <v>8.7287412885669706</v>
      </c>
      <c r="U22" s="2">
        <v>8.1959613194073953</v>
      </c>
      <c r="V22" s="2">
        <v>7.7005882295752315</v>
      </c>
      <c r="W22" s="2">
        <v>7.9346195258135754</v>
      </c>
      <c r="X22" s="2">
        <v>5.9676611648048201</v>
      </c>
      <c r="Y22" s="2">
        <v>5.4883866864532536</v>
      </c>
      <c r="Z22" s="2">
        <v>4.3880809345014598</v>
      </c>
      <c r="AA22" s="2">
        <v>4.979078537465158</v>
      </c>
      <c r="AB22" s="2">
        <v>4.8492190628754503</v>
      </c>
      <c r="AC22" s="2">
        <v>4.9548714132911691</v>
      </c>
      <c r="AD22" s="2">
        <v>5.5793433158939205</v>
      </c>
      <c r="AE22" s="2">
        <v>4.6067344126765422</v>
      </c>
      <c r="AF22" s="2">
        <v>3.4017781445774098</v>
      </c>
      <c r="AG22" s="2">
        <v>3.3990237505464083</v>
      </c>
      <c r="AH22" s="2">
        <v>3.0983877506470829</v>
      </c>
      <c r="AI22" s="2">
        <v>3.7515926026022162</v>
      </c>
      <c r="AJ22" s="2">
        <v>5.3079221099334486</v>
      </c>
      <c r="AK22" s="2">
        <v>5.0705433794566215</v>
      </c>
      <c r="AL22" s="2">
        <v>4.5911917631917634</v>
      </c>
      <c r="AM22" s="2">
        <v>4.1822361162191974</v>
      </c>
      <c r="AN22" s="2">
        <v>3.5877302561930975</v>
      </c>
      <c r="AO22" s="2">
        <v>3.3249114158065018</v>
      </c>
      <c r="AP22" s="2">
        <v>2.9009034615775051</v>
      </c>
      <c r="AQ22" s="2">
        <v>7.4483304042179252</v>
      </c>
      <c r="AR22" s="2">
        <v>7.2073822655918542</v>
      </c>
      <c r="AS22" s="2">
        <v>7.7438682550805886</v>
      </c>
      <c r="AT22" s="2">
        <v>7.4267914306820977</v>
      </c>
      <c r="AU22" s="2">
        <v>7.2324972436604176</v>
      </c>
      <c r="AV22" s="2">
        <v>6.759235275979032</v>
      </c>
      <c r="AW22" s="2">
        <v>5.6003873466752747</v>
      </c>
      <c r="AX22" s="2">
        <v>5.0534242232086237</v>
      </c>
      <c r="AY22" s="2">
        <v>4.5439171122994653</v>
      </c>
      <c r="AZ22" s="2">
        <v>3.9013167013167012</v>
      </c>
      <c r="BA22" s="2">
        <v>3.3388114453411593</v>
      </c>
      <c r="BB22" s="2">
        <v>3.0149368058215247</v>
      </c>
      <c r="BC22" s="2">
        <v>3.4975377283558378</v>
      </c>
      <c r="BD22" s="2">
        <v>3.3559322033898304</v>
      </c>
      <c r="BE22" s="2">
        <v>3.9495412844036699</v>
      </c>
      <c r="BF22" s="2">
        <v>3.8846331333640984</v>
      </c>
      <c r="BG22" s="2">
        <v>4.0713235294117647</v>
      </c>
      <c r="BH22" s="2">
        <v>4.1281156530408767</v>
      </c>
      <c r="BI22" s="2">
        <v>4.3674866310160425</v>
      </c>
      <c r="BJ22" s="2">
        <v>4.5826353992183142</v>
      </c>
      <c r="BK22" s="2">
        <v>4.2246958637469589</v>
      </c>
      <c r="BL22" s="2">
        <v>3.8269767441860463</v>
      </c>
      <c r="BM22" s="2">
        <v>3.9086271567891973</v>
      </c>
      <c r="BN22" s="2">
        <v>4.065833333333333</v>
      </c>
      <c r="BO22" s="2">
        <v>3.7994480220791171</v>
      </c>
      <c r="BP22" s="2">
        <v>3.4038461538461537</v>
      </c>
      <c r="BQ22" s="2">
        <v>4.5522427440633244</v>
      </c>
      <c r="BR22" s="2">
        <v>4.5736147757255941</v>
      </c>
      <c r="BS22" s="2">
        <v>0</v>
      </c>
      <c r="BT22" s="2">
        <v>4.4446153846153855</v>
      </c>
      <c r="BU22" s="2">
        <v>0</v>
      </c>
    </row>
    <row r="23" spans="1:73" x14ac:dyDescent="0.2">
      <c r="A23" s="2" t="s">
        <v>142</v>
      </c>
      <c r="B23" s="2">
        <v>91.351656826069316</v>
      </c>
      <c r="C23" s="2">
        <v>83.976775412977062</v>
      </c>
      <c r="D23" s="2">
        <v>97.948631695809041</v>
      </c>
      <c r="E23" s="2">
        <v>91.334195085255786</v>
      </c>
      <c r="F23" s="2">
        <v>66.822116768861633</v>
      </c>
      <c r="G23" s="2">
        <v>72.372911638508981</v>
      </c>
      <c r="H23" s="2">
        <v>60.257823395474595</v>
      </c>
      <c r="I23" s="2">
        <v>55.272799877600981</v>
      </c>
      <c r="J23" s="2">
        <v>53.935813245775606</v>
      </c>
      <c r="K23" s="2">
        <v>52.329922247303735</v>
      </c>
      <c r="L23" s="2">
        <v>40.120053792361482</v>
      </c>
      <c r="M23" s="2">
        <v>44.890615141955834</v>
      </c>
      <c r="N23" s="2">
        <v>33.496851024848276</v>
      </c>
      <c r="O23" s="2">
        <v>30.25260796410544</v>
      </c>
      <c r="P23" s="2">
        <v>24.722631578947368</v>
      </c>
      <c r="Q23" s="2">
        <v>29.218389177693762</v>
      </c>
      <c r="R23" s="2">
        <v>32.854691965938542</v>
      </c>
      <c r="S23" s="2">
        <v>35.125460679989615</v>
      </c>
      <c r="T23" s="2">
        <v>33.243218045092483</v>
      </c>
      <c r="U23" s="2">
        <v>33.795070739156095</v>
      </c>
      <c r="V23" s="2">
        <v>32.597927006051435</v>
      </c>
      <c r="W23" s="2">
        <v>33.479028399699473</v>
      </c>
      <c r="X23" s="2">
        <v>27.323963120457709</v>
      </c>
      <c r="Y23" s="2">
        <v>28.389555059268169</v>
      </c>
      <c r="Z23" s="2">
        <v>24.814750957854407</v>
      </c>
      <c r="AA23" s="2">
        <v>27.382485489928303</v>
      </c>
      <c r="AB23" s="2">
        <v>25.766620498614959</v>
      </c>
      <c r="AC23" s="2">
        <v>25.140090661831369</v>
      </c>
      <c r="AD23" s="2">
        <v>28.26267899220591</v>
      </c>
      <c r="AE23" s="2">
        <v>24.103437553981689</v>
      </c>
      <c r="AF23" s="2">
        <v>19.081961792799412</v>
      </c>
      <c r="AG23" s="2">
        <v>21.089867667390877</v>
      </c>
      <c r="AH23" s="2">
        <v>21.692660550458715</v>
      </c>
      <c r="AI23" s="2">
        <v>20.215130467430072</v>
      </c>
      <c r="AJ23" s="2">
        <v>23.537407101568952</v>
      </c>
      <c r="AK23" s="2">
        <v>24.362514004033162</v>
      </c>
      <c r="AL23" s="2">
        <v>23.50761336515513</v>
      </c>
      <c r="AM23" s="2">
        <v>21.654143512925828</v>
      </c>
      <c r="AN23" s="2">
        <v>18.937234042553193</v>
      </c>
      <c r="AO23" s="2">
        <v>20.174050632911392</v>
      </c>
      <c r="AP23" s="2">
        <v>19.802485173679752</v>
      </c>
      <c r="AQ23" s="2">
        <v>22.536363636363635</v>
      </c>
      <c r="AR23" s="2">
        <v>19.620978260869567</v>
      </c>
      <c r="AS23" s="2">
        <v>20.610086455331412</v>
      </c>
      <c r="AT23" s="2">
        <v>20.167410161090459</v>
      </c>
      <c r="AU23" s="2">
        <v>17.841284403669722</v>
      </c>
      <c r="AV23" s="2">
        <v>16.242264150943399</v>
      </c>
      <c r="AW23" s="2">
        <v>17.01418439716312</v>
      </c>
      <c r="AX23" s="2">
        <v>20.913694721825962</v>
      </c>
      <c r="AY23" s="2">
        <v>17.609873060648802</v>
      </c>
      <c r="AZ23" s="2">
        <v>13.924390243902439</v>
      </c>
      <c r="BA23" s="2">
        <v>12.79751552795031</v>
      </c>
      <c r="BB23" s="2">
        <v>11.843416370106761</v>
      </c>
      <c r="BC23" s="2">
        <v>13.296527777777778</v>
      </c>
      <c r="BD23" s="2">
        <v>11.38673139158576</v>
      </c>
      <c r="BE23" s="2">
        <v>13.317656765676567</v>
      </c>
      <c r="BF23" s="2">
        <v>12.942807625649912</v>
      </c>
      <c r="BG23" s="2">
        <v>13.306394316163411</v>
      </c>
      <c r="BH23" s="2">
        <v>11.971107544141253</v>
      </c>
      <c r="BI23" s="2">
        <v>12.386733001658374</v>
      </c>
      <c r="BJ23" s="2">
        <v>13.602678571428571</v>
      </c>
      <c r="BK23" s="2">
        <v>11.980727272727274</v>
      </c>
      <c r="BL23" s="2">
        <v>9.5010489510489506</v>
      </c>
      <c r="BM23" s="2">
        <v>9.2349090909090901</v>
      </c>
      <c r="BN23" s="2">
        <v>9.4349514563106798</v>
      </c>
      <c r="BO23" s="2">
        <v>9.2565789473684212</v>
      </c>
      <c r="BP23" s="2">
        <v>8.5677570093457938</v>
      </c>
      <c r="BQ23" s="2">
        <v>10.748209366391185</v>
      </c>
      <c r="BR23" s="2">
        <v>12.097846153846154</v>
      </c>
      <c r="BS23" s="2">
        <v>0</v>
      </c>
      <c r="BT23" s="2">
        <v>8.8675615212527958</v>
      </c>
      <c r="BU23" s="2">
        <v>0</v>
      </c>
    </row>
    <row r="24" spans="1:73" x14ac:dyDescent="0.2">
      <c r="A24" s="2" t="s">
        <v>141</v>
      </c>
      <c r="B24" s="2">
        <v>155.50247122909315</v>
      </c>
      <c r="C24" s="2">
        <v>149.68391268229647</v>
      </c>
      <c r="D24" s="2">
        <v>178.90546486870122</v>
      </c>
      <c r="E24" s="2">
        <v>181.48518684603889</v>
      </c>
      <c r="F24" s="2">
        <v>98.351877575044142</v>
      </c>
      <c r="G24" s="2">
        <v>172.44638178913738</v>
      </c>
      <c r="H24" s="2">
        <v>116.16782578875171</v>
      </c>
      <c r="I24" s="2">
        <v>113.00063184235221</v>
      </c>
      <c r="J24" s="2">
        <v>120.65505195270512</v>
      </c>
      <c r="K24" s="2">
        <v>135.68571428571428</v>
      </c>
      <c r="L24" s="2">
        <v>70.308427601809953</v>
      </c>
      <c r="M24" s="2">
        <v>81.11748778501628</v>
      </c>
      <c r="N24" s="2">
        <v>57.81185770750988</v>
      </c>
      <c r="O24" s="2">
        <v>51.09928003031451</v>
      </c>
      <c r="P24" s="2">
        <v>42.116196108355588</v>
      </c>
      <c r="Q24" s="2">
        <v>49.85976733870968</v>
      </c>
      <c r="R24" s="2">
        <v>58.22868963254593</v>
      </c>
      <c r="S24" s="2">
        <v>61.78425017119379</v>
      </c>
      <c r="T24" s="2">
        <v>59.998176427875244</v>
      </c>
      <c r="U24" s="2">
        <v>62.860315441822173</v>
      </c>
      <c r="V24" s="2">
        <v>62.347308307291669</v>
      </c>
      <c r="W24" s="2">
        <v>63.895306567249783</v>
      </c>
      <c r="X24" s="2">
        <v>53.791193150684933</v>
      </c>
      <c r="Y24" s="2">
        <v>59.530115273775216</v>
      </c>
      <c r="Z24" s="2">
        <v>54.25982482863671</v>
      </c>
      <c r="AA24" s="2">
        <v>65.794339622641516</v>
      </c>
      <c r="AB24" s="2">
        <v>58.135937499999997</v>
      </c>
      <c r="AC24" s="2">
        <v>58.848726655348045</v>
      </c>
      <c r="AD24" s="2">
        <v>62.873064516129034</v>
      </c>
      <c r="AE24" s="2">
        <v>67.01959654178674</v>
      </c>
      <c r="AF24" s="2">
        <v>40.930732860520095</v>
      </c>
      <c r="AG24" s="2">
        <v>45.573196756295346</v>
      </c>
      <c r="AH24" s="2">
        <v>49.193577566711895</v>
      </c>
      <c r="AI24" s="2">
        <v>49.808510638297875</v>
      </c>
      <c r="AJ24" s="2">
        <v>57.496318709026724</v>
      </c>
      <c r="AK24" s="2">
        <v>58.113254943880278</v>
      </c>
      <c r="AL24" s="2">
        <v>58.980179640718561</v>
      </c>
      <c r="AM24" s="2">
        <v>60.071380697050941</v>
      </c>
      <c r="AN24" s="2">
        <v>75.239577329490871</v>
      </c>
      <c r="AO24" s="2">
        <v>98.455598455598462</v>
      </c>
      <c r="AP24" s="2">
        <v>-3506.03</v>
      </c>
      <c r="AQ24" s="2">
        <v>55.279639889196673</v>
      </c>
      <c r="AR24" s="2">
        <v>46.523969072164945</v>
      </c>
      <c r="AS24" s="2">
        <v>63.177561837455833</v>
      </c>
      <c r="AT24" s="2">
        <v>50.309428129829982</v>
      </c>
      <c r="AU24" s="2">
        <v>46.229001584786047</v>
      </c>
      <c r="AV24" s="2">
        <v>45.547089947089951</v>
      </c>
      <c r="AW24" s="2">
        <v>232.16129032258064</v>
      </c>
      <c r="AX24" s="2">
        <v>66.337104072398191</v>
      </c>
      <c r="AY24" s="2">
        <v>63.701020408163266</v>
      </c>
      <c r="AZ24" s="2">
        <v>43.359493670886074</v>
      </c>
      <c r="BA24" s="2">
        <v>43.149738219895291</v>
      </c>
      <c r="BB24" s="2">
        <v>41.341614906832298</v>
      </c>
      <c r="BC24" s="2">
        <v>46.137349397590363</v>
      </c>
      <c r="BD24" s="2">
        <v>34.326829268292684</v>
      </c>
      <c r="BE24" s="2">
        <v>42.476315789473681</v>
      </c>
      <c r="BF24" s="2">
        <v>41.955056179775283</v>
      </c>
      <c r="BG24" s="2">
        <v>44.592261904761905</v>
      </c>
      <c r="BH24" s="2">
        <v>37.666666666666664</v>
      </c>
      <c r="BI24" s="2">
        <v>40.593478260869567</v>
      </c>
      <c r="BJ24" s="2">
        <v>43.28125</v>
      </c>
      <c r="BK24" s="2">
        <v>40.179268292682927</v>
      </c>
      <c r="BL24" s="2">
        <v>29.376216216216218</v>
      </c>
      <c r="BM24" s="2">
        <v>29.024000000000001</v>
      </c>
      <c r="BN24" s="2">
        <v>33.054421768707485</v>
      </c>
      <c r="BO24" s="2">
        <v>45.880434782608695</v>
      </c>
      <c r="BP24" s="2">
        <v>99.108108108108112</v>
      </c>
      <c r="BQ24" s="2">
        <v>57.376470588235293</v>
      </c>
      <c r="BR24" s="2">
        <v>151.22307692307692</v>
      </c>
      <c r="BS24" s="2">
        <v>0</v>
      </c>
      <c r="BT24" s="2">
        <v>50.174683544303797</v>
      </c>
      <c r="BU24" s="2">
        <v>0</v>
      </c>
    </row>
    <row r="25" spans="1:73" x14ac:dyDescent="0.2">
      <c r="A25" s="2" t="s">
        <v>140</v>
      </c>
      <c r="B25" s="2">
        <v>193.15917373487088</v>
      </c>
      <c r="C25" s="2">
        <v>196.32875423728814</v>
      </c>
      <c r="D25" s="2">
        <v>229.07238738153967</v>
      </c>
      <c r="E25" s="2">
        <v>203.31608707786773</v>
      </c>
      <c r="F25" s="2">
        <v>152.95179862700229</v>
      </c>
      <c r="G25" s="2">
        <v>176.59321936855881</v>
      </c>
      <c r="H25" s="2">
        <v>151.11767487508922</v>
      </c>
      <c r="I25" s="2">
        <v>145.5825186379206</v>
      </c>
      <c r="J25" s="2">
        <v>147.05163755458514</v>
      </c>
      <c r="K25" s="2">
        <v>129.99339563862929</v>
      </c>
      <c r="L25" s="2">
        <v>77.2402444076222</v>
      </c>
      <c r="M25" s="2">
        <v>84.435070989616449</v>
      </c>
      <c r="N25" s="2">
        <v>64.977343402932036</v>
      </c>
      <c r="O25" s="2">
        <v>66.824083250743314</v>
      </c>
      <c r="P25" s="2">
        <v>48.172179794894177</v>
      </c>
      <c r="Q25" s="2">
        <v>55.900643309222424</v>
      </c>
      <c r="R25" s="2">
        <v>62.74371176054678</v>
      </c>
      <c r="S25" s="2">
        <v>77.646815834767636</v>
      </c>
      <c r="T25" s="2">
        <v>69.53756454673821</v>
      </c>
      <c r="U25" s="2">
        <v>64.688785504094895</v>
      </c>
      <c r="V25" s="2">
        <v>60.373297144858505</v>
      </c>
      <c r="W25" s="2">
        <v>71.571774494057181</v>
      </c>
      <c r="X25" s="2">
        <v>52.778993279569896</v>
      </c>
      <c r="Y25" s="2">
        <v>51.999874134675899</v>
      </c>
      <c r="Z25" s="2">
        <v>44.346809835045129</v>
      </c>
      <c r="AA25" s="2">
        <v>69.081223083548664</v>
      </c>
      <c r="AB25" s="2">
        <v>60.035498184751916</v>
      </c>
      <c r="AC25" s="2">
        <v>57.316081025217031</v>
      </c>
      <c r="AD25" s="2">
        <v>58.464641919760027</v>
      </c>
      <c r="AE25" s="2">
        <v>65.447842401500935</v>
      </c>
      <c r="AF25" s="2">
        <v>39.423984819734343</v>
      </c>
      <c r="AG25" s="2">
        <v>47.520249221183803</v>
      </c>
      <c r="AH25" s="2">
        <v>47.024210981409425</v>
      </c>
      <c r="AI25" s="2">
        <v>63.908605341246293</v>
      </c>
      <c r="AJ25" s="2">
        <v>58.200714650331804</v>
      </c>
      <c r="AK25" s="2">
        <v>65.658152173913038</v>
      </c>
      <c r="AL25" s="2">
        <v>62.2216677195199</v>
      </c>
      <c r="AM25" s="2">
        <v>66.242793791574286</v>
      </c>
      <c r="AN25" s="2">
        <v>57.932248520710061</v>
      </c>
      <c r="AO25" s="2">
        <v>79.439252336448604</v>
      </c>
      <c r="AP25" s="2">
        <v>112.73408360128617</v>
      </c>
      <c r="AQ25" s="2">
        <v>84.202320675105483</v>
      </c>
      <c r="AR25" s="2">
        <v>62.031958762886596</v>
      </c>
      <c r="AS25" s="2">
        <v>60.402871621621621</v>
      </c>
      <c r="AT25" s="2">
        <v>49.095324283559577</v>
      </c>
      <c r="AU25" s="2">
        <v>60.645530145530138</v>
      </c>
      <c r="AV25" s="2">
        <v>67.782677165354343</v>
      </c>
      <c r="AW25" s="2">
        <v>68.761146496815286</v>
      </c>
      <c r="AX25" s="2">
        <v>58.408366533864545</v>
      </c>
      <c r="AY25" s="2">
        <v>54.521397379912663</v>
      </c>
      <c r="AZ25" s="2">
        <v>49.168421052631579</v>
      </c>
      <c r="BA25" s="2">
        <v>60.157664233576639</v>
      </c>
      <c r="BB25" s="2">
        <v>35.404255319148938</v>
      </c>
      <c r="BC25" s="2">
        <v>41.398918918918916</v>
      </c>
      <c r="BD25" s="2">
        <v>32.730232558139534</v>
      </c>
      <c r="BE25" s="2">
        <v>63.05078125</v>
      </c>
      <c r="BF25" s="2">
        <v>35.393364928909953</v>
      </c>
      <c r="BG25" s="2">
        <v>53.89568345323741</v>
      </c>
      <c r="BH25" s="2">
        <v>38.246153846153845</v>
      </c>
      <c r="BI25" s="2">
        <v>35.06666666666667</v>
      </c>
      <c r="BJ25" s="2">
        <v>30.108695652173914</v>
      </c>
      <c r="BK25" s="2">
        <v>98.349253731343282</v>
      </c>
      <c r="BL25" s="2">
        <v>25.044239631336406</v>
      </c>
      <c r="BM25" s="2">
        <v>37.074452554744525</v>
      </c>
      <c r="BN25" s="2">
        <v>42.252173913043478</v>
      </c>
      <c r="BO25" s="2">
        <v>102.95121951219512</v>
      </c>
      <c r="BP25" s="2">
        <v>79.717391304347828</v>
      </c>
      <c r="BQ25" s="2">
        <v>125.85806451612903</v>
      </c>
      <c r="BR25" s="2">
        <v>59.572727272727271</v>
      </c>
      <c r="BS25" s="2">
        <v>0</v>
      </c>
      <c r="BT25" s="2">
        <v>34.770175438596489</v>
      </c>
      <c r="BU25" s="2">
        <v>0</v>
      </c>
    </row>
    <row r="26" spans="1:73" x14ac:dyDescent="0.2">
      <c r="A26" s="2" t="s">
        <v>139</v>
      </c>
      <c r="B26" s="2">
        <v>197.50723153381406</v>
      </c>
      <c r="C26" s="2">
        <v>202.45636828963796</v>
      </c>
      <c r="D26" s="2">
        <v>236.34403964639699</v>
      </c>
      <c r="E26" s="2">
        <v>207.42640660592258</v>
      </c>
      <c r="F26" s="2">
        <v>156.38730931211978</v>
      </c>
      <c r="G26" s="2">
        <v>179.53007650091467</v>
      </c>
      <c r="H26" s="2">
        <v>154.48074607807371</v>
      </c>
      <c r="I26" s="2">
        <v>150.80902525568774</v>
      </c>
      <c r="J26" s="2">
        <v>151.41558003597123</v>
      </c>
      <c r="K26" s="2">
        <v>133.37272533560622</v>
      </c>
      <c r="L26" s="2">
        <v>78.9574211306373</v>
      </c>
      <c r="M26" s="2">
        <v>86.67589732434196</v>
      </c>
      <c r="N26" s="2">
        <v>66.787214611872145</v>
      </c>
      <c r="O26" s="2">
        <v>68.574116450546654</v>
      </c>
      <c r="P26" s="2">
        <v>49.48959874467608</v>
      </c>
      <c r="Q26" s="2">
        <v>57.405860259981431</v>
      </c>
      <c r="R26" s="2">
        <v>64.026351370851373</v>
      </c>
      <c r="S26" s="2">
        <v>79.963604135893647</v>
      </c>
      <c r="T26" s="2">
        <v>71.309735320011583</v>
      </c>
      <c r="U26" s="2">
        <v>66.860183733216573</v>
      </c>
      <c r="V26" s="2">
        <v>62.582717836189367</v>
      </c>
      <c r="W26" s="2">
        <v>74.292408802934318</v>
      </c>
      <c r="X26" s="2">
        <v>54.437482902033274</v>
      </c>
      <c r="Y26" s="2">
        <v>53.776635209892611</v>
      </c>
      <c r="Z26" s="2">
        <v>46.488189233278959</v>
      </c>
      <c r="AA26" s="2">
        <v>72.451038843721776</v>
      </c>
      <c r="AB26" s="2">
        <v>62.454049517415022</v>
      </c>
      <c r="AC26" s="2">
        <v>60.098656263545728</v>
      </c>
      <c r="AD26" s="2">
        <v>61.339575137686857</v>
      </c>
      <c r="AE26" s="2">
        <v>68.634923757993107</v>
      </c>
      <c r="AF26" s="2">
        <v>41.076393831553972</v>
      </c>
      <c r="AG26" s="2">
        <v>50.201222378937473</v>
      </c>
      <c r="AH26" s="2">
        <v>51.208568738229758</v>
      </c>
      <c r="AI26" s="2">
        <v>73.505802047781572</v>
      </c>
      <c r="AJ26" s="2">
        <v>66.057473928157592</v>
      </c>
      <c r="AK26" s="2">
        <v>77.608779443254818</v>
      </c>
      <c r="AL26" s="2">
        <v>74.225244913338358</v>
      </c>
      <c r="AM26" s="2">
        <v>87.185311284046691</v>
      </c>
      <c r="AN26" s="2">
        <v>67.579292493528911</v>
      </c>
      <c r="AO26" s="2">
        <v>104.65116279069767</v>
      </c>
      <c r="AP26" s="2">
        <v>151.1219827586207</v>
      </c>
      <c r="AQ26" s="2">
        <v>119.49670658682635</v>
      </c>
      <c r="AR26" s="2">
        <v>75.845798319327727</v>
      </c>
      <c r="AS26" s="2">
        <v>80.537162162162161</v>
      </c>
      <c r="AT26" s="2">
        <v>66.975720164609058</v>
      </c>
      <c r="AU26" s="2">
        <v>91.44357366771159</v>
      </c>
      <c r="AV26" s="2">
        <v>134.50625000000002</v>
      </c>
      <c r="AW26" s="2">
        <v>98.589041095890408</v>
      </c>
      <c r="AX26" s="2">
        <v>82.362359550561791</v>
      </c>
      <c r="AY26" s="2">
        <v>70.538983050847463</v>
      </c>
      <c r="AZ26" s="2">
        <v>67.606578947368419</v>
      </c>
      <c r="BA26" s="2">
        <v>114.46666666666667</v>
      </c>
      <c r="BB26" s="2">
        <v>46.222222222222221</v>
      </c>
      <c r="BC26" s="2">
        <v>64.905084745762707</v>
      </c>
      <c r="BD26" s="2">
        <v>49.556338028169016</v>
      </c>
      <c r="BE26" s="2">
        <v>128.10317460317461</v>
      </c>
      <c r="BF26" s="2">
        <v>48.180645161290322</v>
      </c>
      <c r="BG26" s="2">
        <v>81.429347826086953</v>
      </c>
      <c r="BH26" s="2">
        <v>47.202531645569621</v>
      </c>
      <c r="BI26" s="2">
        <v>39.519576719576719</v>
      </c>
      <c r="BJ26" s="2">
        <v>32.834051724137929</v>
      </c>
      <c r="BK26" s="2">
        <v>188.26857142857142</v>
      </c>
      <c r="BL26" s="2">
        <v>29.062032085561498</v>
      </c>
      <c r="BM26" s="2">
        <v>44.166956521739131</v>
      </c>
      <c r="BN26" s="2">
        <v>50.092783505154642</v>
      </c>
      <c r="BO26" s="2">
        <v>131.90625</v>
      </c>
      <c r="BP26" s="2">
        <v>146.68</v>
      </c>
      <c r="BQ26" s="2">
        <v>205.34736842105264</v>
      </c>
      <c r="BR26" s="2">
        <v>74.184905660377353</v>
      </c>
      <c r="BS26" s="2">
        <v>0</v>
      </c>
      <c r="BT26" s="2">
        <v>41.289583333333333</v>
      </c>
      <c r="BU26" s="2">
        <v>0</v>
      </c>
    </row>
    <row r="27" spans="1:73" x14ac:dyDescent="0.2">
      <c r="A27" s="3" t="s">
        <v>138</v>
      </c>
      <c r="B27" s="3">
        <v>4.6983654194935566E-3</v>
      </c>
      <c r="C27" s="3">
        <v>4.6815104245847118E-3</v>
      </c>
      <c r="D27" s="3">
        <v>4.9650655933078519E-3</v>
      </c>
      <c r="E27" s="3">
        <v>2.9498691540647401E-3</v>
      </c>
      <c r="F27" s="3">
        <v>5.2551414017249819E-3</v>
      </c>
      <c r="G27" s="3">
        <v>5.3832635675874711E-3</v>
      </c>
      <c r="H27" s="3">
        <v>5.4828186734609324E-3</v>
      </c>
      <c r="I27" s="3">
        <v>-2.8301073430282092E-3</v>
      </c>
      <c r="J27" s="3">
        <v>3.4811038102576853E-3</v>
      </c>
      <c r="K27" s="3">
        <v>2.3581497298717237E-3</v>
      </c>
      <c r="L27" s="3">
        <v>1.0142265126984096E-2</v>
      </c>
      <c r="M27" s="3">
        <v>8.8990527344986609E-3</v>
      </c>
      <c r="N27" s="3">
        <v>1.314725988593874E-2</v>
      </c>
      <c r="O27" s="3">
        <v>1.552658320545364E-2</v>
      </c>
      <c r="P27" s="3">
        <v>1.7385129529307583E-2</v>
      </c>
      <c r="Q27" s="3">
        <v>1.4114744312416945E-2</v>
      </c>
      <c r="R27" s="3">
        <v>1.0985721704802977E-2</v>
      </c>
      <c r="S27" s="3">
        <v>1.0240655401945723E-2</v>
      </c>
      <c r="T27" s="3">
        <v>9.1187284830919341E-3</v>
      </c>
      <c r="U27" s="3">
        <v>9.3935742093041261E-3</v>
      </c>
      <c r="V27" s="3">
        <v>8.0898478108575242E-3</v>
      </c>
      <c r="W27" s="3">
        <v>7.2365233065886901E-3</v>
      </c>
      <c r="X27" s="3">
        <v>9.2825598203928432E-3</v>
      </c>
      <c r="Y27" s="3">
        <v>5.3150561325550289E-3</v>
      </c>
      <c r="Z27" s="3">
        <v>5.352611608607151E-3</v>
      </c>
      <c r="AA27" s="3">
        <v>3.1695173113272788E-3</v>
      </c>
      <c r="AB27" s="3">
        <v>6.9950860965437506E-3</v>
      </c>
      <c r="AC27" s="3">
        <v>6.7108046771023593E-3</v>
      </c>
      <c r="AD27" s="3">
        <v>5.585860578213365E-3</v>
      </c>
      <c r="AE27" s="3">
        <v>4.4024122602040628E-3</v>
      </c>
      <c r="AF27" s="3">
        <v>1.2295823169521354E-2</v>
      </c>
      <c r="AG27" s="3">
        <v>1.2817490086807418E-2</v>
      </c>
      <c r="AH27" s="3">
        <v>3.7420991183219933E-2</v>
      </c>
      <c r="AI27" s="3">
        <v>6.4114438612740562E-2</v>
      </c>
      <c r="AJ27" s="3">
        <v>4.9409684298122435E-3</v>
      </c>
      <c r="AK27" s="3">
        <v>4.7905074252865085E-3</v>
      </c>
      <c r="AL27" s="3">
        <v>4.9336259123003148E-3</v>
      </c>
      <c r="AM27" s="3">
        <v>3.0024937029290016E-3</v>
      </c>
      <c r="AN27" s="3">
        <v>-9.3243669905605543E-3</v>
      </c>
      <c r="AO27" s="3">
        <v>-4.6026009328761618E-3</v>
      </c>
      <c r="AP27" s="3">
        <v>-2.0751098793426837E-2</v>
      </c>
      <c r="AQ27" s="3">
        <v>9.883884025598472E-3</v>
      </c>
      <c r="AR27" s="3">
        <v>1.262670857909794E-2</v>
      </c>
      <c r="AS27" s="3">
        <v>7.2394914257273421E-3</v>
      </c>
      <c r="AT27" s="3">
        <v>1.1405759908753921E-2</v>
      </c>
      <c r="AU27" s="3">
        <v>1.3376779283141828E-2</v>
      </c>
      <c r="AV27" s="3">
        <v>6.1587029315425951E-3</v>
      </c>
      <c r="AW27" s="3">
        <v>-9.452449567723344E-3</v>
      </c>
      <c r="AX27" s="3">
        <v>9.9131034915456301E-3</v>
      </c>
      <c r="AY27" s="3">
        <v>9.8562749165158805E-3</v>
      </c>
      <c r="AZ27" s="3">
        <v>1.5276396191558902E-2</v>
      </c>
      <c r="BA27" s="3">
        <v>1.5601652456710909E-2</v>
      </c>
      <c r="BB27" s="3">
        <v>1.4354674796747968E-2</v>
      </c>
      <c r="BC27" s="3">
        <v>1.4193577689966843E-2</v>
      </c>
      <c r="BD27" s="3">
        <v>1.9586104951958613E-2</v>
      </c>
      <c r="BE27" s="3">
        <v>1.6038935899563077E-2</v>
      </c>
      <c r="BF27" s="3">
        <v>1.5918270373010215E-2</v>
      </c>
      <c r="BG27" s="3">
        <v>1.5050267894768527E-2</v>
      </c>
      <c r="BH27" s="3">
        <v>1.8596787827557061E-2</v>
      </c>
      <c r="BI27" s="3">
        <v>1.7631501616220985E-2</v>
      </c>
      <c r="BJ27" s="3">
        <v>1.6448370392933294E-2</v>
      </c>
      <c r="BK27" s="3">
        <v>1.7133642410804274E-2</v>
      </c>
      <c r="BL27" s="3">
        <v>2.8474199597194248E-2</v>
      </c>
      <c r="BM27" s="3">
        <v>2.3607539058001611E-2</v>
      </c>
      <c r="BN27" s="3">
        <v>1.8446402951424471E-2</v>
      </c>
      <c r="BO27" s="3">
        <v>9.2009685230024212E-3</v>
      </c>
      <c r="BP27" s="3">
        <v>-5.9322033898305086E-3</v>
      </c>
      <c r="BQ27" s="3">
        <v>5.7960934330261401E-4</v>
      </c>
      <c r="BR27" s="3">
        <v>-8.9419637706242058E-3</v>
      </c>
      <c r="BS27" s="3">
        <v>1.7307026652821043E-3</v>
      </c>
      <c r="BT27" s="3">
        <v>5.192107995846313E-3</v>
      </c>
      <c r="BU27" s="3">
        <v>1.2691819545402099E-2</v>
      </c>
    </row>
    <row r="28" spans="1:73" x14ac:dyDescent="0.2">
      <c r="A28" s="3" t="s">
        <v>137</v>
      </c>
      <c r="B28" s="3">
        <v>5.1787997781786122E-3</v>
      </c>
      <c r="C28" s="3">
        <v>5.1025851817830372E-3</v>
      </c>
      <c r="D28" s="3">
        <v>4.3518642544771568E-3</v>
      </c>
      <c r="E28" s="3">
        <v>5.0048021589736069E-3</v>
      </c>
      <c r="F28" s="3">
        <v>6.7856417978769097E-3</v>
      </c>
      <c r="G28" s="3">
        <v>5.882166787552873E-3</v>
      </c>
      <c r="H28" s="3">
        <v>6.9511591045126808E-3</v>
      </c>
      <c r="I28" s="3">
        <v>7.2314902829056808E-3</v>
      </c>
      <c r="J28" s="3">
        <v>7.3003063404178149E-3</v>
      </c>
      <c r="K28" s="3">
        <v>8.3522993828588684E-3</v>
      </c>
      <c r="L28" s="3">
        <v>1.3593052836193496E-2</v>
      </c>
      <c r="M28" s="3">
        <v>1.2385390681347365E-2</v>
      </c>
      <c r="N28" s="3">
        <v>1.6542659666880687E-2</v>
      </c>
      <c r="O28" s="3">
        <v>1.6180723833346362E-2</v>
      </c>
      <c r="P28" s="3">
        <v>2.3088735585067317E-2</v>
      </c>
      <c r="Q28" s="3">
        <v>1.9780845314864084E-2</v>
      </c>
      <c r="R28" s="3">
        <v>1.7636537007170185E-2</v>
      </c>
      <c r="S28" s="3">
        <v>1.4022903938343963E-2</v>
      </c>
      <c r="T28" s="3">
        <v>1.5830552766272727E-2</v>
      </c>
      <c r="U28" s="3">
        <v>1.7154789574134296E-2</v>
      </c>
      <c r="V28" s="3">
        <v>1.8655958481435E-2</v>
      </c>
      <c r="W28" s="3">
        <v>1.5749153408170888E-2</v>
      </c>
      <c r="X28" s="3">
        <v>2.27576957530175E-2</v>
      </c>
      <c r="Y28" s="3">
        <v>2.3740069033926749E-2</v>
      </c>
      <c r="Z28" s="3">
        <v>2.913988380174231E-2</v>
      </c>
      <c r="AA28" s="3">
        <v>1.822678266825609E-2</v>
      </c>
      <c r="AB28" s="3">
        <v>1.9680389808811993E-2</v>
      </c>
      <c r="AC28" s="3">
        <v>2.1652904042063135E-2</v>
      </c>
      <c r="AD28" s="3">
        <v>2.0548853241415883E-2</v>
      </c>
      <c r="AE28" s="3">
        <v>1.9002344214426453E-2</v>
      </c>
      <c r="AF28" s="3">
        <v>2.7888911924412115E-2</v>
      </c>
      <c r="AG28" s="3">
        <v>2.2794984460400815E-2</v>
      </c>
      <c r="AH28" s="3">
        <v>2.1377672209026127E-2</v>
      </c>
      <c r="AI28" s="3">
        <v>1.5076669754039313E-2</v>
      </c>
      <c r="AJ28" s="3">
        <v>1.6030284792962278E-2</v>
      </c>
      <c r="AK28" s="3">
        <v>1.3953224330200414E-2</v>
      </c>
      <c r="AL28" s="3">
        <v>1.4879367240051174E-2</v>
      </c>
      <c r="AM28" s="3">
        <v>1.2914491743142317E-2</v>
      </c>
      <c r="AN28" s="3">
        <v>1.7099590731107089E-2</v>
      </c>
      <c r="AO28" s="3">
        <v>1.1290272758162665E-2</v>
      </c>
      <c r="AP28" s="3">
        <v>8.1184737269393362E-3</v>
      </c>
      <c r="AQ28" s="3">
        <v>8.7565444683020948E-3</v>
      </c>
      <c r="AR28" s="3">
        <v>1.401005427424387E-2</v>
      </c>
      <c r="AS28" s="3">
        <v>1.3393059137595583E-2</v>
      </c>
      <c r="AT28" s="3">
        <v>1.6113951498995364E-2</v>
      </c>
      <c r="AU28" s="3">
        <v>1.2157243849920922E-2</v>
      </c>
      <c r="AV28" s="3">
        <v>8.7590441693050237E-3</v>
      </c>
      <c r="AW28" s="3">
        <v>1.2622478386167146E-2</v>
      </c>
      <c r="AX28" s="3">
        <v>1.1167926718323557E-2</v>
      </c>
      <c r="AY28" s="3">
        <v>1.3019109404651574E-2</v>
      </c>
      <c r="AZ28" s="3">
        <v>1.3500071053005542E-2</v>
      </c>
      <c r="BA28" s="3">
        <v>7.9106970203041225E-3</v>
      </c>
      <c r="BB28" s="3">
        <v>1.8292682926829267E-2</v>
      </c>
      <c r="BC28" s="3">
        <v>1.3398737339328701E-2</v>
      </c>
      <c r="BD28" s="3">
        <v>1.74919931017492E-2</v>
      </c>
      <c r="BE28" s="3">
        <v>6.9686411149825784E-3</v>
      </c>
      <c r="BF28" s="3">
        <v>1.8412924685198385E-2</v>
      </c>
      <c r="BG28" s="3">
        <v>1.1076997170549635E-2</v>
      </c>
      <c r="BH28" s="3">
        <v>1.9079821277623477E-2</v>
      </c>
      <c r="BI28" s="3">
        <v>2.3141345871290037E-2</v>
      </c>
      <c r="BJ28" s="3">
        <v>2.8266829119707584E-2</v>
      </c>
      <c r="BK28" s="3">
        <v>5.0393065914130213E-3</v>
      </c>
      <c r="BL28" s="3">
        <v>3.2467532467532464E-2</v>
      </c>
      <c r="BM28" s="3">
        <v>2.2072089363172238E-2</v>
      </c>
      <c r="BN28" s="3">
        <v>1.9881123180979707E-2</v>
      </c>
      <c r="BO28" s="3">
        <v>7.7481840193704601E-3</v>
      </c>
      <c r="BP28" s="3">
        <v>7.0621468926553672E-3</v>
      </c>
      <c r="BQ28" s="3">
        <v>5.5062887613748336E-3</v>
      </c>
      <c r="BR28" s="3">
        <v>1.5287873543325257E-2</v>
      </c>
      <c r="BS28" s="3">
        <v>-4.6152071074189458E-3</v>
      </c>
      <c r="BT28" s="3">
        <v>2.7691242644513673E-2</v>
      </c>
      <c r="BU28" s="3">
        <v>1.1826468212761048E-2</v>
      </c>
    </row>
    <row r="29" spans="1:73" x14ac:dyDescent="0.2">
      <c r="A29" s="2" t="s">
        <v>136</v>
      </c>
      <c r="B29" s="2">
        <v>0.74017858161042749</v>
      </c>
      <c r="C29" s="2">
        <v>0.82703575721153844</v>
      </c>
      <c r="D29" s="2">
        <v>0.80125965654676967</v>
      </c>
      <c r="E29" s="2">
        <v>0.87652332928476873</v>
      </c>
      <c r="F29" s="2">
        <v>0.96688989164487105</v>
      </c>
      <c r="G29" s="2">
        <v>0.95400421269827618</v>
      </c>
      <c r="H29" s="2">
        <v>0.99834510476077898</v>
      </c>
      <c r="I29" s="2">
        <v>1.0656197163790346</v>
      </c>
      <c r="J29" s="2">
        <v>1.0579608639098927</v>
      </c>
      <c r="K29" s="2">
        <v>1.0799186159012009</v>
      </c>
      <c r="L29" s="2">
        <v>1.6528264132066033</v>
      </c>
      <c r="M29" s="2">
        <v>1.7818288871778614</v>
      </c>
      <c r="N29" s="2">
        <v>1.7862952696869179</v>
      </c>
      <c r="O29" s="2">
        <v>1.6851994851994851</v>
      </c>
      <c r="P29" s="2">
        <v>1.7604473997093664</v>
      </c>
      <c r="Q29" s="2">
        <v>1.8894417069320193</v>
      </c>
      <c r="R29" s="2">
        <v>1.8802286803239638</v>
      </c>
      <c r="S29" s="2">
        <v>1.7180568844046273</v>
      </c>
      <c r="T29" s="2">
        <v>1.611629116811397</v>
      </c>
      <c r="U29" s="2">
        <v>1.6603192842779169</v>
      </c>
      <c r="V29" s="2">
        <v>1.6873070182758909</v>
      </c>
      <c r="W29" s="2">
        <v>1.7472394683111796</v>
      </c>
      <c r="X29" s="2">
        <v>1.744236642818292</v>
      </c>
      <c r="Y29" s="2">
        <v>1.8939580241679033</v>
      </c>
      <c r="Z29" s="2">
        <v>1.940383813099708</v>
      </c>
      <c r="AA29" s="2">
        <v>1.8601819970486966</v>
      </c>
      <c r="AB29" s="2">
        <v>1.3134961954345215</v>
      </c>
      <c r="AC29" s="2">
        <v>1.746965539692136</v>
      </c>
      <c r="AD29" s="2">
        <v>1.6934872812556376</v>
      </c>
      <c r="AE29" s="2">
        <v>1.6207802273510161</v>
      </c>
      <c r="AF29" s="2">
        <v>0.65622538170086653</v>
      </c>
      <c r="AG29" s="2">
        <v>0.64126475302345909</v>
      </c>
      <c r="AH29" s="2">
        <v>0.54878847413228549</v>
      </c>
      <c r="AI29" s="2">
        <v>0.67920157522875568</v>
      </c>
      <c r="AJ29" s="2">
        <v>0.8650727138279517</v>
      </c>
      <c r="AK29" s="2">
        <v>0.68538531461468544</v>
      </c>
      <c r="AL29" s="2">
        <v>0.69842985842985839</v>
      </c>
      <c r="AM29" s="2">
        <v>0.71255188357064048</v>
      </c>
      <c r="AN29" s="2">
        <v>0.7221045945373703</v>
      </c>
      <c r="AO29" s="2">
        <v>0.7043085297591537</v>
      </c>
      <c r="AP29" s="2">
        <v>0.7617500761344026</v>
      </c>
      <c r="AQ29" s="2">
        <v>0.76899043155633662</v>
      </c>
      <c r="AR29" s="2">
        <v>0.83771743742044968</v>
      </c>
      <c r="AS29" s="2">
        <v>0.9252511095538426</v>
      </c>
      <c r="AT29" s="2">
        <v>1.2061068702290076</v>
      </c>
      <c r="AU29" s="2">
        <v>1.5159867695700111</v>
      </c>
      <c r="AV29" s="2">
        <v>1.6987357385137218</v>
      </c>
      <c r="AW29" s="2">
        <v>1.7811491284699805</v>
      </c>
      <c r="AX29" s="2">
        <v>0</v>
      </c>
      <c r="AY29" s="2">
        <v>6.6844919786096253E-4</v>
      </c>
      <c r="AZ29" s="2">
        <v>6.93000693000693E-4</v>
      </c>
      <c r="BA29" s="2">
        <v>1.1005135730007337E-3</v>
      </c>
      <c r="BB29" s="2">
        <v>1.1489850631941786E-3</v>
      </c>
      <c r="BC29" s="2">
        <v>1.1914217633042098E-3</v>
      </c>
      <c r="BD29" s="2">
        <v>1.2401818933443572E-3</v>
      </c>
      <c r="BE29" s="2">
        <v>1.3106159895150721E-3</v>
      </c>
      <c r="BF29" s="2">
        <v>1.8458698661744347E-3</v>
      </c>
      <c r="BG29" s="2">
        <v>2.4509803921568627E-3</v>
      </c>
      <c r="BH29" s="2">
        <v>2.9910269192422734E-3</v>
      </c>
      <c r="BI29" s="2">
        <v>3.2085561497326204E-3</v>
      </c>
      <c r="BJ29" s="2">
        <v>3.3500837520938024E-3</v>
      </c>
      <c r="BK29" s="2">
        <v>4.2579075425790754E-3</v>
      </c>
      <c r="BL29" s="2">
        <v>0.15681063122923589</v>
      </c>
      <c r="BM29" s="2">
        <v>0.17704426106526633</v>
      </c>
      <c r="BN29" s="2">
        <v>0.19666666666666666</v>
      </c>
      <c r="BO29" s="2">
        <v>0.21619135234590617</v>
      </c>
      <c r="BP29" s="2">
        <v>0.57596153846153841</v>
      </c>
      <c r="BQ29" s="2">
        <v>0.93007915567282318</v>
      </c>
      <c r="BR29" s="2">
        <v>0.93139841688654357</v>
      </c>
      <c r="BS29" s="2">
        <v>0</v>
      </c>
      <c r="BT29" s="2">
        <v>0.91025641025641024</v>
      </c>
      <c r="BU29" s="2">
        <v>0</v>
      </c>
    </row>
    <row r="30" spans="1:73" x14ac:dyDescent="0.2">
      <c r="A30" s="3" t="s">
        <v>135</v>
      </c>
      <c r="B30" s="3">
        <v>0.36228915259156724</v>
      </c>
      <c r="C30" s="3">
        <v>0.38879242862103669</v>
      </c>
      <c r="D30" s="3">
        <v>0.38070745563790243</v>
      </c>
      <c r="E30" s="3">
        <v>0.3878071017564198</v>
      </c>
      <c r="F30" s="3">
        <v>0.40868614468808845</v>
      </c>
      <c r="G30" s="3">
        <v>0.40263549389808778</v>
      </c>
      <c r="H30" s="3">
        <v>0.40789640496241963</v>
      </c>
      <c r="I30" s="3">
        <v>0.41650691211316576</v>
      </c>
      <c r="J30" s="3">
        <v>0.42243923041361559</v>
      </c>
      <c r="K30" s="3">
        <v>0.42672176308539944</v>
      </c>
      <c r="L30" s="3">
        <v>0.54415942685387242</v>
      </c>
      <c r="M30" s="3">
        <v>0.54949367972623786</v>
      </c>
      <c r="N30" s="3">
        <v>0.54852303012544124</v>
      </c>
      <c r="O30" s="3">
        <v>0.53828655996491992</v>
      </c>
      <c r="P30" s="3">
        <v>0.54578219497877101</v>
      </c>
      <c r="Q30" s="3">
        <v>0.55372514931441552</v>
      </c>
      <c r="R30" s="3">
        <v>0.55028653494889779</v>
      </c>
      <c r="S30" s="3">
        <v>0.53950890418442043</v>
      </c>
      <c r="T30" s="3">
        <v>0.5329231176392748</v>
      </c>
      <c r="U30" s="3">
        <v>0.53317079599367423</v>
      </c>
      <c r="V30" s="3">
        <v>0.53543244531539647</v>
      </c>
      <c r="W30" s="3">
        <v>0.54476952658109445</v>
      </c>
      <c r="X30" s="3">
        <v>0.54902348122687106</v>
      </c>
      <c r="Y30" s="3">
        <v>0.56330550581351357</v>
      </c>
      <c r="Z30" s="3">
        <v>0.57035120419875407</v>
      </c>
      <c r="AA30" s="3">
        <v>0.56021776164728543</v>
      </c>
      <c r="AB30" s="3">
        <v>0.48594669076793151</v>
      </c>
      <c r="AC30" s="3">
        <v>0.53843507675548608</v>
      </c>
      <c r="AD30" s="3">
        <v>0.529471487393536</v>
      </c>
      <c r="AE30" s="3">
        <v>0.52199417556510885</v>
      </c>
      <c r="AF30" s="3">
        <v>0.34899449365573376</v>
      </c>
      <c r="AG30" s="3">
        <v>0.34947986976891926</v>
      </c>
      <c r="AH30" s="3">
        <v>0.32033639143730885</v>
      </c>
      <c r="AI30" s="3">
        <v>0.32252860076268702</v>
      </c>
      <c r="AJ30" s="3">
        <v>0.32246683082803484</v>
      </c>
      <c r="AK30" s="3">
        <v>0.27175523607384566</v>
      </c>
      <c r="AL30" s="3">
        <v>0.2721619290256575</v>
      </c>
      <c r="AM30" s="3">
        <v>0.27333373642098474</v>
      </c>
      <c r="AN30" s="3">
        <v>0.27302565744706403</v>
      </c>
      <c r="AO30" s="3">
        <v>0.2756673098568902</v>
      </c>
      <c r="AP30" s="3">
        <v>0.29194467679498903</v>
      </c>
      <c r="AQ30" s="3">
        <v>0.36540781293495406</v>
      </c>
      <c r="AR30" s="3">
        <v>0.37282854984894259</v>
      </c>
      <c r="AS30" s="3">
        <v>0.39657589106928315</v>
      </c>
      <c r="AT30" s="3">
        <v>0.46505886821116599</v>
      </c>
      <c r="AU30" s="3">
        <v>0.51416284939702717</v>
      </c>
      <c r="AV30" s="3">
        <v>0.52511676675245444</v>
      </c>
      <c r="AW30" s="3">
        <v>0.53562415065035918</v>
      </c>
      <c r="AX30" s="3">
        <v>0</v>
      </c>
      <c r="AY30" s="3">
        <v>5.76036866359447E-4</v>
      </c>
      <c r="AZ30" s="3">
        <v>5.856515373352855E-4</v>
      </c>
      <c r="BA30" s="3">
        <v>9.3779306033135354E-4</v>
      </c>
      <c r="BB30" s="3">
        <v>9.871668311944718E-4</v>
      </c>
      <c r="BC30" s="3">
        <v>1.037344398340249E-3</v>
      </c>
      <c r="BD30" s="3">
        <v>1.0482180293501049E-3</v>
      </c>
      <c r="BE30" s="3">
        <v>1.1049723756906078E-3</v>
      </c>
      <c r="BF30" s="3">
        <v>1.5319800842589046E-3</v>
      </c>
      <c r="BG30" s="3">
        <v>2.0458265139116204E-3</v>
      </c>
      <c r="BH30" s="3">
        <v>2.4529844644317253E-3</v>
      </c>
      <c r="BI30" s="3">
        <v>2.6396832380114386E-3</v>
      </c>
      <c r="BJ30" s="3">
        <v>2.7560863573725309E-3</v>
      </c>
      <c r="BK30" s="3">
        <v>3.5514967021816335E-3</v>
      </c>
      <c r="BL30" s="3">
        <v>0.10941121928604543</v>
      </c>
      <c r="BM30" s="3">
        <v>0.12291666666666666</v>
      </c>
      <c r="BN30" s="3">
        <v>0.13243546576879911</v>
      </c>
      <c r="BO30" s="3">
        <v>0.14399509803921567</v>
      </c>
      <c r="BP30" s="3">
        <v>0.30406091370558375</v>
      </c>
      <c r="BQ30" s="3">
        <v>0.39718309859154932</v>
      </c>
      <c r="BR30" s="3">
        <v>0.39113573407202218</v>
      </c>
      <c r="BS30" s="3">
        <v>0</v>
      </c>
      <c r="BT30" s="3">
        <v>0.37947621592731162</v>
      </c>
      <c r="BU30" s="3">
        <v>0</v>
      </c>
    </row>
    <row r="31" spans="1:73" x14ac:dyDescent="0.2">
      <c r="A31" s="3" t="s">
        <v>134</v>
      </c>
      <c r="B31" s="3">
        <v>3.4739143777811878</v>
      </c>
      <c r="C31" s="3">
        <v>4.7889052981354991</v>
      </c>
      <c r="D31" s="3">
        <v>4.9638041163946065</v>
      </c>
      <c r="E31" s="3">
        <v>6.6655455904334824</v>
      </c>
      <c r="F31" s="3">
        <v>5.6709829311359625</v>
      </c>
      <c r="G31" s="3">
        <v>9.1488817891373806</v>
      </c>
      <c r="H31" s="3">
        <v>7.9860082304526747</v>
      </c>
      <c r="I31" s="3">
        <v>9.384892086330936</v>
      </c>
      <c r="J31" s="3">
        <v>11.502508061626656</v>
      </c>
      <c r="K31" s="3">
        <v>13.881855625406461</v>
      </c>
      <c r="L31" s="3">
        <v>4.7999622926093517</v>
      </c>
      <c r="M31" s="3">
        <v>5.5549674267100979</v>
      </c>
      <c r="N31" s="3">
        <v>5.4857707509881424</v>
      </c>
      <c r="O31" s="3">
        <v>5.046419098143236</v>
      </c>
      <c r="P31" s="3">
        <v>5.2579168256390689</v>
      </c>
      <c r="Q31" s="3">
        <v>5.9512096774193548</v>
      </c>
      <c r="R31" s="3">
        <v>6.6625109361329837</v>
      </c>
      <c r="S31" s="3">
        <v>6.6847751654873315</v>
      </c>
      <c r="T31" s="3">
        <v>6.8494152046783627</v>
      </c>
      <c r="U31" s="3">
        <v>8.0548847420417129</v>
      </c>
      <c r="V31" s="3">
        <v>8.9467592592592595</v>
      </c>
      <c r="W31" s="3">
        <v>9.2859191281904216</v>
      </c>
      <c r="X31" s="3">
        <v>10.371689497716895</v>
      </c>
      <c r="Y31" s="3">
        <v>12.900576368876081</v>
      </c>
      <c r="Z31" s="3">
        <v>14.205635948210206</v>
      </c>
      <c r="AA31" s="3">
        <v>15.970877768662838</v>
      </c>
      <c r="AB31" s="3">
        <v>10.837109375000001</v>
      </c>
      <c r="AC31" s="3">
        <v>13.626061120543294</v>
      </c>
      <c r="AD31" s="3">
        <v>12.991935483870968</v>
      </c>
      <c r="AE31" s="3">
        <v>15.633045148895294</v>
      </c>
      <c r="AF31" s="3">
        <v>5.2013396375098502</v>
      </c>
      <c r="AG31" s="3">
        <v>5.7481860862142549</v>
      </c>
      <c r="AH31" s="3">
        <v>4.2564450474898239</v>
      </c>
      <c r="AI31" s="3">
        <v>4.8640148011100832</v>
      </c>
      <c r="AJ31" s="3">
        <v>3.1991931417044883</v>
      </c>
      <c r="AK31" s="3">
        <v>4.448423303046499</v>
      </c>
      <c r="AL31" s="3">
        <v>5.5766467065868266</v>
      </c>
      <c r="AM31" s="3">
        <v>6.7198391420911525</v>
      </c>
      <c r="AN31" s="3">
        <v>10.129682997118156</v>
      </c>
      <c r="AO31" s="3">
        <v>15.127413127413128</v>
      </c>
      <c r="AP31" s="3">
        <v>-648.35</v>
      </c>
      <c r="AQ31" s="3">
        <v>2.4501385041551247</v>
      </c>
      <c r="AR31" s="3">
        <v>2.740979381443299</v>
      </c>
      <c r="AS31" s="3">
        <v>4.6060070671378091</v>
      </c>
      <c r="AT31" s="3">
        <v>3.6939721792890263</v>
      </c>
      <c r="AU31" s="3">
        <v>4.6450079239302697</v>
      </c>
      <c r="AV31" s="3">
        <v>6.8871252204585538</v>
      </c>
      <c r="AW31" s="3">
        <v>45.602150537634408</v>
      </c>
      <c r="AX31" s="3">
        <v>-5.7828054298642533</v>
      </c>
      <c r="AY31" s="3">
        <v>-5.6632653061224492</v>
      </c>
      <c r="AZ31" s="3">
        <v>-4.147679324894515</v>
      </c>
      <c r="BA31" s="3">
        <v>-4.5026178010471201</v>
      </c>
      <c r="BB31" s="3">
        <v>-7.5527950310559007</v>
      </c>
      <c r="BC31" s="3">
        <v>-6.9156626506024095</v>
      </c>
      <c r="BD31" s="3">
        <v>-5.2731707317073173</v>
      </c>
      <c r="BE31" s="3">
        <v>-5.1052631578947372</v>
      </c>
      <c r="BF31" s="3">
        <v>-5.3370786516853936</v>
      </c>
      <c r="BG31" s="3">
        <v>-4.8452380952380949</v>
      </c>
      <c r="BH31" s="3">
        <v>-4.1565656565656566</v>
      </c>
      <c r="BI31" s="3">
        <v>-3.7934782608695654</v>
      </c>
      <c r="BJ31" s="3">
        <v>-3.3522727272727271</v>
      </c>
      <c r="BK31" s="3">
        <v>-2.1707317073170733</v>
      </c>
      <c r="BL31" s="3">
        <v>-1.7567567567567568</v>
      </c>
      <c r="BM31" s="3">
        <v>-0.74857142857142855</v>
      </c>
      <c r="BN31" s="3">
        <v>-0.1360544217687075</v>
      </c>
      <c r="BO31" s="3">
        <v>0.98913043478260865</v>
      </c>
      <c r="BP31" s="3">
        <v>3.4324324324324325</v>
      </c>
      <c r="BQ31" s="3">
        <v>6.632352941176471</v>
      </c>
      <c r="BR31" s="3">
        <v>17.884615384615383</v>
      </c>
      <c r="BS31" s="3">
        <v>0</v>
      </c>
      <c r="BT31" s="3">
        <v>6.2911392405063289</v>
      </c>
      <c r="BU31" s="3">
        <v>0</v>
      </c>
    </row>
    <row r="32" spans="1:73" x14ac:dyDescent="0.2">
      <c r="A32" s="2" t="s">
        <v>133</v>
      </c>
      <c r="B32" s="2">
        <v>2.2379917294030327</v>
      </c>
      <c r="C32" s="2">
        <v>1.9017735334242838</v>
      </c>
      <c r="D32" s="2">
        <v>1.7053581073782003</v>
      </c>
      <c r="E32" s="2">
        <v>1.4965277777777777</v>
      </c>
      <c r="F32" s="2">
        <v>1.0769044035539157</v>
      </c>
      <c r="G32" s="2">
        <v>1.0038259206121474</v>
      </c>
      <c r="H32" s="2">
        <v>1.1735641133137689</v>
      </c>
      <c r="I32" s="2">
        <v>1.0377711877633837</v>
      </c>
      <c r="J32" s="2">
        <v>1.2543750929552329</v>
      </c>
      <c r="K32" s="2">
        <v>1.3349698070597475</v>
      </c>
      <c r="L32" s="2">
        <v>2.8152599594868333</v>
      </c>
      <c r="M32" s="2">
        <v>2.4959836623553437</v>
      </c>
      <c r="N32" s="2">
        <v>2.3793103448275863</v>
      </c>
      <c r="O32" s="2">
        <v>2.5171722571161297</v>
      </c>
      <c r="P32" s="2">
        <v>2.6239364719228586</v>
      </c>
      <c r="Q32" s="2">
        <v>2.321844225604297</v>
      </c>
      <c r="R32" s="2">
        <v>2.1432706222865412</v>
      </c>
      <c r="S32" s="2">
        <v>2.4401145220295848</v>
      </c>
      <c r="T32" s="2">
        <v>2.6406623149180066</v>
      </c>
      <c r="U32" s="2">
        <v>2.4051684356252885</v>
      </c>
      <c r="V32" s="2">
        <v>2.2133312616532006</v>
      </c>
      <c r="W32" s="2">
        <v>2.1362414102181058</v>
      </c>
      <c r="X32" s="2">
        <v>1.8670538377020875</v>
      </c>
      <c r="Y32" s="2">
        <v>2.0413309459862727</v>
      </c>
      <c r="Z32" s="2">
        <v>2.1545220421148312</v>
      </c>
      <c r="AA32" s="2">
        <v>1.5646724382995219</v>
      </c>
      <c r="AB32" s="2">
        <v>1.437454703580229</v>
      </c>
      <c r="AC32" s="2">
        <v>1.3158657329147549</v>
      </c>
      <c r="AD32" s="2">
        <v>1.2556744678348819</v>
      </c>
      <c r="AE32" s="2">
        <v>1.2700922266139658</v>
      </c>
      <c r="AF32" s="2">
        <v>3.8952095808383231</v>
      </c>
      <c r="AG32" s="2">
        <v>3.9757658893461363</v>
      </c>
      <c r="AH32" s="2">
        <v>5.8728813559322033</v>
      </c>
      <c r="AI32" s="2">
        <v>5.6954314720812187</v>
      </c>
      <c r="AJ32" s="2">
        <v>6.2566231712139189</v>
      </c>
      <c r="AK32" s="2">
        <v>4.4828674481514881</v>
      </c>
      <c r="AL32" s="2">
        <v>4.1267056530214425</v>
      </c>
      <c r="AM32" s="2">
        <v>3.4637134778510839</v>
      </c>
      <c r="AN32" s="2">
        <v>2.3148148148148149</v>
      </c>
      <c r="AO32" s="2">
        <v>2.2170087976539588</v>
      </c>
      <c r="AP32" s="2">
        <v>2.5224443606186346</v>
      </c>
      <c r="AQ32" s="2">
        <v>4.6067285382830629</v>
      </c>
      <c r="AR32" s="2">
        <v>3.3735478105451295</v>
      </c>
      <c r="AS32" s="2">
        <v>3.3287815126050422</v>
      </c>
      <c r="AT32" s="2">
        <v>4.4988962472406184</v>
      </c>
      <c r="AU32" s="2">
        <v>4.8497041420118343</v>
      </c>
      <c r="AV32" s="2">
        <v>3.7637795275590551</v>
      </c>
      <c r="AW32" s="2">
        <v>4.0851063829787231</v>
      </c>
      <c r="AX32" s="2">
        <v>4.8894230769230766</v>
      </c>
      <c r="AY32" s="2">
        <v>5.1071428571428568</v>
      </c>
      <c r="AZ32" s="2">
        <v>4.2978723404255321</v>
      </c>
      <c r="BA32" s="2">
        <v>4.3760000000000003</v>
      </c>
      <c r="BB32" s="2">
        <v>5.5090909090909088</v>
      </c>
      <c r="BC32" s="2">
        <v>6.1841155234657039</v>
      </c>
      <c r="BD32" s="2">
        <v>4.8872832369942198</v>
      </c>
      <c r="BE32" s="2">
        <v>4.6228070175438596</v>
      </c>
      <c r="BF32" s="2">
        <v>4.2359550561797752</v>
      </c>
      <c r="BG32" s="2">
        <v>4.369426751592357</v>
      </c>
      <c r="BH32" s="2">
        <v>3.98</v>
      </c>
      <c r="BI32" s="2">
        <v>3.9517684887459805</v>
      </c>
      <c r="BJ32" s="2">
        <v>3.810810810810811</v>
      </c>
      <c r="BK32" s="2">
        <v>3.8396624472573841</v>
      </c>
      <c r="BL32" s="2">
        <v>1.9238938053097345</v>
      </c>
      <c r="BM32" s="2">
        <v>3.0631578947368423</v>
      </c>
      <c r="BN32" s="2">
        <v>2.5871886120996441</v>
      </c>
      <c r="BO32" s="2">
        <v>2.245967741935484</v>
      </c>
      <c r="BP32" s="2">
        <v>1.3649289099526067</v>
      </c>
      <c r="BQ32" s="2">
        <v>2.454183266932271</v>
      </c>
      <c r="BR32" s="2">
        <v>2.1808510638297873</v>
      </c>
      <c r="BS32" s="2">
        <v>0</v>
      </c>
      <c r="BT32" s="2">
        <v>1.8871951219512195</v>
      </c>
      <c r="BU32" s="2">
        <v>0</v>
      </c>
    </row>
    <row r="33" spans="1:73" x14ac:dyDescent="0.2">
      <c r="A33" s="2" t="s">
        <v>132</v>
      </c>
      <c r="B33" s="2">
        <v>14.589261744966443</v>
      </c>
      <c r="C33" s="2">
        <v>11.636729222520108</v>
      </c>
      <c r="D33" s="2">
        <v>9.8659658344283834</v>
      </c>
      <c r="E33" s="2">
        <v>7.8076923076923075</v>
      </c>
      <c r="F33" s="2">
        <v>7.579973992197659</v>
      </c>
      <c r="G33" s="2">
        <v>7.1706758304696452</v>
      </c>
      <c r="H33" s="2">
        <v>5.3553240740740744</v>
      </c>
      <c r="I33" s="2">
        <v>3.5601503759398496</v>
      </c>
      <c r="J33" s="2">
        <v>2.8319006685768864</v>
      </c>
      <c r="K33" s="2">
        <v>2.2494600431965441</v>
      </c>
      <c r="L33" s="2">
        <v>10.469135802469136</v>
      </c>
      <c r="M33" s="2">
        <v>9.4975369458128078</v>
      </c>
      <c r="N33" s="2">
        <v>9.8962962962962955</v>
      </c>
      <c r="O33" s="2">
        <v>10.105911330049262</v>
      </c>
      <c r="P33" s="2">
        <v>9.8177339901477829</v>
      </c>
      <c r="Q33" s="2">
        <v>9.2044334975369466</v>
      </c>
      <c r="R33" s="2">
        <v>6.5888030888030888</v>
      </c>
      <c r="S33" s="2">
        <v>7.6830466830466833</v>
      </c>
      <c r="T33" s="2">
        <v>6.2798053527980535</v>
      </c>
      <c r="U33" s="2">
        <v>5.1228915662650598</v>
      </c>
      <c r="V33" s="2">
        <v>4.2381974248927037</v>
      </c>
      <c r="W33" s="2">
        <v>3.2228070175438597</v>
      </c>
      <c r="X33" s="2">
        <v>3.6333333333333333</v>
      </c>
      <c r="Y33" s="2">
        <v>2.1724137931034484</v>
      </c>
      <c r="Z33" s="2">
        <v>1.5728952772073923</v>
      </c>
      <c r="AA33" s="2">
        <v>1.7586206896551724</v>
      </c>
      <c r="AB33" s="2">
        <v>2.9196675900277009</v>
      </c>
      <c r="AC33" s="2">
        <v>2.3895027624309391</v>
      </c>
      <c r="AD33" s="2">
        <v>2.5797872340425534</v>
      </c>
      <c r="AE33" s="2">
        <v>1.6086956521739131</v>
      </c>
      <c r="AF33" s="2">
        <v>11.162162162162161</v>
      </c>
      <c r="AG33" s="2">
        <v>8.9865771812080535</v>
      </c>
      <c r="AH33" s="2">
        <v>8.1148648648648649</v>
      </c>
      <c r="AI33" s="2">
        <v>5.1530054644808745</v>
      </c>
      <c r="AJ33" s="2">
        <v>6.3445378151260501</v>
      </c>
      <c r="AK33" s="2">
        <v>5.7857142857142856</v>
      </c>
      <c r="AL33" s="2">
        <v>4.2321428571428568</v>
      </c>
      <c r="AM33" s="2">
        <v>4.5585585585585582</v>
      </c>
      <c r="AN33" s="2">
        <v>3.5943396226415096</v>
      </c>
      <c r="AO33" s="2">
        <v>-1.8992805755395683</v>
      </c>
      <c r="AP33" s="2">
        <v>-3.91015625</v>
      </c>
      <c r="AQ33" s="2">
        <v>5.6547619047619051</v>
      </c>
      <c r="AR33" s="2">
        <v>12.536585365853659</v>
      </c>
      <c r="AS33" s="2">
        <v>6.9534883720930232</v>
      </c>
      <c r="AT33" s="2">
        <v>7.8867924528301883</v>
      </c>
      <c r="AU33" s="2">
        <v>7.4259259259259256</v>
      </c>
      <c r="AV33" s="2">
        <v>5.5740740740740744</v>
      </c>
      <c r="AW33" s="2">
        <v>-2.9454545454545453</v>
      </c>
      <c r="AX33" s="2">
        <v>160</v>
      </c>
      <c r="AY33" s="2">
        <v>5.791666666666667</v>
      </c>
      <c r="AZ33" s="2">
        <v>0</v>
      </c>
      <c r="BA33" s="2">
        <v>140</v>
      </c>
      <c r="BB33" s="2">
        <v>118</v>
      </c>
      <c r="BC33" s="2">
        <v>124</v>
      </c>
      <c r="BD33" s="2">
        <v>0</v>
      </c>
      <c r="BE33" s="2">
        <v>149</v>
      </c>
      <c r="BF33" s="2">
        <v>0</v>
      </c>
      <c r="BG33" s="2">
        <v>132</v>
      </c>
      <c r="BH33" s="2">
        <v>-79.5</v>
      </c>
      <c r="BI33" s="2">
        <v>72.5</v>
      </c>
      <c r="BJ33" s="2">
        <v>138</v>
      </c>
      <c r="BK33" s="2">
        <v>47.333333333333336</v>
      </c>
      <c r="BL33" s="2">
        <v>20.714285714285715</v>
      </c>
      <c r="BM33" s="2">
        <v>16.875</v>
      </c>
      <c r="BN33" s="2">
        <v>13.5</v>
      </c>
      <c r="BO33" s="2">
        <v>7.0909090909090908</v>
      </c>
      <c r="BP33" s="2">
        <v>0.26315789473684209</v>
      </c>
      <c r="BQ33" s="2">
        <v>1.2</v>
      </c>
      <c r="BR33" s="2">
        <v>-0.55000000000000004</v>
      </c>
      <c r="BS33" s="2">
        <v>1.6666666666666667</v>
      </c>
      <c r="BT33" s="2">
        <v>2.0476190476190474</v>
      </c>
      <c r="BU33" s="2">
        <v>2.2000000000000002</v>
      </c>
    </row>
    <row r="34" spans="1:73" x14ac:dyDescent="0.2">
      <c r="A34" s="2" t="s">
        <v>131</v>
      </c>
      <c r="B34" s="2">
        <v>1.1270676691729324</v>
      </c>
      <c r="C34" s="2">
        <v>1.1239624438699143</v>
      </c>
      <c r="D34" s="2">
        <v>0.90432026297252877</v>
      </c>
      <c r="E34" s="2">
        <v>1.7309178743961353</v>
      </c>
      <c r="F34" s="2">
        <v>1.3202416918429003</v>
      </c>
      <c r="G34" s="2">
        <v>1.1108486280210794</v>
      </c>
      <c r="H34" s="2">
        <v>1.2960222016651248</v>
      </c>
      <c r="I34" s="2">
        <v>-2.6469333333333331</v>
      </c>
      <c r="J34" s="2">
        <v>2.1593587930221592</v>
      </c>
      <c r="K34" s="2">
        <v>3.7794348508634221</v>
      </c>
      <c r="L34" s="2">
        <v>1.3700340522133938</v>
      </c>
      <c r="M34" s="2">
        <v>1.4287011807447774</v>
      </c>
      <c r="N34" s="2">
        <v>1.2933065211146222</v>
      </c>
      <c r="O34" s="2">
        <v>1.0694223635400106</v>
      </c>
      <c r="P34" s="2">
        <v>1.3643941649300386</v>
      </c>
      <c r="Q34" s="2">
        <v>1.439167208848406</v>
      </c>
      <c r="R34" s="2">
        <v>1.6382239382239383</v>
      </c>
      <c r="S34" s="2">
        <v>1.4101941747572815</v>
      </c>
      <c r="T34" s="2">
        <v>1.7802916038210155</v>
      </c>
      <c r="U34" s="2">
        <v>1.8875266524520256</v>
      </c>
      <c r="V34" s="2">
        <v>2.3904889484259879</v>
      </c>
      <c r="W34" s="2">
        <v>2.2590711175616836</v>
      </c>
      <c r="X34" s="2">
        <v>2.5287009063444108</v>
      </c>
      <c r="Y34" s="2">
        <v>4.6191860465116283</v>
      </c>
      <c r="Z34" s="2">
        <v>5.7069271758436946</v>
      </c>
      <c r="AA34" s="2">
        <v>6.0311688311688307</v>
      </c>
      <c r="AB34" s="2">
        <v>2.9268004722550178</v>
      </c>
      <c r="AC34" s="2">
        <v>3.3832167832167834</v>
      </c>
      <c r="AD34" s="2">
        <v>3.8596237337192476</v>
      </c>
      <c r="AE34" s="2">
        <v>4.5265392781316347</v>
      </c>
      <c r="AF34" s="2">
        <v>2.3632286995515694</v>
      </c>
      <c r="AG34" s="2">
        <v>1.8787625418060201</v>
      </c>
      <c r="AH34" s="2">
        <v>0.61960889365121885</v>
      </c>
      <c r="AI34" s="2">
        <v>0.25662503807493148</v>
      </c>
      <c r="AJ34" s="2">
        <v>2.9195230998509687</v>
      </c>
      <c r="AK34" s="2">
        <v>3.2662721893491122</v>
      </c>
      <c r="AL34" s="2">
        <v>3.4116379310344827</v>
      </c>
      <c r="AM34" s="2">
        <v>5.3690476190476186</v>
      </c>
      <c r="AN34" s="2">
        <v>-2.0239520958083834</v>
      </c>
      <c r="AO34" s="2">
        <v>-3.0571428571428569</v>
      </c>
      <c r="AP34" s="2">
        <v>-0.49561752988047808</v>
      </c>
      <c r="AQ34" s="2">
        <v>1.2572944297082229</v>
      </c>
      <c r="AR34" s="2">
        <v>1.3566433566433567</v>
      </c>
      <c r="AS34" s="2">
        <v>2.4666666666666668</v>
      </c>
      <c r="AT34" s="2">
        <v>1.9273255813953489</v>
      </c>
      <c r="AU34" s="2">
        <v>1.3703703703703705</v>
      </c>
      <c r="AV34" s="2">
        <v>3.2564102564102564</v>
      </c>
      <c r="AW34" s="2">
        <v>-1.9146341463414633</v>
      </c>
      <c r="AX34" s="2">
        <v>1.5886075949367089</v>
      </c>
      <c r="AY34" s="2">
        <v>1.708955223880597</v>
      </c>
      <c r="AZ34" s="2">
        <v>1.2151162790697674</v>
      </c>
      <c r="BA34" s="2">
        <v>0.96478873239436624</v>
      </c>
      <c r="BB34" s="2">
        <v>1.663716814159292</v>
      </c>
      <c r="BC34" s="2">
        <v>1.48</v>
      </c>
      <c r="BD34" s="2">
        <v>1.3522012578616351</v>
      </c>
      <c r="BE34" s="2">
        <v>0.88275862068965516</v>
      </c>
      <c r="BF34" s="2">
        <v>1.5746268656716418</v>
      </c>
      <c r="BG34" s="2">
        <v>1.1120000000000001</v>
      </c>
      <c r="BH34" s="2">
        <v>1.2662337662337662</v>
      </c>
      <c r="BI34" s="2">
        <v>1.4791666666666667</v>
      </c>
      <c r="BJ34" s="2">
        <v>1.874074074074074</v>
      </c>
      <c r="BK34" s="2">
        <v>0.56302521008403361</v>
      </c>
      <c r="BL34" s="2">
        <v>1.3231707317073171</v>
      </c>
      <c r="BM34" s="2">
        <v>1.1138211382113821</v>
      </c>
      <c r="BN34" s="2">
        <v>1.2777777777777777</v>
      </c>
      <c r="BO34" s="2">
        <v>1.0789473684210527</v>
      </c>
      <c r="BP34" s="2">
        <v>-2.1904761904761907</v>
      </c>
      <c r="BQ34" s="2">
        <v>15.5</v>
      </c>
      <c r="BR34" s="2">
        <v>-2.129032258064516</v>
      </c>
      <c r="BS34" s="2">
        <v>-0.66666666666666663</v>
      </c>
      <c r="BT34" s="2">
        <v>6.333333333333333</v>
      </c>
      <c r="BU34" s="2">
        <v>1.3636363636363635</v>
      </c>
    </row>
    <row r="35" spans="1:73" x14ac:dyDescent="0.2">
      <c r="A35" s="3" t="s">
        <v>130</v>
      </c>
      <c r="B35" s="3">
        <v>1.5604023498468397E-3</v>
      </c>
      <c r="C35" s="3">
        <v>1.9658649027443757E-3</v>
      </c>
      <c r="D35" s="3">
        <v>1.6303461451610776E-3</v>
      </c>
      <c r="E35" s="3">
        <v>1.9851051843537116E-3</v>
      </c>
      <c r="F35" s="3">
        <v>2.9477479967379809E-3</v>
      </c>
      <c r="G35" s="3">
        <v>2.7136422199686796E-3</v>
      </c>
      <c r="H35" s="3">
        <v>3.1497043443286209E-3</v>
      </c>
      <c r="I35" s="3">
        <v>3.7010257093894232E-3</v>
      </c>
      <c r="J35" s="3">
        <v>4.0095882170954862E-3</v>
      </c>
      <c r="K35" s="3">
        <v>4.3336562960284136E-3</v>
      </c>
      <c r="L35" s="3">
        <v>5.4798163455668895E-3</v>
      </c>
      <c r="M35" s="3">
        <v>5.1217375865219355E-3</v>
      </c>
      <c r="N35" s="3">
        <v>7.2289156626506026E-3</v>
      </c>
      <c r="O35" s="3">
        <v>7.9237411907005055E-3</v>
      </c>
      <c r="P35" s="3">
        <v>9.2230725874445103E-3</v>
      </c>
      <c r="Q35" s="3">
        <v>7.9711112967975981E-3</v>
      </c>
      <c r="R35" s="3">
        <v>7.4227849356776881E-3</v>
      </c>
      <c r="S35" s="3">
        <v>7.3076521557573857E-3</v>
      </c>
      <c r="T35" s="3">
        <v>7.1565284877358019E-3</v>
      </c>
      <c r="U35" s="3">
        <v>7.7912587791456409E-3</v>
      </c>
      <c r="V35" s="3">
        <v>8.4095403901211507E-3</v>
      </c>
      <c r="W35" s="3">
        <v>8.1030155747941583E-3</v>
      </c>
      <c r="X35" s="3">
        <v>9.7803405962598299E-3</v>
      </c>
      <c r="Y35" s="3">
        <v>1.070736598796696E-2</v>
      </c>
      <c r="Z35" s="3">
        <v>1.3129585491094985E-2</v>
      </c>
      <c r="AA35" s="3">
        <v>1.1295007145820848E-2</v>
      </c>
      <c r="AB35" s="3">
        <v>8.7046289796424009E-3</v>
      </c>
      <c r="AC35" s="3">
        <v>9.9207280331429296E-3</v>
      </c>
      <c r="AD35" s="3">
        <v>8.5445074257185644E-3</v>
      </c>
      <c r="AE35" s="3">
        <v>9.9731929546448723E-3</v>
      </c>
      <c r="AF35" s="3">
        <v>7.9729866830169863E-3</v>
      </c>
      <c r="AG35" s="3">
        <v>8.0805915764655453E-3</v>
      </c>
      <c r="AH35" s="3">
        <v>7.7096501469463338E-3</v>
      </c>
      <c r="AI35" s="3">
        <v>7.7698878254605329E-3</v>
      </c>
      <c r="AJ35" s="3">
        <v>4.0772277080593508E-3</v>
      </c>
      <c r="AK35" s="3">
        <v>4.3622500047307503E-3</v>
      </c>
      <c r="AL35" s="3">
        <v>4.8999875538073582E-3</v>
      </c>
      <c r="AM35" s="3">
        <v>5.4145388533991621E-3</v>
      </c>
      <c r="AN35" s="3">
        <v>2.9802565381222023E-3</v>
      </c>
      <c r="AO35" s="3">
        <v>3.0735489451085775E-3</v>
      </c>
      <c r="AP35" s="3">
        <v>3.5693289661543628E-3</v>
      </c>
      <c r="AQ35" s="3">
        <v>3.1984982788408854E-3</v>
      </c>
      <c r="AR35" s="3">
        <v>3.4142149071686736E-3</v>
      </c>
      <c r="AS35" s="3">
        <v>3.1371129511485155E-3</v>
      </c>
      <c r="AT35" s="3">
        <v>3.2824716016472042E-3</v>
      </c>
      <c r="AU35" s="3">
        <v>3.3918329236456491E-3</v>
      </c>
      <c r="AV35" s="3">
        <v>3.6952217589255572E-3</v>
      </c>
      <c r="AW35" s="3">
        <v>4.2074927953890491E-3</v>
      </c>
      <c r="AX35" s="3">
        <v>4.2663989710449539E-3</v>
      </c>
      <c r="AY35" s="3">
        <v>4.5603660061491382E-3</v>
      </c>
      <c r="AZ35" s="3">
        <v>5.0625266448770783E-3</v>
      </c>
      <c r="BA35" s="3">
        <v>5.7132811813307557E-3</v>
      </c>
      <c r="BB35" s="3">
        <v>5.9705284552845524E-3</v>
      </c>
      <c r="BC35" s="3">
        <v>4.7690421038288598E-3</v>
      </c>
      <c r="BD35" s="3">
        <v>4.8041389504804143E-3</v>
      </c>
      <c r="BE35" s="3">
        <v>4.0926939881643721E-3</v>
      </c>
      <c r="BF35" s="3">
        <v>3.8013779995248274E-3</v>
      </c>
      <c r="BG35" s="3">
        <v>3.4916621515862982E-3</v>
      </c>
      <c r="BH35" s="3">
        <v>3.2604757879483156E-3</v>
      </c>
      <c r="BI35" s="3">
        <v>2.693701635811539E-3</v>
      </c>
      <c r="BJ35" s="3">
        <v>2.4367956137678953E-3</v>
      </c>
      <c r="BK35" s="3">
        <v>2.4476632015434678E-3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</row>
    <row r="36" spans="1:73" x14ac:dyDescent="0.2">
      <c r="A36" s="3" t="s">
        <v>129</v>
      </c>
      <c r="B36" s="3">
        <v>0.33211600429645544</v>
      </c>
      <c r="C36" s="3">
        <v>0.41992107769764592</v>
      </c>
      <c r="D36" s="3">
        <v>0.32836346560225405</v>
      </c>
      <c r="E36" s="3">
        <v>0.67294685990338166</v>
      </c>
      <c r="F36" s="3">
        <v>0.56092648539778445</v>
      </c>
      <c r="G36" s="3">
        <v>0.50408867890241682</v>
      </c>
      <c r="H36" s="3">
        <v>0.57446808510638303</v>
      </c>
      <c r="I36" s="3">
        <v>-1.3077333333333334</v>
      </c>
      <c r="J36" s="3">
        <v>1.1518151815181519</v>
      </c>
      <c r="K36" s="3">
        <v>1.8377358490566038</v>
      </c>
      <c r="L36" s="3">
        <v>0.54029511918274686</v>
      </c>
      <c r="M36" s="3">
        <v>0.5755373902512867</v>
      </c>
      <c r="N36" s="3">
        <v>0.54984199942545242</v>
      </c>
      <c r="O36" s="3">
        <v>0.51033386327503971</v>
      </c>
      <c r="P36" s="3">
        <v>0.53051503423637991</v>
      </c>
      <c r="Q36" s="3">
        <v>0.56473649967469097</v>
      </c>
      <c r="R36" s="3">
        <v>0.67567567567567566</v>
      </c>
      <c r="S36" s="3">
        <v>0.71359223300970875</v>
      </c>
      <c r="T36" s="3">
        <v>0.78481649069884363</v>
      </c>
      <c r="U36" s="3">
        <v>0.82942430703624737</v>
      </c>
      <c r="V36" s="3">
        <v>1.0395177494976557</v>
      </c>
      <c r="W36" s="3">
        <v>1.1197387518142234</v>
      </c>
      <c r="X36" s="3">
        <v>1.0536253776435045</v>
      </c>
      <c r="Y36" s="3">
        <v>2.01453488372093</v>
      </c>
      <c r="Z36" s="3">
        <v>2.4529307282415629</v>
      </c>
      <c r="AA36" s="3">
        <v>3.5636363636363635</v>
      </c>
      <c r="AB36" s="3">
        <v>1.2443919716646989</v>
      </c>
      <c r="AC36" s="3">
        <v>1.4783216783216784</v>
      </c>
      <c r="AD36" s="3">
        <v>1.5296671490593343</v>
      </c>
      <c r="AE36" s="3">
        <v>2.2653927813163484</v>
      </c>
      <c r="AF36" s="3">
        <v>0.64843049327354263</v>
      </c>
      <c r="AG36" s="3">
        <v>0.63043478260869568</v>
      </c>
      <c r="AH36" s="3">
        <v>0.20602474448628294</v>
      </c>
      <c r="AI36" s="3">
        <v>0.12118780096308186</v>
      </c>
      <c r="AJ36" s="3">
        <v>0.82518796992481203</v>
      </c>
      <c r="AK36" s="3">
        <v>0.91060291060291065</v>
      </c>
      <c r="AL36" s="3">
        <v>0.99318181818181817</v>
      </c>
      <c r="AM36" s="3">
        <v>1.8033472803347281</v>
      </c>
      <c r="AN36" s="3">
        <v>-0.31962025316455694</v>
      </c>
      <c r="AO36" s="3">
        <v>-0.66778523489932884</v>
      </c>
      <c r="AP36" s="3">
        <v>-0.17200674536256325</v>
      </c>
      <c r="AQ36" s="3">
        <v>0.32360742705570295</v>
      </c>
      <c r="AR36" s="3">
        <v>0.2703962703962704</v>
      </c>
      <c r="AS36" s="3">
        <v>0.43333333333333335</v>
      </c>
      <c r="AT36" s="3">
        <v>0.28779069767441862</v>
      </c>
      <c r="AU36" s="3">
        <v>0.25356125356125359</v>
      </c>
      <c r="AV36" s="3">
        <v>0.6</v>
      </c>
      <c r="AW36" s="3">
        <v>-0.4451219512195122</v>
      </c>
      <c r="AX36" s="3">
        <v>0.43037974683544306</v>
      </c>
      <c r="AY36" s="3">
        <v>0.46268656716417911</v>
      </c>
      <c r="AZ36" s="3">
        <v>0.33139534883720928</v>
      </c>
      <c r="BA36" s="3">
        <v>0.36619718309859156</v>
      </c>
      <c r="BB36" s="3">
        <v>0.41592920353982299</v>
      </c>
      <c r="BC36" s="3">
        <v>0.33600000000000002</v>
      </c>
      <c r="BD36" s="3">
        <v>0.24528301886792453</v>
      </c>
      <c r="BE36" s="3">
        <v>0.25517241379310346</v>
      </c>
      <c r="BF36" s="3">
        <v>0.23880597014925373</v>
      </c>
      <c r="BG36" s="3">
        <v>0.23200000000000001</v>
      </c>
      <c r="BH36" s="3">
        <v>0.17532467532467533</v>
      </c>
      <c r="BI36" s="3">
        <v>0.15277777777777779</v>
      </c>
      <c r="BJ36" s="3">
        <v>0.14814814814814814</v>
      </c>
      <c r="BK36" s="3">
        <v>0.14285714285714285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</row>
    <row r="37" spans="1:73" x14ac:dyDescent="0.2">
      <c r="A37" s="3" t="s">
        <v>128</v>
      </c>
      <c r="B37" s="3">
        <v>4.7550367332221573E-2</v>
      </c>
      <c r="C37" s="3">
        <v>5.2664284604629484E-2</v>
      </c>
      <c r="D37" s="3">
        <v>6.1448792672772687E-2</v>
      </c>
      <c r="E37" s="3">
        <v>6.720160481444333E-2</v>
      </c>
      <c r="F37" s="3">
        <v>7.2180751799520132E-2</v>
      </c>
      <c r="G37" s="3">
        <v>6.3622955215875576E-2</v>
      </c>
      <c r="H37" s="3">
        <v>7.1865661021773164E-2</v>
      </c>
      <c r="I37" s="3">
        <v>8.414932680538556E-2</v>
      </c>
      <c r="J37" s="3">
        <v>0.10226635701129175</v>
      </c>
      <c r="K37" s="3">
        <v>0.13142713819914723</v>
      </c>
      <c r="L37" s="3">
        <v>4.4970414201183431E-2</v>
      </c>
      <c r="M37" s="3">
        <v>4.3713384407390719E-2</v>
      </c>
      <c r="N37" s="3">
        <v>5.015458605290278E-2</v>
      </c>
      <c r="O37" s="3">
        <v>3.9035333707234998E-2</v>
      </c>
      <c r="P37" s="3">
        <v>4.1433370660694288E-2</v>
      </c>
      <c r="Q37" s="3">
        <v>3.8161625708884685E-2</v>
      </c>
      <c r="R37" s="3">
        <v>4.5415278291990623E-2</v>
      </c>
      <c r="S37" s="3">
        <v>4.165585258240332E-2</v>
      </c>
      <c r="T37" s="3">
        <v>4.5497502362629942E-2</v>
      </c>
      <c r="U37" s="3">
        <v>5.1047506639126584E-2</v>
      </c>
      <c r="V37" s="3">
        <v>4.9167927382753406E-2</v>
      </c>
      <c r="W37" s="3">
        <v>5.0939143501126972E-2</v>
      </c>
      <c r="X37" s="3">
        <v>6.2625637853718885E-2</v>
      </c>
      <c r="Y37" s="3">
        <v>7.3526885414877174E-2</v>
      </c>
      <c r="Z37" s="3">
        <v>8.7251828631138978E-2</v>
      </c>
      <c r="AA37" s="3">
        <v>0.10259474223284397</v>
      </c>
      <c r="AB37" s="3">
        <v>7.0810249307479228E-2</v>
      </c>
      <c r="AC37" s="3">
        <v>7.4342701722574803E-2</v>
      </c>
      <c r="AD37" s="3">
        <v>7.5947072684429948E-2</v>
      </c>
      <c r="AE37" s="3">
        <v>8.1361202280186562E-2</v>
      </c>
      <c r="AF37" s="3">
        <v>4.3534166054371784E-2</v>
      </c>
      <c r="AG37" s="3">
        <v>4.6217657515307133E-2</v>
      </c>
      <c r="AH37" s="3">
        <v>5.8635819704826488E-2</v>
      </c>
      <c r="AI37" s="3">
        <v>5.4627370001877229E-2</v>
      </c>
      <c r="AJ37" s="3">
        <v>3.7572254335260118E-2</v>
      </c>
      <c r="AK37" s="3">
        <v>4.4812906116961683E-2</v>
      </c>
      <c r="AL37" s="3">
        <v>4.8687350835322198E-2</v>
      </c>
      <c r="AM37" s="3">
        <v>4.8562454699202708E-2</v>
      </c>
      <c r="AN37" s="3">
        <v>5.4158607350096713E-2</v>
      </c>
      <c r="AO37" s="3">
        <v>6.0654008438818567E-2</v>
      </c>
      <c r="AP37" s="3">
        <v>6.7212651793278733E-2</v>
      </c>
      <c r="AQ37" s="3">
        <v>6.4370412196499152E-2</v>
      </c>
      <c r="AR37" s="3">
        <v>6.41304347826087E-2</v>
      </c>
      <c r="AS37" s="3">
        <v>8.2420749279538907E-2</v>
      </c>
      <c r="AT37" s="3">
        <v>6.6914498141263934E-2</v>
      </c>
      <c r="AU37" s="3">
        <v>7.155963302752294E-2</v>
      </c>
      <c r="AV37" s="3">
        <v>8.1132075471698109E-2</v>
      </c>
      <c r="AW37" s="3">
        <v>0.10795902285263988</v>
      </c>
      <c r="AX37" s="3">
        <v>9.5577746077032816E-2</v>
      </c>
      <c r="AY37" s="3">
        <v>0.10437235543018336</v>
      </c>
      <c r="AZ37" s="3">
        <v>8.1300813008130079E-2</v>
      </c>
      <c r="BA37" s="3">
        <v>8.8509316770186336E-2</v>
      </c>
      <c r="BB37" s="3">
        <v>9.2526690391459068E-2</v>
      </c>
      <c r="BC37" s="3">
        <v>9.2013888888888895E-2</v>
      </c>
      <c r="BD37" s="3">
        <v>7.9288025889967639E-2</v>
      </c>
      <c r="BE37" s="3">
        <v>8.0858085808580851E-2</v>
      </c>
      <c r="BF37" s="3">
        <v>8.838821490467938E-2</v>
      </c>
      <c r="BG37" s="3">
        <v>8.8809946714031973E-2</v>
      </c>
      <c r="BH37" s="3">
        <v>8.8282504012841087E-2</v>
      </c>
      <c r="BI37" s="3">
        <v>9.950248756218906E-2</v>
      </c>
      <c r="BJ37" s="3">
        <v>9.8214285714285712E-2</v>
      </c>
      <c r="BK37" s="3">
        <v>9.0909090909090912E-2</v>
      </c>
      <c r="BL37" s="3">
        <v>8.9160839160839167E-2</v>
      </c>
      <c r="BM37" s="3">
        <v>9.2727272727272728E-2</v>
      </c>
      <c r="BN37" s="3">
        <v>9.3203883495145634E-2</v>
      </c>
      <c r="BO37" s="3">
        <v>0.10087719298245613</v>
      </c>
      <c r="BP37" s="3">
        <v>0.10981308411214953</v>
      </c>
      <c r="BQ37" s="3">
        <v>0.11019283746556474</v>
      </c>
      <c r="BR37" s="3">
        <v>0.12923076923076923</v>
      </c>
      <c r="BS37" s="3">
        <v>0.10869565217391304</v>
      </c>
      <c r="BT37" s="3">
        <v>0.10738255033557047</v>
      </c>
      <c r="BU37" s="3">
        <v>0.11389521640091116</v>
      </c>
    </row>
    <row r="38" spans="1:73" x14ac:dyDescent="0.2">
      <c r="A38" s="3" t="s">
        <v>127</v>
      </c>
      <c r="B38" s="3">
        <v>0.13498895749763376</v>
      </c>
      <c r="C38" s="3">
        <v>0.15353943348350682</v>
      </c>
      <c r="D38" s="3">
        <v>0.16547321676380794</v>
      </c>
      <c r="E38" s="3">
        <v>0.19119859578736209</v>
      </c>
      <c r="F38" s="3">
        <v>0.17948547054118902</v>
      </c>
      <c r="G38" s="3">
        <v>0.1510458567980692</v>
      </c>
      <c r="H38" s="3">
        <v>0.1589583036857834</v>
      </c>
      <c r="I38" s="3">
        <v>0.18000305997552019</v>
      </c>
      <c r="J38" s="3">
        <v>0.19340113718266996</v>
      </c>
      <c r="K38" s="3">
        <v>0.19296045481147062</v>
      </c>
      <c r="L38" s="3">
        <v>0.14932759548144164</v>
      </c>
      <c r="M38" s="3">
        <v>0.1529968454258675</v>
      </c>
      <c r="N38" s="3">
        <v>0.15023474178403756</v>
      </c>
      <c r="O38" s="3">
        <v>0.13404374649467191</v>
      </c>
      <c r="P38" s="3">
        <v>0.13404255319148936</v>
      </c>
      <c r="Q38" s="3">
        <v>0.14827504725897919</v>
      </c>
      <c r="R38" s="3">
        <v>0.15562137479945698</v>
      </c>
      <c r="S38" s="3">
        <v>0.15650142745912277</v>
      </c>
      <c r="T38" s="3">
        <v>0.16200891049007696</v>
      </c>
      <c r="U38" s="3">
        <v>0.17778105635880792</v>
      </c>
      <c r="V38" s="3">
        <v>0.18729198184568835</v>
      </c>
      <c r="W38" s="3">
        <v>0.18196844477836213</v>
      </c>
      <c r="X38" s="3">
        <v>0.18277408381011287</v>
      </c>
      <c r="Y38" s="3">
        <v>0.21096031609689056</v>
      </c>
      <c r="Z38" s="3">
        <v>0.22100313479623823</v>
      </c>
      <c r="AA38" s="3">
        <v>0.2200409696142028</v>
      </c>
      <c r="AB38" s="3">
        <v>0.20377423822714683</v>
      </c>
      <c r="AC38" s="3">
        <v>0.22393472348141433</v>
      </c>
      <c r="AD38" s="3">
        <v>0.20862787746963929</v>
      </c>
      <c r="AE38" s="3">
        <v>0.19571601312834686</v>
      </c>
      <c r="AF38" s="3">
        <v>0.17413666421748714</v>
      </c>
      <c r="AG38" s="3">
        <v>0.18941339126999804</v>
      </c>
      <c r="AH38" s="3">
        <v>0.18667730355005982</v>
      </c>
      <c r="AI38" s="3">
        <v>0.17364370189600151</v>
      </c>
      <c r="AJ38" s="3">
        <v>0.17093311312964493</v>
      </c>
      <c r="AK38" s="3">
        <v>0.18530136679363657</v>
      </c>
      <c r="AL38" s="3">
        <v>0.19785202863961815</v>
      </c>
      <c r="AM38" s="3">
        <v>0.19521623580575018</v>
      </c>
      <c r="AN38" s="3">
        <v>0.1948742746615087</v>
      </c>
      <c r="AO38" s="3">
        <v>0.21466244725738395</v>
      </c>
      <c r="AP38" s="3">
        <v>0.22225360067777464</v>
      </c>
      <c r="AQ38" s="3">
        <v>0.15076228119706381</v>
      </c>
      <c r="AR38" s="3">
        <v>0.15597826086956521</v>
      </c>
      <c r="AS38" s="3">
        <v>0.15907780979827088</v>
      </c>
      <c r="AT38" s="3">
        <v>0.15551425030978935</v>
      </c>
      <c r="AU38" s="3">
        <v>0.14373088685015289</v>
      </c>
      <c r="AV38" s="3">
        <v>0.14716981132075471</v>
      </c>
      <c r="AW38" s="3">
        <v>0.18912529550827423</v>
      </c>
      <c r="AX38" s="3">
        <v>0.16262482168330955</v>
      </c>
      <c r="AY38" s="3">
        <v>0.15091678420310295</v>
      </c>
      <c r="AZ38" s="3">
        <v>0.14769647696476965</v>
      </c>
      <c r="BA38" s="3">
        <v>0.15683229813664595</v>
      </c>
      <c r="BB38" s="3">
        <v>0.16903914590747332</v>
      </c>
      <c r="BC38" s="3">
        <v>0.16145833333333334</v>
      </c>
      <c r="BD38" s="3">
        <v>0.12944983818770225</v>
      </c>
      <c r="BE38" s="3">
        <v>0.14686468646864687</v>
      </c>
      <c r="BF38" s="3">
        <v>0.14558058925476602</v>
      </c>
      <c r="BG38" s="3">
        <v>0.14564831261101244</v>
      </c>
      <c r="BH38" s="3">
        <v>0.1332263242375602</v>
      </c>
      <c r="BI38" s="3">
        <v>0.14096185737976782</v>
      </c>
      <c r="BJ38" s="3">
        <v>0.1357142857142857</v>
      </c>
      <c r="BK38" s="3">
        <v>0.13272727272727272</v>
      </c>
      <c r="BL38" s="3">
        <v>0.13111888111888112</v>
      </c>
      <c r="BM38" s="3">
        <v>0.12909090909090909</v>
      </c>
      <c r="BN38" s="3">
        <v>0.13592233009708737</v>
      </c>
      <c r="BO38" s="3">
        <v>0.14035087719298245</v>
      </c>
      <c r="BP38" s="3">
        <v>0.15186915887850466</v>
      </c>
      <c r="BQ38" s="3">
        <v>0.16253443526170799</v>
      </c>
      <c r="BR38" s="3">
        <v>0.18153846153846154</v>
      </c>
      <c r="BS38" s="3">
        <v>0.16847826086956522</v>
      </c>
      <c r="BT38" s="3">
        <v>0.15436241610738255</v>
      </c>
      <c r="BU38" s="3">
        <v>0.15489749430523919</v>
      </c>
    </row>
    <row r="39" spans="1:73" x14ac:dyDescent="0.2">
      <c r="A39" s="3" t="s">
        <v>126</v>
      </c>
      <c r="B39" s="3">
        <v>0.70403777671105949</v>
      </c>
      <c r="C39" s="3">
        <v>0.7539772693831186</v>
      </c>
      <c r="D39" s="3">
        <v>0.76025763916489375</v>
      </c>
      <c r="E39" s="3">
        <v>0.79787587322863651</v>
      </c>
      <c r="F39" s="3">
        <v>0.81512482536597219</v>
      </c>
      <c r="G39" s="3">
        <v>0.82520349786523783</v>
      </c>
      <c r="H39" s="3">
        <v>0.83585982070089648</v>
      </c>
      <c r="I39" s="3">
        <v>0.83890192062679347</v>
      </c>
      <c r="J39" s="3">
        <v>0.81775687599522862</v>
      </c>
      <c r="K39" s="3">
        <v>0.81391465677179964</v>
      </c>
      <c r="L39" s="3">
        <v>0.65220076584180842</v>
      </c>
      <c r="M39" s="3">
        <v>0.67425099518122777</v>
      </c>
      <c r="N39" s="3">
        <v>0.68438751447667689</v>
      </c>
      <c r="O39" s="3">
        <v>0.68295055908791935</v>
      </c>
      <c r="P39" s="3">
        <v>0.69250092151428688</v>
      </c>
      <c r="Q39" s="3">
        <v>0.72599052239015227</v>
      </c>
      <c r="R39" s="3">
        <v>0.73682008951602784</v>
      </c>
      <c r="S39" s="3">
        <v>0.73328416912487704</v>
      </c>
      <c r="T39" s="3">
        <v>0.72547307132459971</v>
      </c>
      <c r="U39" s="3">
        <v>0.74032683183974701</v>
      </c>
      <c r="V39" s="3">
        <v>0.7616784068640432</v>
      </c>
      <c r="W39" s="3">
        <v>0.76490152263160627</v>
      </c>
      <c r="X39" s="3">
        <v>0.79318609827084408</v>
      </c>
      <c r="Y39" s="3">
        <v>0.7793891397008752</v>
      </c>
      <c r="Z39" s="3">
        <v>0.77703928974346392</v>
      </c>
      <c r="AA39" s="3">
        <v>0.80163197787818186</v>
      </c>
      <c r="AB39" s="3">
        <v>0.80405375372260823</v>
      </c>
      <c r="AC39" s="3">
        <v>0.79643671076583489</v>
      </c>
      <c r="AD39" s="3">
        <v>0.80165265948446052</v>
      </c>
      <c r="AE39" s="3">
        <v>0.80626820135903476</v>
      </c>
      <c r="AF39" s="3">
        <v>0.75163594286170299</v>
      </c>
      <c r="AG39" s="3">
        <v>0.76467084888430081</v>
      </c>
      <c r="AH39" s="3">
        <v>0.71454055628367552</v>
      </c>
      <c r="AI39" s="3">
        <v>0.73463625696685242</v>
      </c>
      <c r="AJ39" s="3">
        <v>0.65305597412620819</v>
      </c>
      <c r="AK39" s="3">
        <v>0.73351087261223014</v>
      </c>
      <c r="AL39" s="3">
        <v>0.75672531043752134</v>
      </c>
      <c r="AM39" s="3">
        <v>0.78132494911018402</v>
      </c>
      <c r="AN39" s="3">
        <v>0.79654164832085816</v>
      </c>
      <c r="AO39" s="3">
        <v>0.8161078951599936</v>
      </c>
      <c r="AP39" s="3">
        <v>0.81156262765771203</v>
      </c>
      <c r="AQ39" s="3">
        <v>0.44298042126751414</v>
      </c>
      <c r="AR39" s="3">
        <v>0.46742824773413899</v>
      </c>
      <c r="AS39" s="3">
        <v>0.52042450941129359</v>
      </c>
      <c r="AT39" s="3">
        <v>0.46296999620205087</v>
      </c>
      <c r="AU39" s="3">
        <v>0.4712536225109844</v>
      </c>
      <c r="AV39" s="3">
        <v>0.49690210656753409</v>
      </c>
      <c r="AW39" s="3">
        <v>0.49291399728208113</v>
      </c>
      <c r="AX39" s="3">
        <v>0.22691364750749116</v>
      </c>
      <c r="AY39" s="3">
        <v>0.24740783410138248</v>
      </c>
      <c r="AZ39" s="3">
        <v>0.25856515373352856</v>
      </c>
      <c r="BA39" s="3">
        <v>0.28196311347296033</v>
      </c>
      <c r="BB39" s="3">
        <v>0.19545903257650543</v>
      </c>
      <c r="BC39" s="3">
        <v>0.20159059474412172</v>
      </c>
      <c r="BD39" s="3">
        <v>0.21034241788958771</v>
      </c>
      <c r="BE39" s="3">
        <v>0.22872928176795579</v>
      </c>
      <c r="BF39" s="3">
        <v>0.24435082343929529</v>
      </c>
      <c r="BG39" s="3">
        <v>0.26882160392798693</v>
      </c>
      <c r="BH39" s="3">
        <v>0.27636958299264103</v>
      </c>
      <c r="BI39" s="3">
        <v>0.30620325560932687</v>
      </c>
      <c r="BJ39" s="3">
        <v>0.32843362425355993</v>
      </c>
      <c r="BK39" s="3">
        <v>0.37138508371385082</v>
      </c>
      <c r="BL39" s="3">
        <v>0.34538711172925357</v>
      </c>
      <c r="BM39" s="3">
        <v>0.3984375</v>
      </c>
      <c r="BN39" s="3">
        <v>0.43658810325476993</v>
      </c>
      <c r="BO39" s="3">
        <v>0.4889705882352941</v>
      </c>
      <c r="BP39" s="3">
        <v>0.4152284263959391</v>
      </c>
      <c r="BQ39" s="3">
        <v>0.47098591549295776</v>
      </c>
      <c r="BR39" s="3">
        <v>0.47423822714681441</v>
      </c>
      <c r="BS39" s="3">
        <v>0</v>
      </c>
      <c r="BT39" s="3">
        <v>0.4756814537680385</v>
      </c>
      <c r="BU39" s="3">
        <v>0</v>
      </c>
    </row>
    <row r="40" spans="1:73" x14ac:dyDescent="0.2">
      <c r="A40" s="2" t="s">
        <v>125</v>
      </c>
      <c r="B40" s="2">
        <v>2.2014676450967312E-2</v>
      </c>
      <c r="C40" s="2">
        <v>3.026634382566586E-2</v>
      </c>
      <c r="D40" s="2">
        <v>3.0767233545371933E-2</v>
      </c>
      <c r="E40" s="2">
        <v>1.9815796818308681E-2</v>
      </c>
      <c r="F40" s="2">
        <v>2.1967963386727688E-2</v>
      </c>
      <c r="G40" s="2">
        <v>1.6358580075249467E-2</v>
      </c>
      <c r="H40" s="2">
        <v>2.1770164168451105E-2</v>
      </c>
      <c r="I40" s="2">
        <v>3.465645778762845E-2</v>
      </c>
      <c r="J40" s="2">
        <v>2.8820960698689956E-2</v>
      </c>
      <c r="K40" s="2">
        <v>2.5337487019730012E-2</v>
      </c>
      <c r="L40" s="2">
        <v>2.1748135874067938E-2</v>
      </c>
      <c r="M40" s="2">
        <v>2.5852934943844035E-2</v>
      </c>
      <c r="N40" s="2">
        <v>2.7099067081297203E-2</v>
      </c>
      <c r="O40" s="2">
        <v>2.5520317145688802E-2</v>
      </c>
      <c r="P40" s="2">
        <v>2.6620117826751038E-2</v>
      </c>
      <c r="Q40" s="2">
        <v>2.6220614828209764E-2</v>
      </c>
      <c r="R40" s="2">
        <v>2.0032995522036294E-2</v>
      </c>
      <c r="S40" s="2">
        <v>2.8973034997131383E-2</v>
      </c>
      <c r="T40" s="2">
        <v>2.4851736797514828E-2</v>
      </c>
      <c r="U40" s="2">
        <v>3.247670149675233E-2</v>
      </c>
      <c r="V40" s="2">
        <v>3.5304006724572706E-2</v>
      </c>
      <c r="W40" s="2">
        <v>3.6620623193061357E-2</v>
      </c>
      <c r="X40" s="2">
        <v>3.046594982078853E-2</v>
      </c>
      <c r="Y40" s="2">
        <v>3.3039647577092511E-2</v>
      </c>
      <c r="Z40" s="2">
        <v>4.6062869592281355E-2</v>
      </c>
      <c r="AA40" s="2">
        <v>4.6511627906976744E-2</v>
      </c>
      <c r="AB40" s="2">
        <v>3.8725292456635738E-2</v>
      </c>
      <c r="AC40" s="2">
        <v>4.6300124018189337E-2</v>
      </c>
      <c r="AD40" s="2">
        <v>4.6869141357330335E-2</v>
      </c>
      <c r="AE40" s="2">
        <v>4.6435272045028141E-2</v>
      </c>
      <c r="AF40" s="2">
        <v>4.0227703984819736E-2</v>
      </c>
      <c r="AG40" s="2">
        <v>5.3404539385847799E-2</v>
      </c>
      <c r="AH40" s="2">
        <v>8.171206225680934E-2</v>
      </c>
      <c r="AI40" s="2">
        <v>0.13056379821958458</v>
      </c>
      <c r="AJ40" s="2">
        <v>0.11893823379275141</v>
      </c>
      <c r="AK40" s="2">
        <v>0.1539855072463768</v>
      </c>
      <c r="AL40" s="2">
        <v>0.16171825647504737</v>
      </c>
      <c r="AM40" s="2">
        <v>0.24020694752402069</v>
      </c>
      <c r="AN40" s="2">
        <v>0.14275147928994084</v>
      </c>
      <c r="AO40" s="2">
        <v>0.24091381100726894</v>
      </c>
      <c r="AP40" s="2">
        <v>0.25401929260450162</v>
      </c>
      <c r="AQ40" s="2">
        <v>0.29535864978902954</v>
      </c>
      <c r="AR40" s="2">
        <v>0.18213058419243985</v>
      </c>
      <c r="AS40" s="2">
        <v>0.25</v>
      </c>
      <c r="AT40" s="2">
        <v>0.2669683257918552</v>
      </c>
      <c r="AU40" s="2">
        <v>0.33679833679833682</v>
      </c>
      <c r="AV40" s="2">
        <v>0.49606299212598426</v>
      </c>
      <c r="AW40" s="2">
        <v>0.30254777070063693</v>
      </c>
      <c r="AX40" s="2">
        <v>0.2908366533864542</v>
      </c>
      <c r="AY40" s="2">
        <v>0.22707423580786026</v>
      </c>
      <c r="AZ40" s="2">
        <v>0.27272727272727271</v>
      </c>
      <c r="BA40" s="2">
        <v>0.47445255474452552</v>
      </c>
      <c r="BB40" s="2">
        <v>0.25</v>
      </c>
      <c r="BC40" s="2">
        <v>0.36216216216216218</v>
      </c>
      <c r="BD40" s="2">
        <v>0.33953488372093021</v>
      </c>
      <c r="BE40" s="2">
        <v>0.5078125</v>
      </c>
      <c r="BF40" s="2">
        <v>0.26540284360189575</v>
      </c>
      <c r="BG40" s="2">
        <v>0.33812949640287771</v>
      </c>
      <c r="BH40" s="2">
        <v>0.18974358974358974</v>
      </c>
      <c r="BI40" s="2">
        <v>0.11267605633802817</v>
      </c>
      <c r="BJ40" s="2">
        <v>7.5098814229249009E-2</v>
      </c>
      <c r="BK40" s="2">
        <v>0.47761194029850745</v>
      </c>
      <c r="BL40" s="2">
        <v>0.13824884792626729</v>
      </c>
      <c r="BM40" s="2">
        <v>0.16058394160583941</v>
      </c>
      <c r="BN40" s="2">
        <v>0.15652173913043479</v>
      </c>
      <c r="BO40" s="2">
        <v>0.21951219512195122</v>
      </c>
      <c r="BP40" s="2">
        <v>0.45652173913043476</v>
      </c>
      <c r="BQ40" s="2">
        <v>0.38709677419354838</v>
      </c>
      <c r="BR40" s="2">
        <v>0.19696969696969696</v>
      </c>
      <c r="BS40" s="2">
        <v>-3</v>
      </c>
      <c r="BT40" s="2">
        <v>0.15789473684210525</v>
      </c>
      <c r="BU40" s="2">
        <v>0.31666666666666665</v>
      </c>
    </row>
    <row r="41" spans="1:73" x14ac:dyDescent="0.2">
      <c r="A41" s="2" t="s">
        <v>124</v>
      </c>
      <c r="B41" s="2">
        <v>1.0411502231036193E-2</v>
      </c>
      <c r="C41" s="2">
        <v>1.2945989332504791E-2</v>
      </c>
      <c r="D41" s="2">
        <v>1.3155703580349709E-2</v>
      </c>
      <c r="E41" s="2">
        <v>8.9017051153460376E-3</v>
      </c>
      <c r="F41" s="2">
        <v>9.59744068248467E-3</v>
      </c>
      <c r="G41" s="2">
        <v>6.7042102440332532E-3</v>
      </c>
      <c r="H41" s="2">
        <v>8.6808026184716103E-3</v>
      </c>
      <c r="I41" s="2">
        <v>1.3157894736842105E-2</v>
      </c>
      <c r="J41" s="2">
        <v>1.0570993833586931E-2</v>
      </c>
      <c r="K41" s="2">
        <v>1.019981606889056E-2</v>
      </c>
      <c r="L41" s="2">
        <v>1.1296395911780527E-2</v>
      </c>
      <c r="M41" s="2">
        <v>1.3744930148715638E-2</v>
      </c>
      <c r="N41" s="2">
        <v>1.3969998854918127E-2</v>
      </c>
      <c r="O41" s="2">
        <v>1.155356141334829E-2</v>
      </c>
      <c r="P41" s="2">
        <v>1.366181410974244E-2</v>
      </c>
      <c r="Q41" s="2">
        <v>1.3705103969754254E-2</v>
      </c>
      <c r="R41" s="2">
        <v>1.0489941996791312E-2</v>
      </c>
      <c r="S41" s="2">
        <v>1.310667012717363E-2</v>
      </c>
      <c r="T41" s="2">
        <v>1.1880653435938977E-2</v>
      </c>
      <c r="U41" s="2">
        <v>1.6966656830923577E-2</v>
      </c>
      <c r="V41" s="2">
        <v>1.9062027231467472E-2</v>
      </c>
      <c r="W41" s="2">
        <v>1.7129977460555973E-2</v>
      </c>
      <c r="X41" s="2">
        <v>1.5772382866862531E-2</v>
      </c>
      <c r="Y41" s="2">
        <v>1.8038137777014258E-2</v>
      </c>
      <c r="Z41" s="2">
        <v>2.5774991292232673E-2</v>
      </c>
      <c r="AA41" s="2">
        <v>1.8436326391259816E-2</v>
      </c>
      <c r="AB41" s="2">
        <v>1.662049861495845E-2</v>
      </c>
      <c r="AC41" s="2">
        <v>2.0308250226654577E-2</v>
      </c>
      <c r="AD41" s="2">
        <v>2.2657241254304877E-2</v>
      </c>
      <c r="AE41" s="2">
        <v>1.7101399205389532E-2</v>
      </c>
      <c r="AF41" s="2">
        <v>1.9470977222630418E-2</v>
      </c>
      <c r="AG41" s="2">
        <v>2.3701362828362632E-2</v>
      </c>
      <c r="AH41" s="2">
        <v>3.7694455524531309E-2</v>
      </c>
      <c r="AI41" s="2">
        <v>4.1299042613103062E-2</v>
      </c>
      <c r="AJ41" s="2">
        <v>4.8100743187448392E-2</v>
      </c>
      <c r="AK41" s="2">
        <v>5.713645529912615E-2</v>
      </c>
      <c r="AL41" s="2">
        <v>6.109785202863962E-2</v>
      </c>
      <c r="AM41" s="2">
        <v>7.8521381976322788E-2</v>
      </c>
      <c r="AN41" s="2">
        <v>4.6663442940038685E-2</v>
      </c>
      <c r="AO41" s="2">
        <v>6.118143459915612E-2</v>
      </c>
      <c r="AP41" s="2">
        <v>4.4620163795537987E-2</v>
      </c>
      <c r="AQ41" s="2">
        <v>7.9051383399209488E-2</v>
      </c>
      <c r="AR41" s="2">
        <v>5.7608695652173914E-2</v>
      </c>
      <c r="AS41" s="2">
        <v>8.5302593659942361E-2</v>
      </c>
      <c r="AT41" s="2">
        <v>0.10966542750929369</v>
      </c>
      <c r="AU41" s="2">
        <v>9.9082568807339455E-2</v>
      </c>
      <c r="AV41" s="2">
        <v>0.11886792452830189</v>
      </c>
      <c r="AW41" s="2">
        <v>7.486209613869188E-2</v>
      </c>
      <c r="AX41" s="2">
        <v>0.10413694721825963</v>
      </c>
      <c r="AY41" s="2">
        <v>7.334273624823695E-2</v>
      </c>
      <c r="AZ41" s="2">
        <v>7.7235772357723581E-2</v>
      </c>
      <c r="BA41" s="2">
        <v>0.10093167701863354</v>
      </c>
      <c r="BB41" s="2">
        <v>8.3629893238434158E-2</v>
      </c>
      <c r="BC41" s="2">
        <v>0.11631944444444445</v>
      </c>
      <c r="BD41" s="2">
        <v>0.11812297734627832</v>
      </c>
      <c r="BE41" s="2">
        <v>0.10726072607260725</v>
      </c>
      <c r="BF41" s="2">
        <v>9.7053726169844021E-2</v>
      </c>
      <c r="BG41" s="2">
        <v>8.348134991119005E-2</v>
      </c>
      <c r="BH41" s="2">
        <v>5.93900481540931E-2</v>
      </c>
      <c r="BI41" s="2">
        <v>3.9800995024875621E-2</v>
      </c>
      <c r="BJ41" s="2">
        <v>3.3928571428571426E-2</v>
      </c>
      <c r="BK41" s="2">
        <v>5.8181818181818182E-2</v>
      </c>
      <c r="BL41" s="2">
        <v>5.2447552447552448E-2</v>
      </c>
      <c r="BM41" s="2">
        <v>0.04</v>
      </c>
      <c r="BN41" s="2">
        <v>3.4951456310679613E-2</v>
      </c>
      <c r="BO41" s="2">
        <v>1.9736842105263157E-2</v>
      </c>
      <c r="BP41" s="2">
        <v>4.9065420560747662E-2</v>
      </c>
      <c r="BQ41" s="2">
        <v>3.3057851239669422E-2</v>
      </c>
      <c r="BR41" s="2">
        <v>0.04</v>
      </c>
      <c r="BS41" s="2">
        <v>3.2608695652173912E-2</v>
      </c>
      <c r="BT41" s="2">
        <v>4.0268456375838924E-2</v>
      </c>
      <c r="BU41" s="2">
        <v>4.328018223234624E-2</v>
      </c>
    </row>
    <row r="42" spans="1:73" x14ac:dyDescent="0.2">
      <c r="A42" s="2" t="s">
        <v>123</v>
      </c>
      <c r="B42" s="2">
        <v>0.10669745958429561</v>
      </c>
      <c r="C42" s="2">
        <v>0.1161170459823502</v>
      </c>
      <c r="D42" s="2">
        <v>0.10613524406627856</v>
      </c>
      <c r="E42" s="2">
        <v>6.4486830154405081E-2</v>
      </c>
      <c r="F42" s="2">
        <v>6.6481994459833799E-2</v>
      </c>
      <c r="G42" s="2">
        <v>4.5998160073597055E-2</v>
      </c>
      <c r="H42" s="2">
        <v>4.6725392569896593E-2</v>
      </c>
      <c r="I42" s="2">
        <v>6.8145800316957217E-2</v>
      </c>
      <c r="J42" s="2">
        <v>5.2173913043478258E-2</v>
      </c>
      <c r="K42" s="2">
        <v>5.202558635394456E-2</v>
      </c>
      <c r="L42" s="2">
        <v>0.11266094420600858</v>
      </c>
      <c r="M42" s="2">
        <v>0.13090128755364808</v>
      </c>
      <c r="N42" s="2">
        <v>0.12992545260915869</v>
      </c>
      <c r="O42" s="2">
        <v>9.9806201550387594E-2</v>
      </c>
      <c r="P42" s="2">
        <v>0.10032894736842106</v>
      </c>
      <c r="Q42" s="2">
        <v>9.5316351684470002E-2</v>
      </c>
      <c r="R42" s="2">
        <v>6.7246835443037972E-2</v>
      </c>
      <c r="S42" s="2">
        <v>7.847707847707848E-2</v>
      </c>
      <c r="T42" s="2">
        <v>5.8627581612258492E-2</v>
      </c>
      <c r="U42" s="2">
        <v>7.651363938789088E-2</v>
      </c>
      <c r="V42" s="2">
        <v>8.3776595744680854E-2</v>
      </c>
      <c r="W42" s="2">
        <v>7.4363992172211346E-2</v>
      </c>
      <c r="X42" s="2">
        <v>5.9027777777777776E-2</v>
      </c>
      <c r="Y42" s="2">
        <v>6.1082024432809773E-2</v>
      </c>
      <c r="Z42" s="2">
        <v>8.5549132947976878E-2</v>
      </c>
      <c r="AA42" s="2">
        <v>6.25E-2</v>
      </c>
      <c r="AB42" s="2">
        <v>6.6115702479338845E-2</v>
      </c>
      <c r="AC42" s="2">
        <v>7.7241379310344832E-2</v>
      </c>
      <c r="AD42" s="2">
        <v>8.6385625431928126E-2</v>
      </c>
      <c r="AE42" s="2">
        <v>6.7854694996572998E-2</v>
      </c>
      <c r="AF42" s="2">
        <v>0.10950413223140495</v>
      </c>
      <c r="AG42" s="2">
        <v>0.12435233160621761</v>
      </c>
      <c r="AH42" s="2">
        <v>0.19605809128630705</v>
      </c>
      <c r="AI42" s="2">
        <v>0.1858108108108108</v>
      </c>
      <c r="AJ42" s="2">
        <v>0.19114027891714519</v>
      </c>
      <c r="AK42" s="2">
        <v>0.21056977704376548</v>
      </c>
      <c r="AL42" s="2">
        <v>0.2145850796311819</v>
      </c>
      <c r="AM42" s="2">
        <v>0.29174147217235191</v>
      </c>
      <c r="AN42" s="2">
        <v>0.27571428571428569</v>
      </c>
      <c r="AO42" s="2">
        <v>0.21928166351606806</v>
      </c>
      <c r="AP42" s="2">
        <v>0.15192307692307691</v>
      </c>
      <c r="AQ42" s="2">
        <v>0.57377049180327866</v>
      </c>
      <c r="AR42" s="2">
        <v>0.42399999999999999</v>
      </c>
      <c r="AS42" s="2">
        <v>0.578125</v>
      </c>
      <c r="AT42" s="2">
        <v>0.76956521739130435</v>
      </c>
      <c r="AU42" s="2">
        <v>0.7168141592920354</v>
      </c>
      <c r="AV42" s="2">
        <v>0.75600000000000001</v>
      </c>
      <c r="AW42" s="2">
        <v>0.36964980544747084</v>
      </c>
      <c r="AX42" s="2">
        <v>1.1967213114754098</v>
      </c>
      <c r="AY42" s="2">
        <v>0.91228070175438591</v>
      </c>
      <c r="AZ42" s="2">
        <v>0.98275862068965514</v>
      </c>
      <c r="BA42" s="2">
        <v>1.4130434782608696</v>
      </c>
      <c r="BB42" s="2">
        <v>1.1190476190476191</v>
      </c>
      <c r="BC42" s="2">
        <v>1.6341463414634145</v>
      </c>
      <c r="BD42" s="2">
        <v>1.825</v>
      </c>
      <c r="BE42" s="2">
        <v>1.625</v>
      </c>
      <c r="BF42" s="2">
        <v>1.4736842105263157</v>
      </c>
      <c r="BG42" s="2">
        <v>1.2702702702702702</v>
      </c>
      <c r="BH42" s="2">
        <v>0.94871794871794868</v>
      </c>
      <c r="BI42" s="2">
        <v>0.61538461538461542</v>
      </c>
      <c r="BJ42" s="2">
        <v>0.5</v>
      </c>
      <c r="BK42" s="2">
        <v>0.78048780487804881</v>
      </c>
      <c r="BL42" s="2">
        <v>0.75</v>
      </c>
      <c r="BM42" s="2">
        <v>0.55000000000000004</v>
      </c>
      <c r="BN42" s="2">
        <v>0.45</v>
      </c>
      <c r="BO42" s="2">
        <v>0.23076923076923078</v>
      </c>
      <c r="BP42" s="2">
        <v>0.52500000000000002</v>
      </c>
      <c r="BQ42" s="2">
        <v>0.3</v>
      </c>
      <c r="BR42" s="2">
        <v>0.33333333333333331</v>
      </c>
      <c r="BS42" s="2">
        <v>0.29268292682926828</v>
      </c>
      <c r="BT42" s="2">
        <v>0.42857142857142855</v>
      </c>
      <c r="BU42" s="2">
        <v>0.47499999999999998</v>
      </c>
    </row>
    <row r="43" spans="1:73" x14ac:dyDescent="0.2">
      <c r="A43" s="3" t="s">
        <v>122</v>
      </c>
      <c r="B43" s="3">
        <v>0</v>
      </c>
      <c r="C43" s="3">
        <v>0.1126818911501217</v>
      </c>
      <c r="D43" s="3">
        <v>0.12184290868720511</v>
      </c>
      <c r="E43" s="3">
        <v>0.14556168505516551</v>
      </c>
      <c r="F43" s="3">
        <v>0.11803519061583578</v>
      </c>
      <c r="G43" s="3">
        <v>8.5813891123625641E-2</v>
      </c>
      <c r="H43" s="3">
        <v>9.3496513448128649E-2</v>
      </c>
      <c r="I43" s="3">
        <v>0.10618115055079559</v>
      </c>
      <c r="J43" s="3">
        <v>0.11668134860254664</v>
      </c>
      <c r="K43" s="3">
        <v>0.13226318869659728</v>
      </c>
      <c r="L43" s="3">
        <v>6.8639053254437865E-2</v>
      </c>
      <c r="M43" s="3">
        <v>7.0865254619197834E-2</v>
      </c>
      <c r="N43" s="3">
        <v>5.874270010305737E-2</v>
      </c>
      <c r="O43" s="3">
        <v>4.3858665171060011E-2</v>
      </c>
      <c r="P43" s="3">
        <v>4.3337066069428894E-2</v>
      </c>
      <c r="Q43" s="3">
        <v>4.4068998109640829E-2</v>
      </c>
      <c r="R43" s="3">
        <v>4.7636677773664073E-2</v>
      </c>
      <c r="S43" s="3">
        <v>5.0220607318972231E-2</v>
      </c>
      <c r="T43" s="3">
        <v>5.5893074119076548E-2</v>
      </c>
      <c r="U43" s="3">
        <v>6.2112717615815875E-2</v>
      </c>
      <c r="V43" s="3">
        <v>6.4296520423600609E-2</v>
      </c>
      <c r="W43" s="3">
        <v>6.6716754320060107E-2</v>
      </c>
      <c r="X43" s="3">
        <v>6.9429410855110563E-2</v>
      </c>
      <c r="Y43" s="3">
        <v>7.9883181583920285E-2</v>
      </c>
      <c r="Z43" s="3">
        <v>9.0038314176245207E-2</v>
      </c>
      <c r="AA43" s="3">
        <v>9.3035165585524063E-2</v>
      </c>
      <c r="AB43" s="3">
        <v>9.4182825484764546E-2</v>
      </c>
      <c r="AC43" s="3">
        <v>0.11459655485040798</v>
      </c>
      <c r="AD43" s="3">
        <v>9.8604313938734825E-2</v>
      </c>
      <c r="AE43" s="3">
        <v>8.0324753843496285E-2</v>
      </c>
      <c r="AF43" s="3">
        <v>5.822924320352682E-2</v>
      </c>
      <c r="AG43" s="3">
        <v>6.2216077424451906E-2</v>
      </c>
      <c r="AH43" s="3">
        <v>5.9034702832070206E-2</v>
      </c>
      <c r="AI43" s="3">
        <v>5.6129153369626435E-2</v>
      </c>
      <c r="AJ43" s="3">
        <v>5.2023121387283239E-2</v>
      </c>
      <c r="AK43" s="3">
        <v>5.6240197176786917E-2</v>
      </c>
      <c r="AL43" s="3">
        <v>5.1551312649164675E-2</v>
      </c>
      <c r="AM43" s="3">
        <v>4.8804058951437544E-2</v>
      </c>
      <c r="AN43" s="3">
        <v>4.956479690522244E-2</v>
      </c>
      <c r="AO43" s="3">
        <v>5.7753164556962028E-2</v>
      </c>
      <c r="AP43" s="3">
        <v>5.591640779440836E-2</v>
      </c>
      <c r="AQ43" s="3">
        <v>3.2185206098249576E-2</v>
      </c>
      <c r="AR43" s="3">
        <v>3.4239130434782605E-2</v>
      </c>
      <c r="AS43" s="3">
        <v>3.6311239193083572E-2</v>
      </c>
      <c r="AT43" s="3">
        <v>3.5315985130111527E-2</v>
      </c>
      <c r="AU43" s="3">
        <v>2.9969418960244649E-2</v>
      </c>
      <c r="AV43" s="3">
        <v>3.3962264150943396E-2</v>
      </c>
      <c r="AW43" s="3">
        <v>4.3341213553979512E-2</v>
      </c>
      <c r="AX43" s="3">
        <v>4.2796005706134094E-2</v>
      </c>
      <c r="AY43" s="3">
        <v>3.3850493653032443E-2</v>
      </c>
      <c r="AZ43" s="3">
        <v>2.9810298102981029E-2</v>
      </c>
      <c r="BA43" s="3">
        <v>3.1055900621118012E-2</v>
      </c>
      <c r="BB43" s="3">
        <v>3.2028469750889681E-2</v>
      </c>
      <c r="BC43" s="3">
        <v>2.9513888888888888E-2</v>
      </c>
      <c r="BD43" s="3">
        <v>2.2653721682847898E-2</v>
      </c>
      <c r="BE43" s="3">
        <v>2.4752475247524754E-2</v>
      </c>
      <c r="BF43" s="3">
        <v>2.2530329289428077E-2</v>
      </c>
      <c r="BG43" s="3">
        <v>1.9538188277087035E-2</v>
      </c>
      <c r="BH43" s="3">
        <v>1.7656500802568219E-2</v>
      </c>
      <c r="BI43" s="3">
        <v>1.824212271973466E-2</v>
      </c>
      <c r="BJ43" s="3">
        <v>1.607142857142857E-2</v>
      </c>
      <c r="BK43" s="3">
        <v>1.2727272727272728E-2</v>
      </c>
      <c r="BL43" s="3">
        <v>1.2237762237762238E-2</v>
      </c>
      <c r="BM43" s="3">
        <v>1.2727272727272728E-2</v>
      </c>
      <c r="BN43" s="3">
        <v>1.1650485436893204E-2</v>
      </c>
      <c r="BO43" s="3">
        <v>1.0964912280701754E-2</v>
      </c>
      <c r="BP43" s="3">
        <v>1.1682242990654205E-2</v>
      </c>
      <c r="BQ43" s="3">
        <v>8.2644628099173556E-3</v>
      </c>
      <c r="BR43" s="3">
        <v>1.2307692307692308E-2</v>
      </c>
      <c r="BS43" s="3">
        <v>0</v>
      </c>
      <c r="BT43" s="3">
        <v>6.7114093959731542E-3</v>
      </c>
      <c r="BU43" s="3">
        <v>6.8337129840546698E-3</v>
      </c>
    </row>
    <row r="44" spans="1:73" x14ac:dyDescent="0.2">
      <c r="A44" s="2" t="s">
        <v>121</v>
      </c>
      <c r="B44" s="2">
        <v>28.551200848133071</v>
      </c>
      <c r="C44" s="2">
        <v>24.240005112481075</v>
      </c>
      <c r="D44" s="2">
        <v>26.377840946412363</v>
      </c>
      <c r="E44" s="2">
        <v>17.526116402957712</v>
      </c>
      <c r="F44" s="2">
        <v>18.731287232008277</v>
      </c>
      <c r="G44" s="2">
        <v>19.799257620764248</v>
      </c>
      <c r="H44" s="2">
        <v>17.342224921503036</v>
      </c>
      <c r="I44" s="2"/>
      <c r="J44" s="2">
        <v>12.42615151264431</v>
      </c>
      <c r="K44" s="2">
        <v>10.127190942109593</v>
      </c>
      <c r="L44" s="2">
        <v>10.559811780704464</v>
      </c>
      <c r="M44" s="2">
        <v>9.8081069755254688</v>
      </c>
      <c r="N44" s="2">
        <v>10.004044058168775</v>
      </c>
      <c r="O44" s="2">
        <v>10.643563657632775</v>
      </c>
      <c r="P44" s="2">
        <v>10.079835491812888</v>
      </c>
      <c r="Q44" s="2">
        <v>9.3649491219024377</v>
      </c>
      <c r="R44" s="2">
        <v>8.5506703091842517</v>
      </c>
      <c r="S44" s="2">
        <v>8.6801162132616732</v>
      </c>
      <c r="T44" s="2">
        <v>8.096526803889363</v>
      </c>
      <c r="U44" s="2">
        <v>7.7835866417380615</v>
      </c>
      <c r="V44" s="2">
        <v>6.9200382852528035</v>
      </c>
      <c r="W44" s="2">
        <v>6.6854552969683594</v>
      </c>
      <c r="X44" s="2">
        <v>6.5720552968879904</v>
      </c>
      <c r="Y44" s="2">
        <v>4.7413102259652664</v>
      </c>
      <c r="Z44" s="2">
        <v>4.345453439056735</v>
      </c>
      <c r="AA44" s="2">
        <v>3.652564249998024</v>
      </c>
      <c r="AB44" s="2">
        <v>5.4947979637262652</v>
      </c>
      <c r="AC44" s="2">
        <v>4.6731609109276055</v>
      </c>
      <c r="AD44" s="2">
        <v>4.676729066122344</v>
      </c>
      <c r="AE44" s="2">
        <v>3.9122432635176647</v>
      </c>
      <c r="AF44" s="2">
        <v>6.2767829733872622</v>
      </c>
      <c r="AG44" s="2">
        <v>6.3208486056642288</v>
      </c>
      <c r="AH44" s="2">
        <v>12.302490032303076</v>
      </c>
      <c r="AI44" s="2">
        <v>14.696356946384311</v>
      </c>
      <c r="AJ44" s="2">
        <v>3.819217732952064</v>
      </c>
      <c r="AK44" s="2">
        <v>3.5968631631877992</v>
      </c>
      <c r="AL44" s="2">
        <v>3.4410664942621692</v>
      </c>
      <c r="AM44" s="2">
        <v>2.5355427521307674</v>
      </c>
      <c r="AN44" s="2"/>
      <c r="AO44" s="2"/>
      <c r="AP44" s="2"/>
      <c r="AQ44" s="2">
        <v>2.3793566948829223</v>
      </c>
      <c r="AR44" s="2">
        <v>2.4440248208931465</v>
      </c>
      <c r="AS44" s="2">
        <v>1.8143606566450978</v>
      </c>
      <c r="AT44" s="2">
        <v>2.173037740872398</v>
      </c>
      <c r="AU44" s="2">
        <v>2.0991248794475212</v>
      </c>
      <c r="AV44" s="2">
        <v>1.2356569067487877</v>
      </c>
      <c r="AW44" s="2"/>
      <c r="AX44" s="2">
        <v>1.3340648009718912</v>
      </c>
      <c r="AY44" s="2">
        <v>1.2062160578064074</v>
      </c>
      <c r="AZ44" s="2">
        <v>1.3475719580423069</v>
      </c>
      <c r="BA44" s="2">
        <v>1.1899992184696495</v>
      </c>
      <c r="BB44" s="2">
        <v>1.0473668152500779</v>
      </c>
      <c r="BC44" s="2">
        <v>1.0817801828786691</v>
      </c>
      <c r="BD44" s="2">
        <v>1.1958388218338114</v>
      </c>
      <c r="BE44" s="2">
        <v>1.1154036777918059</v>
      </c>
      <c r="BF44" s="2">
        <v>1.0475705664259718</v>
      </c>
      <c r="BG44" s="2">
        <v>0.97767669934722323</v>
      </c>
      <c r="BH44" s="2">
        <v>1.0760959563573453</v>
      </c>
      <c r="BI44" s="2">
        <v>1.0005947071593178</v>
      </c>
      <c r="BJ44" s="2">
        <v>0.95200636462370791</v>
      </c>
      <c r="BK44" s="2">
        <v>0.86696243545503771</v>
      </c>
      <c r="BL44" s="2">
        <v>0.97379169662936016</v>
      </c>
      <c r="BM44" s="2">
        <v>0.80363897031872478</v>
      </c>
      <c r="BN44" s="2">
        <v>0.65497719613949135</v>
      </c>
      <c r="BO44" s="2">
        <v>0.40849413589853095</v>
      </c>
      <c r="BP44" s="2"/>
      <c r="BQ44" s="2">
        <v>8.6708416741528932E-2</v>
      </c>
      <c r="BR44" s="2"/>
      <c r="BS44" s="2">
        <v>0</v>
      </c>
      <c r="BT44" s="2">
        <v>0.26264010273638122</v>
      </c>
      <c r="BU44" s="2">
        <v>0</v>
      </c>
    </row>
    <row r="45" spans="1:73" x14ac:dyDescent="0.2">
      <c r="A45" s="3" t="s">
        <v>120</v>
      </c>
      <c r="B45" s="3">
        <v>6.1453722373472928E-2</v>
      </c>
      <c r="C45" s="3">
        <v>5.012896940018232E-2</v>
      </c>
      <c r="D45" s="3">
        <v>4.821164836576125E-2</v>
      </c>
      <c r="E45" s="3">
        <v>3.067921019013543E-2</v>
      </c>
      <c r="F45" s="3">
        <v>3.8053558863604252E-2</v>
      </c>
      <c r="G45" s="3">
        <v>4.1705251797123269E-2</v>
      </c>
      <c r="H45" s="3">
        <v>3.0801696190228933E-2</v>
      </c>
      <c r="I45" s="3">
        <v>-1.2722270263246833E-2</v>
      </c>
      <c r="J45" s="3">
        <v>1.882324559732856E-2</v>
      </c>
      <c r="K45" s="3">
        <v>1.2359622328111728E-2</v>
      </c>
      <c r="L45" s="3">
        <v>5.6112772456071089E-2</v>
      </c>
      <c r="M45" s="3">
        <v>5.4480396807729203E-2</v>
      </c>
      <c r="N45" s="3">
        <v>5.7485246542454661E-2</v>
      </c>
      <c r="O45" s="3">
        <v>6.0540470926915689E-2</v>
      </c>
      <c r="P45" s="3">
        <v>5.5442304900390413E-2</v>
      </c>
      <c r="Q45" s="3">
        <v>5.3019878601749018E-2</v>
      </c>
      <c r="R45" s="3">
        <v>4.8660602690668471E-2</v>
      </c>
      <c r="S45" s="3">
        <v>4.2785868642922435E-2</v>
      </c>
      <c r="T45" s="3">
        <v>3.3975612652962957E-2</v>
      </c>
      <c r="U45" s="3">
        <v>3.0510031284980338E-2</v>
      </c>
      <c r="V45" s="3">
        <v>2.8472162154369575E-2</v>
      </c>
      <c r="W45" s="3">
        <v>2.5709652907812967E-2</v>
      </c>
      <c r="X45" s="3">
        <v>2.1679523789228432E-2</v>
      </c>
      <c r="Y45" s="3">
        <v>1.3710927936015669E-2</v>
      </c>
      <c r="Z45" s="3">
        <v>1.0110075759575536E-2</v>
      </c>
      <c r="AA45" s="3">
        <v>9.4471936277752792E-3</v>
      </c>
      <c r="AB45" s="3">
        <v>1.6629589309098941E-2</v>
      </c>
      <c r="AC45" s="3">
        <v>1.3303189689643505E-2</v>
      </c>
      <c r="AD45" s="3">
        <v>1.4708112206216831E-2</v>
      </c>
      <c r="AE45" s="3">
        <v>8.2469018395791849E-3</v>
      </c>
      <c r="AF45" s="3">
        <v>2.7107198449157086E-2</v>
      </c>
      <c r="AG45" s="3">
        <v>2.699962491887645E-2</v>
      </c>
      <c r="AH45" s="3">
        <v>2.2690774433675301E-2</v>
      </c>
      <c r="AI45" s="3">
        <v>1.7896794518988061E-2</v>
      </c>
      <c r="AJ45" s="3">
        <v>1.2514358063038045E-2</v>
      </c>
      <c r="AK45" s="3">
        <v>1.2611751145730283E-2</v>
      </c>
      <c r="AL45" s="3">
        <v>9.9169403937485624E-3</v>
      </c>
      <c r="AM45" s="3">
        <v>1.0254736059344707E-2</v>
      </c>
      <c r="AN45" s="3">
        <v>-2.0753107537097644E-2</v>
      </c>
      <c r="AO45" s="3">
        <v>-4.0216466670286513E-3</v>
      </c>
      <c r="AP45" s="3">
        <v>-1.8853295489015039E-2</v>
      </c>
      <c r="AQ45" s="3">
        <v>4.5628458602763981E-2</v>
      </c>
      <c r="AR45" s="3">
        <v>5.2327250003519815E-2</v>
      </c>
      <c r="AS45" s="3">
        <v>3.0086263564510451E-2</v>
      </c>
      <c r="AT45" s="3">
        <v>4.0249297848553432E-2</v>
      </c>
      <c r="AU45" s="3">
        <v>3.9012744811896156E-2</v>
      </c>
      <c r="AV45" s="3">
        <v>1.646829921290659E-2</v>
      </c>
      <c r="AW45" s="3">
        <v>-9.4755682416386867E-3</v>
      </c>
      <c r="AX45" s="3">
        <v>4.8845994068148664E-2</v>
      </c>
      <c r="AY45" s="3">
        <v>4.3100675458346734E-2</v>
      </c>
      <c r="AZ45" s="3">
        <v>5.4274789323235699E-2</v>
      </c>
      <c r="BA45" s="3">
        <v>4.8851930486750017E-2</v>
      </c>
      <c r="BB45" s="3">
        <v>4.1697416974169739E-2</v>
      </c>
      <c r="BC45" s="3">
        <v>4.7024416290471334E-2</v>
      </c>
      <c r="BD45" s="3">
        <v>6.4347053597867923E-2</v>
      </c>
      <c r="BE45" s="3">
        <v>6.0671159786576806E-2</v>
      </c>
      <c r="BF45" s="3">
        <v>5.8124366767983791E-2</v>
      </c>
      <c r="BG45" s="3">
        <v>5.9532400057728391E-2</v>
      </c>
      <c r="BH45" s="3">
        <v>7.3403241182078166E-2</v>
      </c>
      <c r="BI45" s="3">
        <v>7.3319755600814662E-2</v>
      </c>
      <c r="BJ45" s="3">
        <v>7.221741978749549E-2</v>
      </c>
      <c r="BK45" s="3">
        <v>8.1115591397849462E-2</v>
      </c>
      <c r="BL45" s="3">
        <v>7.9495614035087717E-2</v>
      </c>
      <c r="BM45" s="3">
        <v>7.9870514047686622E-2</v>
      </c>
      <c r="BN45" s="3">
        <v>6.5323897659226998E-2</v>
      </c>
      <c r="BO45" s="3">
        <v>5.0880626223091974E-2</v>
      </c>
      <c r="BP45" s="3">
        <v>2.7992535323913621E-3</v>
      </c>
      <c r="BQ45" s="3">
        <v>3.9318479685452159E-3</v>
      </c>
      <c r="BR45" s="3">
        <v>-6.7759562841530055E-3</v>
      </c>
      <c r="BS45" s="3">
        <v>0</v>
      </c>
      <c r="BT45" s="3">
        <v>2.7831715210355986E-2</v>
      </c>
      <c r="BU45" s="3">
        <v>0</v>
      </c>
    </row>
    <row r="46" spans="1:73" x14ac:dyDescent="0.2">
      <c r="A46" s="3" t="s">
        <v>119</v>
      </c>
      <c r="B46" s="3">
        <v>0.17558086904043452</v>
      </c>
      <c r="C46" s="3">
        <v>0.17581339712918662</v>
      </c>
      <c r="D46" s="3">
        <v>0.20766492759276414</v>
      </c>
      <c r="E46" s="3">
        <v>0.1236706894491576</v>
      </c>
      <c r="F46" s="3">
        <v>0.16312918911814955</v>
      </c>
      <c r="G46" s="3">
        <v>0.19038887351231665</v>
      </c>
      <c r="H46" s="3">
        <v>0.15903490382139837</v>
      </c>
      <c r="I46" s="3">
        <v>-6.929302634982816E-2</v>
      </c>
      <c r="J46" s="3">
        <v>6.6424477780213584E-2</v>
      </c>
      <c r="K46" s="3">
        <v>4.0031420888848604E-2</v>
      </c>
      <c r="L46" s="3">
        <v>0.13906317824868789</v>
      </c>
      <c r="M46" s="3">
        <v>0.14162593259583225</v>
      </c>
      <c r="N46" s="3">
        <v>0.15389716609929704</v>
      </c>
      <c r="O46" s="3">
        <v>0.16311535635562086</v>
      </c>
      <c r="P46" s="3">
        <v>0.14912981708399928</v>
      </c>
      <c r="Q46" s="3">
        <v>0.15728612361850183</v>
      </c>
      <c r="R46" s="3">
        <v>0.13721854304635761</v>
      </c>
      <c r="S46" s="3">
        <v>0.12657450076804916</v>
      </c>
      <c r="T46" s="3">
        <v>9.5873903403065647E-2</v>
      </c>
      <c r="U46" s="3">
        <v>9.5209094600081201E-2</v>
      </c>
      <c r="V46" s="3">
        <v>8.2949052725151393E-2</v>
      </c>
      <c r="W46" s="3">
        <v>7.6149425287356326E-2</v>
      </c>
      <c r="X46" s="3">
        <v>8.4309730005094244E-2</v>
      </c>
      <c r="Y46" s="3">
        <v>3.932776952097862E-2</v>
      </c>
      <c r="Z46" s="3">
        <v>3.0964690353096468E-2</v>
      </c>
      <c r="AA46" s="3">
        <v>2.3959176053270272E-2</v>
      </c>
      <c r="AB46" s="3">
        <v>6.4045368620037804E-2</v>
      </c>
      <c r="AC46" s="3">
        <v>5.0345021827911562E-2</v>
      </c>
      <c r="AD46" s="3">
        <v>4.912555097397981E-2</v>
      </c>
      <c r="AE46" s="3">
        <v>3.3715103793843952E-2</v>
      </c>
      <c r="AF46" s="3">
        <v>8.9565426941923043E-2</v>
      </c>
      <c r="AG46" s="3">
        <v>0.10089421292390754</v>
      </c>
      <c r="AH46" s="3">
        <v>0.23708710623644944</v>
      </c>
      <c r="AI46" s="3">
        <v>0.43042697250241813</v>
      </c>
      <c r="AJ46" s="3">
        <v>2.8177966101694915E-2</v>
      </c>
      <c r="AK46" s="3">
        <v>3.6140957246975733E-2</v>
      </c>
      <c r="AL46" s="3">
        <v>3.6282675022676673E-2</v>
      </c>
      <c r="AM46" s="3">
        <v>2.2027649769585253E-2</v>
      </c>
      <c r="AN46" s="3">
        <v>-6.2168011017115873E-2</v>
      </c>
      <c r="AO46" s="3">
        <v>-3.257186577768062E-2</v>
      </c>
      <c r="AP46" s="3">
        <v>-0.12243212552905956</v>
      </c>
      <c r="AQ46" s="3">
        <v>6.280193236714976E-2</v>
      </c>
      <c r="AR46" s="3">
        <v>7.6050345683389475E-2</v>
      </c>
      <c r="AS46" s="3">
        <v>5.0104384133611693E-2</v>
      </c>
      <c r="AT46" s="3">
        <v>6.0820367751060818E-2</v>
      </c>
      <c r="AU46" s="3">
        <v>6.2057991513437057E-2</v>
      </c>
      <c r="AV46" s="3">
        <v>2.5577870405456612E-2</v>
      </c>
      <c r="AW46" s="3">
        <v>-3.139356814701378E-2</v>
      </c>
      <c r="AX46" s="3">
        <v>5.5673009161381251E-2</v>
      </c>
      <c r="AY46" s="3">
        <v>5.128205128205128E-2</v>
      </c>
      <c r="AZ46" s="3">
        <v>6.7930489731437602E-2</v>
      </c>
      <c r="BA46" s="3">
        <v>6.181976491075316E-2</v>
      </c>
      <c r="BB46" s="3">
        <v>4.6216768916155421E-2</v>
      </c>
      <c r="BC46" s="3">
        <v>5.4135989605889993E-2</v>
      </c>
      <c r="BD46" s="3">
        <v>7.0353982300884951E-2</v>
      </c>
      <c r="BE46" s="3">
        <v>6.9245463228271256E-2</v>
      </c>
      <c r="BF46" s="3">
        <v>6.7916877850988336E-2</v>
      </c>
      <c r="BG46" s="3">
        <v>6.9949636261891435E-2</v>
      </c>
      <c r="BH46" s="3">
        <v>8.7005649717514122E-2</v>
      </c>
      <c r="BI46" s="3">
        <v>9.1312618896639192E-2</v>
      </c>
      <c r="BJ46" s="3">
        <v>9.2339261285909718E-2</v>
      </c>
      <c r="BK46" s="3">
        <v>9.6045197740112997E-2</v>
      </c>
      <c r="BL46" s="3">
        <v>0.11614730878186968</v>
      </c>
      <c r="BM46" s="3">
        <v>0.10649350649350649</v>
      </c>
      <c r="BN46" s="3">
        <v>8.9641434262948211E-2</v>
      </c>
      <c r="BO46" s="3">
        <v>4.5563549160671464E-2</v>
      </c>
      <c r="BP46" s="3">
        <v>-1.8229166666666668E-2</v>
      </c>
      <c r="BQ46" s="3">
        <v>2.1299254526091589E-3</v>
      </c>
      <c r="BR46" s="3">
        <v>-3.2665964172813484E-2</v>
      </c>
      <c r="BS46" s="3">
        <v>0</v>
      </c>
      <c r="BT46" s="3">
        <v>1.834862385321101E-2</v>
      </c>
      <c r="BU46" s="3">
        <v>0</v>
      </c>
    </row>
    <row r="47" spans="1:73" x14ac:dyDescent="0.2">
      <c r="A47" s="2" t="s">
        <v>118</v>
      </c>
      <c r="B47" s="2">
        <v>-12.966610490836318</v>
      </c>
      <c r="C47" s="2">
        <v>-13.473739717359207</v>
      </c>
      <c r="D47" s="2">
        <v>-13.392751479289942</v>
      </c>
      <c r="E47" s="2">
        <v>-15.389849384811201</v>
      </c>
      <c r="F47" s="2">
        <v>-16.563787975355854</v>
      </c>
      <c r="G47" s="2">
        <v>-16.943610223642171</v>
      </c>
      <c r="H47" s="2">
        <v>-17.736695875187007</v>
      </c>
      <c r="I47" s="2">
        <v>-18.603795839588248</v>
      </c>
      <c r="J47" s="2">
        <v>-19.439784946236561</v>
      </c>
      <c r="K47" s="2">
        <v>-20.14054203539823</v>
      </c>
      <c r="L47" s="2">
        <v>-7.5049031476997579</v>
      </c>
      <c r="M47" s="2">
        <v>-8.3182808716707015</v>
      </c>
      <c r="N47" s="2">
        <v>-8.407409638554217</v>
      </c>
      <c r="O47" s="2">
        <v>-8.0488038277511968</v>
      </c>
      <c r="P47" s="2">
        <v>-8.5019464720194655</v>
      </c>
      <c r="Q47" s="2">
        <v>-9.2351267810302566</v>
      </c>
      <c r="R47" s="2">
        <v>-9.4316938554724992</v>
      </c>
      <c r="S47" s="2">
        <v>-9.0647451456310684</v>
      </c>
      <c r="T47" s="2">
        <v>-8.7683756681675966</v>
      </c>
      <c r="U47" s="2">
        <v>-9.2596390409341449</v>
      </c>
      <c r="V47" s="2">
        <v>-9.6870289160346523</v>
      </c>
      <c r="W47" s="2">
        <v>-10.061271506298711</v>
      </c>
      <c r="X47" s="2">
        <v>-10.391180128812975</v>
      </c>
      <c r="Y47" s="2">
        <v>-10.99317617866005</v>
      </c>
      <c r="Z47" s="2">
        <v>-11.343204488778055</v>
      </c>
      <c r="AA47" s="2">
        <v>-11.797927135678393</v>
      </c>
      <c r="AB47" s="2">
        <v>-8.7120277078085646</v>
      </c>
      <c r="AC47" s="2">
        <v>-9.9503140703517587</v>
      </c>
      <c r="AD47" s="2">
        <v>-10.147607052896726</v>
      </c>
      <c r="AE47" s="2">
        <v>-10.09931421446384</v>
      </c>
      <c r="AF47" s="2">
        <v>-3.9124393203883496</v>
      </c>
      <c r="AG47" s="2">
        <v>-3.6892441860465115</v>
      </c>
      <c r="AH47" s="2">
        <v>-2.8510095011876486</v>
      </c>
      <c r="AI47" s="2">
        <v>-3.8773780487804879</v>
      </c>
      <c r="AJ47" s="2">
        <v>-4.2545343137254905</v>
      </c>
      <c r="AK47" s="2">
        <v>-4.7323710073710075</v>
      </c>
      <c r="AL47" s="2">
        <v>-5.1716501240694788</v>
      </c>
      <c r="AM47" s="2">
        <v>-5.4994360902255641</v>
      </c>
      <c r="AN47" s="2">
        <v>-5.6927763819095478</v>
      </c>
      <c r="AO47" s="2">
        <v>-5.8076388888888886</v>
      </c>
      <c r="AP47" s="2">
        <v>-6.2443239795918366</v>
      </c>
      <c r="AQ47" s="2">
        <v>-0.88339350180505416</v>
      </c>
      <c r="AR47" s="2">
        <v>-1.0977355072463768</v>
      </c>
      <c r="AS47" s="2">
        <v>-1.3180188679245284</v>
      </c>
      <c r="AT47" s="2">
        <v>-1.2207364341085272</v>
      </c>
      <c r="AU47" s="2">
        <v>-1.4554901960784314</v>
      </c>
      <c r="AV47" s="2">
        <v>-1.8795275590551181</v>
      </c>
      <c r="AW47" s="2">
        <v>-2.0973999999999999</v>
      </c>
      <c r="AX47" s="2">
        <v>0.45846613545816733</v>
      </c>
      <c r="AY47" s="2">
        <v>0.41415662650602408</v>
      </c>
      <c r="AZ47" s="2">
        <v>0.37338709677419357</v>
      </c>
      <c r="BA47" s="2">
        <v>0.32489919354838709</v>
      </c>
      <c r="BB47" s="2">
        <v>0.45477642276422764</v>
      </c>
      <c r="BC47" s="2">
        <v>0.44369918699186994</v>
      </c>
      <c r="BD47" s="2">
        <v>0.4094512195121951</v>
      </c>
      <c r="BE47" s="2">
        <v>0.36836734693877549</v>
      </c>
      <c r="BF47" s="2">
        <v>0.33790983606557379</v>
      </c>
      <c r="BG47" s="2">
        <v>0.30306122448979594</v>
      </c>
      <c r="BH47" s="2">
        <v>0.29877551020408161</v>
      </c>
      <c r="BI47" s="2">
        <v>0.24989837398373985</v>
      </c>
      <c r="BJ47" s="2">
        <v>0.21377551020408164</v>
      </c>
      <c r="BK47" s="2">
        <v>0.14700413223140496</v>
      </c>
      <c r="BL47" s="2">
        <v>8.9772727272727268E-2</v>
      </c>
      <c r="BM47" s="2">
        <v>3.4205020920502094E-2</v>
      </c>
      <c r="BN47" s="2">
        <v>-2.1113445378151262E-2</v>
      </c>
      <c r="BO47" s="2">
        <v>-7.0233050847457623E-2</v>
      </c>
      <c r="BP47" s="2">
        <v>-0.10063559322033898</v>
      </c>
      <c r="BQ47" s="2">
        <v>-0.25962441314553991</v>
      </c>
      <c r="BR47" s="2">
        <v>-0.27651869158878506</v>
      </c>
      <c r="BS47" s="2">
        <v>0</v>
      </c>
      <c r="BT47" s="2">
        <v>-0.30186915887850468</v>
      </c>
      <c r="BU47" s="2">
        <v>0</v>
      </c>
    </row>
    <row r="48" spans="1:73" x14ac:dyDescent="0.2">
      <c r="A48" s="1" t="s">
        <v>117</v>
      </c>
      <c r="B48" s="1">
        <v>23351000000</v>
      </c>
      <c r="C48" s="1">
        <v>15203000000</v>
      </c>
      <c r="D48" s="1">
        <v>13059000000</v>
      </c>
      <c r="E48" s="1">
        <v>8294000000</v>
      </c>
      <c r="F48" s="1">
        <v>1584000000</v>
      </c>
      <c r="G48" s="1">
        <v>80000000</v>
      </c>
      <c r="H48" s="1">
        <v>2898000000</v>
      </c>
      <c r="I48" s="1">
        <v>726000000</v>
      </c>
      <c r="J48" s="1">
        <v>5131000000</v>
      </c>
      <c r="K48" s="1">
        <v>6823000000</v>
      </c>
      <c r="L48" s="1">
        <v>13442000000</v>
      </c>
      <c r="M48" s="1">
        <v>10988000000</v>
      </c>
      <c r="N48" s="1">
        <v>10360000000</v>
      </c>
      <c r="O48" s="1">
        <v>11353000000</v>
      </c>
      <c r="P48" s="1">
        <v>11452000000</v>
      </c>
      <c r="Q48" s="1">
        <v>8859000000</v>
      </c>
      <c r="R48" s="1">
        <v>7900000000</v>
      </c>
      <c r="S48" s="1">
        <v>9054000000</v>
      </c>
      <c r="T48" s="1">
        <v>10305000000</v>
      </c>
      <c r="U48" s="1">
        <v>9135000000</v>
      </c>
      <c r="V48" s="1">
        <v>7809000000</v>
      </c>
      <c r="W48" s="1">
        <v>7606000000</v>
      </c>
      <c r="X48" s="1">
        <v>5524000000</v>
      </c>
      <c r="Y48" s="1">
        <v>6979000000</v>
      </c>
      <c r="Z48" s="1">
        <v>7621000000</v>
      </c>
      <c r="AA48" s="1">
        <v>4370000000</v>
      </c>
      <c r="AB48" s="1">
        <v>3018000000</v>
      </c>
      <c r="AC48" s="1">
        <v>2616000000</v>
      </c>
      <c r="AD48" s="1">
        <v>2174000000</v>
      </c>
      <c r="AE48" s="1">
        <v>2255000000</v>
      </c>
      <c r="AF48" s="1">
        <v>6769000000</v>
      </c>
      <c r="AG48" s="1">
        <v>6508000000</v>
      </c>
      <c r="AH48" s="1">
        <v>10350000000</v>
      </c>
      <c r="AI48" s="1">
        <v>9250000000</v>
      </c>
      <c r="AJ48" s="1">
        <v>13294000000</v>
      </c>
      <c r="AK48" s="1">
        <v>7725000000</v>
      </c>
      <c r="AL48" s="1">
        <v>6416000000</v>
      </c>
      <c r="AM48" s="1">
        <v>5228000000</v>
      </c>
      <c r="AN48" s="1">
        <v>4047000000</v>
      </c>
      <c r="AO48" s="1">
        <v>3320000000</v>
      </c>
      <c r="AP48" s="1">
        <v>4036000000</v>
      </c>
      <c r="AQ48" s="1">
        <v>3109000000</v>
      </c>
      <c r="AR48" s="1">
        <v>2656000000</v>
      </c>
      <c r="AS48" s="1">
        <v>2217000000</v>
      </c>
      <c r="AT48" s="1">
        <v>3170000000</v>
      </c>
      <c r="AU48" s="1">
        <v>3253000000</v>
      </c>
      <c r="AV48" s="1">
        <v>2808000000</v>
      </c>
      <c r="AW48" s="1">
        <v>2900000000</v>
      </c>
      <c r="AX48" s="1">
        <v>1618000000</v>
      </c>
      <c r="AY48" s="1">
        <v>1495000000</v>
      </c>
      <c r="AZ48" s="1">
        <v>1395000000</v>
      </c>
      <c r="BA48" s="1">
        <v>1266000000</v>
      </c>
      <c r="BB48" s="1">
        <v>1488000000</v>
      </c>
      <c r="BC48" s="1">
        <v>1436000000</v>
      </c>
      <c r="BD48" s="1">
        <v>1345000000</v>
      </c>
      <c r="BE48" s="1">
        <v>1239000000</v>
      </c>
      <c r="BF48" s="1">
        <v>1152000000</v>
      </c>
      <c r="BG48" s="1">
        <v>1058000000</v>
      </c>
      <c r="BH48" s="1">
        <v>1043000000</v>
      </c>
      <c r="BI48" s="1">
        <v>918000000</v>
      </c>
      <c r="BJ48" s="1">
        <v>832000000</v>
      </c>
      <c r="BK48" s="1">
        <v>673000000</v>
      </c>
      <c r="BL48" s="1">
        <v>522000000</v>
      </c>
      <c r="BM48" s="1">
        <v>588000000</v>
      </c>
      <c r="BN48" s="1">
        <v>446000000</v>
      </c>
      <c r="BO48" s="1">
        <v>309000000</v>
      </c>
      <c r="BP48" s="1">
        <v>231000000</v>
      </c>
      <c r="BQ48" s="1">
        <v>365000000</v>
      </c>
      <c r="BR48" s="1">
        <v>333000000</v>
      </c>
      <c r="BS48" s="1">
        <v>0</v>
      </c>
      <c r="BT48" s="1">
        <v>291000000</v>
      </c>
      <c r="BU48" s="1">
        <v>0</v>
      </c>
    </row>
    <row r="49" spans="1:73" x14ac:dyDescent="0.2">
      <c r="A49" s="1" t="s">
        <v>116</v>
      </c>
      <c r="B49" s="1">
        <v>-38443000000</v>
      </c>
      <c r="C49" s="1">
        <v>-48231000000</v>
      </c>
      <c r="D49" s="1">
        <v>-48782000000</v>
      </c>
      <c r="E49" s="1">
        <v>-58868000000</v>
      </c>
      <c r="F49" s="1">
        <v>-64608000000</v>
      </c>
      <c r="G49" s="1">
        <v>-66665000000</v>
      </c>
      <c r="H49" s="1">
        <v>-70778000000</v>
      </c>
      <c r="I49" s="1">
        <v>-75256000000</v>
      </c>
      <c r="J49" s="1">
        <v>-73319000000</v>
      </c>
      <c r="K49" s="1">
        <v>-74487000000</v>
      </c>
      <c r="L49" s="1">
        <v>-23532000000</v>
      </c>
      <c r="M49" s="1">
        <v>-26194000000</v>
      </c>
      <c r="N49" s="1">
        <v>-27041000000</v>
      </c>
      <c r="O49" s="1">
        <v>-26529000000</v>
      </c>
      <c r="P49" s="1">
        <v>-28016000000</v>
      </c>
      <c r="Q49" s="1">
        <v>-30879000000</v>
      </c>
      <c r="R49" s="1">
        <v>-31854000000</v>
      </c>
      <c r="S49" s="1">
        <v>-30700000000</v>
      </c>
      <c r="T49" s="1">
        <v>-29835000000</v>
      </c>
      <c r="U49" s="1">
        <v>-31809000000</v>
      </c>
      <c r="V49" s="1">
        <v>-33559000000</v>
      </c>
      <c r="W49" s="1">
        <v>-34877000000</v>
      </c>
      <c r="X49" s="1">
        <v>-36328000000</v>
      </c>
      <c r="Y49" s="1">
        <v>-38219000000</v>
      </c>
      <c r="Z49" s="1">
        <v>-39396000000</v>
      </c>
      <c r="AA49" s="1">
        <v>-40541000000</v>
      </c>
      <c r="AB49" s="1">
        <v>-29298000000</v>
      </c>
      <c r="AC49" s="1">
        <v>-34062000000</v>
      </c>
      <c r="AD49" s="1">
        <v>-34678000000</v>
      </c>
      <c r="AE49" s="1">
        <v>-34916000000</v>
      </c>
      <c r="AF49" s="1">
        <v>-11018000000</v>
      </c>
      <c r="AG49" s="1">
        <v>-11066000000</v>
      </c>
      <c r="AH49" s="1">
        <v>-7187000000</v>
      </c>
      <c r="AI49" s="1">
        <v>-10989000000</v>
      </c>
      <c r="AJ49" s="1">
        <v>-12242000000</v>
      </c>
      <c r="AK49" s="1">
        <v>-13929000000</v>
      </c>
      <c r="AL49" s="1">
        <v>-15379000000</v>
      </c>
      <c r="AM49" s="1">
        <v>-16757000000</v>
      </c>
      <c r="AN49" s="1">
        <v>-17924000000</v>
      </c>
      <c r="AO49" s="1">
        <v>-18099000000</v>
      </c>
      <c r="AP49" s="1">
        <v>-18958000000</v>
      </c>
      <c r="AQ49" s="1">
        <v>347000000</v>
      </c>
      <c r="AR49" s="1">
        <v>-237000000</v>
      </c>
      <c r="AS49" s="1">
        <v>-917000000</v>
      </c>
      <c r="AT49" s="1">
        <v>-815000000</v>
      </c>
      <c r="AU49" s="1">
        <v>-1413000000</v>
      </c>
      <c r="AV49" s="1">
        <v>-1970000000</v>
      </c>
      <c r="AW49" s="1">
        <v>-1980000000</v>
      </c>
      <c r="AX49" s="1">
        <v>2321000000</v>
      </c>
      <c r="AY49" s="1">
        <v>2133000000</v>
      </c>
      <c r="AZ49" s="1">
        <v>2003000000</v>
      </c>
      <c r="BA49" s="1">
        <v>1824000000</v>
      </c>
      <c r="BB49" s="1">
        <v>2017000000</v>
      </c>
      <c r="BC49" s="1">
        <v>1935000000</v>
      </c>
      <c r="BD49" s="1">
        <v>1817000000</v>
      </c>
      <c r="BE49" s="1">
        <v>1668000000</v>
      </c>
      <c r="BF49" s="1">
        <v>1529000000</v>
      </c>
      <c r="BG49" s="1">
        <v>1383000000</v>
      </c>
      <c r="BH49" s="1">
        <v>1330000000</v>
      </c>
      <c r="BI49" s="1">
        <v>1174000000</v>
      </c>
      <c r="BJ49" s="1">
        <v>1076000000</v>
      </c>
      <c r="BK49" s="1">
        <v>912000000</v>
      </c>
      <c r="BL49" s="1">
        <v>760000000</v>
      </c>
      <c r="BM49" s="1">
        <v>568000000</v>
      </c>
      <c r="BN49" s="1">
        <v>422000000</v>
      </c>
      <c r="BO49" s="1">
        <v>289000000</v>
      </c>
      <c r="BP49" s="1">
        <v>222000000</v>
      </c>
      <c r="BQ49" s="1">
        <v>-78000000</v>
      </c>
      <c r="BR49" s="1">
        <v>-98000000</v>
      </c>
      <c r="BS49" s="1">
        <v>0</v>
      </c>
      <c r="BT49" s="1">
        <v>-110000000</v>
      </c>
      <c r="BU49" s="1">
        <v>0</v>
      </c>
    </row>
    <row r="50" spans="1:73" x14ac:dyDescent="0.2">
      <c r="A50" s="1" t="s">
        <v>115</v>
      </c>
      <c r="B50" s="1">
        <v>-49254000000</v>
      </c>
      <c r="C50" s="1">
        <v>-57969000000</v>
      </c>
      <c r="D50" s="1">
        <v>-58227000000</v>
      </c>
      <c r="E50" s="1">
        <v>-67346000000</v>
      </c>
      <c r="F50" s="1">
        <v>-72863000000</v>
      </c>
      <c r="G50" s="1">
        <v>-74579000000</v>
      </c>
      <c r="H50" s="1">
        <v>-78372000000</v>
      </c>
      <c r="I50" s="1">
        <v>-82368000000</v>
      </c>
      <c r="J50" s="1">
        <v>-79948000000</v>
      </c>
      <c r="K50" s="1">
        <v>-80394000000</v>
      </c>
      <c r="L50" s="1">
        <v>-28026000000</v>
      </c>
      <c r="M50" s="1">
        <v>-31183000000</v>
      </c>
      <c r="N50" s="1">
        <v>-31789000000</v>
      </c>
      <c r="O50" s="1">
        <v>-30830000000</v>
      </c>
      <c r="P50" s="1">
        <v>-32036000000</v>
      </c>
      <c r="Q50" s="1">
        <v>-34862000000</v>
      </c>
      <c r="R50" s="1">
        <v>-35919000000</v>
      </c>
      <c r="S50" s="1">
        <v>-34889000000</v>
      </c>
      <c r="T50" s="1">
        <v>-33995000000</v>
      </c>
      <c r="U50" s="1">
        <v>-35877000000</v>
      </c>
      <c r="V50" s="1">
        <v>-37313000000</v>
      </c>
      <c r="W50" s="1">
        <v>-38673000000</v>
      </c>
      <c r="X50" s="1">
        <v>-40137000000</v>
      </c>
      <c r="Y50" s="1">
        <v>-42032000000</v>
      </c>
      <c r="Z50" s="1">
        <v>-43356000000</v>
      </c>
      <c r="AA50" s="1">
        <v>-44501000000</v>
      </c>
      <c r="AB50" s="1">
        <v>-32606000000</v>
      </c>
      <c r="AC50" s="1">
        <v>-37366000000</v>
      </c>
      <c r="AD50" s="1">
        <v>-38067000000</v>
      </c>
      <c r="AE50" s="1">
        <v>-38282000000</v>
      </c>
      <c r="AF50" s="1">
        <v>-14360000000</v>
      </c>
      <c r="AG50" s="1">
        <v>-14225000000</v>
      </c>
      <c r="AH50" s="1">
        <v>-10395000000</v>
      </c>
      <c r="AI50" s="1">
        <v>-14243000000</v>
      </c>
      <c r="AJ50" s="1">
        <v>-15299000000</v>
      </c>
      <c r="AK50" s="1">
        <v>-17295000000</v>
      </c>
      <c r="AL50" s="1">
        <v>-19038000000</v>
      </c>
      <c r="AM50" s="1">
        <v>-20257000000</v>
      </c>
      <c r="AN50" s="1">
        <v>-20965000000</v>
      </c>
      <c r="AO50" s="1">
        <v>-21200000000</v>
      </c>
      <c r="AP50" s="1">
        <v>-21958000000</v>
      </c>
      <c r="AQ50" s="1">
        <v>-1685000000</v>
      </c>
      <c r="AR50" s="1">
        <v>-2103000000</v>
      </c>
      <c r="AS50" s="1">
        <v>-2538000000</v>
      </c>
      <c r="AT50" s="1">
        <v>-2395000000</v>
      </c>
      <c r="AU50" s="1">
        <v>-2971000000</v>
      </c>
      <c r="AV50" s="1">
        <v>-3424000000</v>
      </c>
      <c r="AW50" s="1">
        <v>-3364000000</v>
      </c>
      <c r="AX50" s="1">
        <v>1517000000</v>
      </c>
      <c r="AY50" s="1">
        <v>1379000000</v>
      </c>
      <c r="AZ50" s="1">
        <v>1289000000</v>
      </c>
      <c r="BA50" s="1">
        <v>1168000000</v>
      </c>
      <c r="BB50" s="1">
        <v>1390000000</v>
      </c>
      <c r="BC50" s="1">
        <v>1339000000</v>
      </c>
      <c r="BD50" s="1">
        <v>1248000000</v>
      </c>
      <c r="BE50" s="1">
        <v>1155000000</v>
      </c>
      <c r="BF50" s="1">
        <v>1064000000</v>
      </c>
      <c r="BG50" s="1">
        <v>968000000</v>
      </c>
      <c r="BH50" s="1">
        <v>953000000</v>
      </c>
      <c r="BI50" s="1">
        <v>826000000</v>
      </c>
      <c r="BJ50" s="1">
        <v>742000000</v>
      </c>
      <c r="BK50" s="1">
        <v>583000000</v>
      </c>
      <c r="BL50" s="1">
        <v>435000000</v>
      </c>
      <c r="BM50" s="1">
        <v>286000000</v>
      </c>
      <c r="BN50" s="1">
        <v>145000000</v>
      </c>
      <c r="BO50" s="1">
        <v>12000000</v>
      </c>
      <c r="BP50" s="1">
        <v>-66000000</v>
      </c>
      <c r="BQ50" s="1">
        <v>-401000000</v>
      </c>
      <c r="BR50" s="1">
        <v>-432000000</v>
      </c>
      <c r="BS50" s="1">
        <v>0</v>
      </c>
      <c r="BT50" s="1">
        <v>-472000000</v>
      </c>
      <c r="BU50" s="1">
        <v>0</v>
      </c>
    </row>
    <row r="51" spans="1:73" x14ac:dyDescent="0.2">
      <c r="A51" s="1" t="s">
        <v>114</v>
      </c>
      <c r="B51" s="1">
        <v>12413000000</v>
      </c>
      <c r="C51" s="1">
        <v>13073000000</v>
      </c>
      <c r="D51" s="1">
        <v>11400500000</v>
      </c>
      <c r="E51" s="1">
        <v>9724000000</v>
      </c>
      <c r="F51" s="1">
        <v>8237000000</v>
      </c>
      <c r="G51" s="1">
        <v>7004500000</v>
      </c>
      <c r="H51" s="1">
        <v>6277000000</v>
      </c>
      <c r="I51" s="1">
        <v>5861000000</v>
      </c>
      <c r="J51" s="1">
        <v>5234500000</v>
      </c>
      <c r="K51" s="1">
        <v>4311000000</v>
      </c>
      <c r="L51" s="1">
        <v>3283500000</v>
      </c>
      <c r="M51" s="1">
        <v>2972500000</v>
      </c>
      <c r="N51" s="1">
        <v>3132500000</v>
      </c>
      <c r="O51" s="1">
        <v>3096000000</v>
      </c>
      <c r="P51" s="1">
        <v>2833000000</v>
      </c>
      <c r="Q51" s="1">
        <v>2895500000</v>
      </c>
      <c r="R51" s="1">
        <v>2811000000</v>
      </c>
      <c r="S51" s="1">
        <v>2305000000</v>
      </c>
      <c r="T51" s="1">
        <v>2152500000</v>
      </c>
      <c r="U51" s="1">
        <v>2329500000</v>
      </c>
      <c r="V51" s="1">
        <v>2474500000</v>
      </c>
      <c r="W51" s="1">
        <v>2410500000</v>
      </c>
      <c r="X51" s="1">
        <v>2490500000</v>
      </c>
      <c r="Y51" s="1">
        <v>2947500000</v>
      </c>
      <c r="Z51" s="1">
        <v>3431000000</v>
      </c>
      <c r="AA51" s="1">
        <v>3455000000</v>
      </c>
      <c r="AB51" s="1">
        <v>3399000000</v>
      </c>
      <c r="AC51" s="1">
        <v>3511500000</v>
      </c>
      <c r="AD51" s="1">
        <v>3580500000</v>
      </c>
      <c r="AE51" s="1">
        <v>3501000000</v>
      </c>
      <c r="AF51" s="1">
        <v>3204000000</v>
      </c>
      <c r="AG51" s="1">
        <v>2916000000</v>
      </c>
      <c r="AH51" s="1">
        <v>2604000000</v>
      </c>
      <c r="AI51" s="1">
        <v>2453500000</v>
      </c>
      <c r="AJ51" s="1">
        <v>2432500000</v>
      </c>
      <c r="AK51" s="1">
        <v>2245000000</v>
      </c>
      <c r="AL51" s="1">
        <v>2010000000</v>
      </c>
      <c r="AM51" s="1">
        <v>2064000000</v>
      </c>
      <c r="AN51" s="1">
        <v>2181000000</v>
      </c>
      <c r="AO51" s="1">
        <v>2019000000</v>
      </c>
      <c r="AP51" s="1">
        <v>1458500000</v>
      </c>
      <c r="AQ51" s="1">
        <v>1039500000</v>
      </c>
      <c r="AR51" s="1">
        <v>914000000</v>
      </c>
      <c r="AS51" s="1">
        <v>783500000</v>
      </c>
      <c r="AT51" s="1">
        <v>738000000</v>
      </c>
      <c r="AU51" s="1">
        <v>750000000</v>
      </c>
      <c r="AV51" s="1">
        <v>686000000</v>
      </c>
      <c r="AW51" s="1">
        <v>454500000</v>
      </c>
      <c r="AX51" s="1">
        <v>321000000</v>
      </c>
      <c r="AY51" s="1">
        <v>370500000</v>
      </c>
      <c r="AZ51" s="1">
        <v>391500000</v>
      </c>
      <c r="BA51" s="1">
        <v>318000000</v>
      </c>
      <c r="BB51" s="1">
        <v>268500000</v>
      </c>
      <c r="BC51" s="1">
        <v>312500000</v>
      </c>
      <c r="BD51" s="1">
        <v>344500000</v>
      </c>
      <c r="BE51" s="1">
        <v>302000000</v>
      </c>
      <c r="BF51" s="1">
        <v>291000000</v>
      </c>
      <c r="BG51" s="1">
        <v>318000000</v>
      </c>
      <c r="BH51" s="1">
        <v>306500000</v>
      </c>
      <c r="BI51" s="1">
        <v>287000000</v>
      </c>
      <c r="BJ51" s="1">
        <v>290000000</v>
      </c>
      <c r="BK51" s="1">
        <v>288000000</v>
      </c>
      <c r="BL51" s="1">
        <v>282000000</v>
      </c>
      <c r="BM51" s="1">
        <v>264000000</v>
      </c>
      <c r="BN51" s="1">
        <v>226000000</v>
      </c>
      <c r="BO51" s="1">
        <v>194500000</v>
      </c>
      <c r="BP51" s="1">
        <v>182000000</v>
      </c>
      <c r="BQ51" s="1">
        <v>181500000</v>
      </c>
      <c r="BR51" s="1">
        <v>0</v>
      </c>
      <c r="BS51" s="1">
        <v>0</v>
      </c>
      <c r="BT51" s="1">
        <v>0</v>
      </c>
      <c r="BU51" s="1">
        <v>0</v>
      </c>
    </row>
    <row r="52" spans="1:73" x14ac:dyDescent="0.2">
      <c r="A52" s="1" t="s">
        <v>113</v>
      </c>
      <c r="B52" s="1">
        <v>2224500000</v>
      </c>
      <c r="C52" s="1">
        <v>1836000000</v>
      </c>
      <c r="D52" s="1">
        <v>1496000000</v>
      </c>
      <c r="E52" s="1">
        <v>1364500000</v>
      </c>
      <c r="F52" s="1">
        <v>1601000000</v>
      </c>
      <c r="G52" s="1">
        <v>1783500000</v>
      </c>
      <c r="H52" s="1">
        <v>1709500000</v>
      </c>
      <c r="I52" s="1">
        <v>1599000000</v>
      </c>
      <c r="J52" s="1">
        <v>1468500000</v>
      </c>
      <c r="K52" s="1">
        <v>1353000000</v>
      </c>
      <c r="L52" s="1">
        <v>1101000000</v>
      </c>
      <c r="M52" s="1">
        <v>911500000</v>
      </c>
      <c r="N52" s="1">
        <v>877000000</v>
      </c>
      <c r="O52" s="1">
        <v>960500000</v>
      </c>
      <c r="P52" s="1">
        <v>855000000</v>
      </c>
      <c r="Q52" s="1">
        <v>890500000</v>
      </c>
      <c r="R52" s="1">
        <v>1073500000</v>
      </c>
      <c r="S52" s="1">
        <v>1082000000</v>
      </c>
      <c r="T52" s="1">
        <v>1027000000</v>
      </c>
      <c r="U52" s="1">
        <v>899000000</v>
      </c>
      <c r="V52" s="1">
        <v>864000000</v>
      </c>
      <c r="W52" s="1">
        <v>867000000</v>
      </c>
      <c r="X52" s="1">
        <v>964000000</v>
      </c>
      <c r="Y52" s="1">
        <v>1161000000</v>
      </c>
      <c r="Z52" s="1">
        <v>1107500000</v>
      </c>
      <c r="AA52" s="1">
        <v>920000000</v>
      </c>
      <c r="AB52" s="1">
        <v>925500000</v>
      </c>
      <c r="AC52" s="1">
        <v>877500000</v>
      </c>
      <c r="AD52" s="1">
        <v>748500000</v>
      </c>
      <c r="AE52" s="1">
        <v>774500000</v>
      </c>
      <c r="AF52" s="1">
        <v>798000000</v>
      </c>
      <c r="AG52" s="1">
        <v>810500000</v>
      </c>
      <c r="AH52" s="1">
        <v>826000000</v>
      </c>
      <c r="AI52" s="1">
        <v>960500000</v>
      </c>
      <c r="AJ52" s="1">
        <v>1131500000</v>
      </c>
      <c r="AK52" s="1">
        <v>1041500000</v>
      </c>
      <c r="AL52" s="1">
        <v>986000000</v>
      </c>
      <c r="AM52" s="1">
        <v>1154000000</v>
      </c>
      <c r="AN52" s="1">
        <v>1194000000</v>
      </c>
      <c r="AO52" s="1">
        <v>1056000000</v>
      </c>
      <c r="AP52" s="1">
        <v>754000000</v>
      </c>
      <c r="AQ52" s="1">
        <v>570000000</v>
      </c>
      <c r="AR52" s="1">
        <v>559000000</v>
      </c>
      <c r="AS52" s="1">
        <v>501000000</v>
      </c>
      <c r="AT52" s="1">
        <v>476500000</v>
      </c>
      <c r="AU52" s="1">
        <v>483500000</v>
      </c>
      <c r="AV52" s="1">
        <v>487000000</v>
      </c>
      <c r="AW52" s="1">
        <v>366500000</v>
      </c>
      <c r="AX52" s="1">
        <v>265500000</v>
      </c>
      <c r="AY52" s="1">
        <v>267500000</v>
      </c>
      <c r="AZ52" s="1">
        <v>272000000</v>
      </c>
      <c r="BA52" s="1">
        <v>253000000</v>
      </c>
      <c r="BB52" s="1">
        <v>218000000</v>
      </c>
      <c r="BC52" s="1">
        <v>222000000</v>
      </c>
      <c r="BD52" s="1">
        <v>243500000</v>
      </c>
      <c r="BE52" s="1">
        <v>248000000</v>
      </c>
      <c r="BF52" s="1">
        <v>239500000</v>
      </c>
      <c r="BG52" s="1">
        <v>221500000</v>
      </c>
      <c r="BH52" s="1">
        <v>208500000</v>
      </c>
      <c r="BI52" s="1">
        <v>201000000</v>
      </c>
      <c r="BJ52" s="1">
        <v>181000000</v>
      </c>
      <c r="BK52" s="1">
        <v>177000000</v>
      </c>
      <c r="BL52" s="1">
        <v>185000000</v>
      </c>
      <c r="BM52" s="1">
        <v>170500000</v>
      </c>
      <c r="BN52" s="1">
        <v>164500000</v>
      </c>
      <c r="BO52" s="1">
        <v>157000000</v>
      </c>
      <c r="BP52" s="1">
        <v>153000000</v>
      </c>
      <c r="BQ52" s="1">
        <v>159500000</v>
      </c>
      <c r="BR52" s="1">
        <v>0</v>
      </c>
      <c r="BS52" s="1">
        <v>0</v>
      </c>
      <c r="BT52" s="1">
        <v>0</v>
      </c>
      <c r="BU52" s="1">
        <v>0</v>
      </c>
    </row>
    <row r="53" spans="1:73" x14ac:dyDescent="0.2">
      <c r="A53" s="1" t="s">
        <v>112</v>
      </c>
      <c r="B53" s="1">
        <v>3645000000</v>
      </c>
      <c r="C53" s="1">
        <v>2616000000</v>
      </c>
      <c r="D53" s="1">
        <v>2225000000</v>
      </c>
      <c r="E53" s="1">
        <v>2098500000</v>
      </c>
      <c r="F53" s="1">
        <v>1962500000</v>
      </c>
      <c r="G53" s="1">
        <v>1834000000</v>
      </c>
      <c r="H53" s="1">
        <v>1827000000</v>
      </c>
      <c r="I53" s="1">
        <v>1868000000</v>
      </c>
      <c r="J53" s="1">
        <v>1881000000</v>
      </c>
      <c r="K53" s="1">
        <v>1909000000</v>
      </c>
      <c r="L53" s="1">
        <v>1870000000</v>
      </c>
      <c r="M53" s="1">
        <v>1864000000</v>
      </c>
      <c r="N53" s="1">
        <v>1892500000</v>
      </c>
      <c r="O53" s="1">
        <v>1912000000</v>
      </c>
      <c r="P53" s="1">
        <v>1881500000</v>
      </c>
      <c r="Q53" s="1">
        <v>1753000000</v>
      </c>
      <c r="R53" s="1">
        <v>1594000000</v>
      </c>
      <c r="S53" s="1">
        <v>1408500000</v>
      </c>
      <c r="T53" s="1">
        <v>1228500000</v>
      </c>
      <c r="U53" s="1">
        <v>1082000000</v>
      </c>
      <c r="V53" s="1">
        <v>978000000</v>
      </c>
      <c r="W53" s="1">
        <v>977500000</v>
      </c>
      <c r="X53" s="1">
        <v>1042000000</v>
      </c>
      <c r="Y53" s="1">
        <v>1017000000</v>
      </c>
      <c r="Z53" s="1">
        <v>948500000</v>
      </c>
      <c r="AA53" s="1">
        <v>909000000</v>
      </c>
      <c r="AB53" s="1">
        <v>982500000</v>
      </c>
      <c r="AC53" s="1">
        <v>1062500000</v>
      </c>
      <c r="AD53" s="1">
        <v>1054000000</v>
      </c>
      <c r="AE53" s="1">
        <v>1099000000</v>
      </c>
      <c r="AF53" s="1">
        <v>1170000000</v>
      </c>
      <c r="AG53" s="1">
        <v>1225500000</v>
      </c>
      <c r="AH53" s="1">
        <v>1263000000</v>
      </c>
      <c r="AI53" s="1">
        <v>1369000000</v>
      </c>
      <c r="AJ53" s="1">
        <v>1439000000</v>
      </c>
      <c r="AK53" s="1">
        <v>1371000000</v>
      </c>
      <c r="AL53" s="1">
        <v>1323500000</v>
      </c>
      <c r="AM53" s="1">
        <v>1368000000</v>
      </c>
      <c r="AN53" s="1">
        <v>1353000000</v>
      </c>
      <c r="AO53" s="1">
        <v>1386500000</v>
      </c>
      <c r="AP53" s="1">
        <v>978500000</v>
      </c>
      <c r="AQ53" s="1">
        <v>507000000</v>
      </c>
      <c r="AR53" s="1">
        <v>515500000</v>
      </c>
      <c r="AS53" s="1">
        <v>498500000</v>
      </c>
      <c r="AT53" s="1">
        <v>495000000</v>
      </c>
      <c r="AU53" s="1">
        <v>509500000</v>
      </c>
      <c r="AV53" s="1">
        <v>500500000</v>
      </c>
      <c r="AW53" s="1">
        <v>391500000</v>
      </c>
      <c r="AX53" s="1">
        <v>293500000</v>
      </c>
      <c r="AY53" s="1">
        <v>285500000</v>
      </c>
      <c r="AZ53" s="1">
        <v>284500000</v>
      </c>
      <c r="BA53" s="1">
        <v>256500000</v>
      </c>
      <c r="BB53" s="1">
        <v>218500000</v>
      </c>
      <c r="BC53" s="1">
        <v>201000000</v>
      </c>
      <c r="BD53" s="1">
        <v>205000000</v>
      </c>
      <c r="BE53" s="1">
        <v>217000000</v>
      </c>
      <c r="BF53" s="1">
        <v>205500000</v>
      </c>
      <c r="BG53" s="1">
        <v>193500000</v>
      </c>
      <c r="BH53" s="1">
        <v>197000000</v>
      </c>
      <c r="BI53" s="1">
        <v>197000000</v>
      </c>
      <c r="BJ53" s="1">
        <v>198500000</v>
      </c>
      <c r="BK53" s="1">
        <v>196000000</v>
      </c>
      <c r="BL53" s="1">
        <v>187000000</v>
      </c>
      <c r="BM53" s="1">
        <v>181500000</v>
      </c>
      <c r="BN53" s="1">
        <v>172000000</v>
      </c>
      <c r="BO53" s="1">
        <v>164000000</v>
      </c>
      <c r="BP53" s="1">
        <v>157500000</v>
      </c>
      <c r="BQ53" s="1">
        <v>152000000</v>
      </c>
      <c r="BR53" s="1">
        <v>0</v>
      </c>
      <c r="BS53" s="1">
        <v>0</v>
      </c>
      <c r="BT53" s="1">
        <v>0</v>
      </c>
      <c r="BU53" s="1">
        <v>0</v>
      </c>
    </row>
    <row r="54" spans="1:73" x14ac:dyDescent="0.2">
      <c r="A54" s="2" t="s">
        <v>111</v>
      </c>
      <c r="B54" s="2">
        <v>43.93113084238518</v>
      </c>
      <c r="C54" s="2">
        <v>65.22914401118534</v>
      </c>
      <c r="D54" s="2">
        <v>60.699417152373023</v>
      </c>
      <c r="E54" s="2">
        <v>60.092151454363091</v>
      </c>
      <c r="F54" s="2">
        <v>52.767928552386032</v>
      </c>
      <c r="G54" s="2">
        <v>46.321399839098952</v>
      </c>
      <c r="H54" s="2">
        <v>40.549309805037716</v>
      </c>
      <c r="I54" s="2">
        <v>42.838127294981639</v>
      </c>
      <c r="J54" s="2">
        <v>39.641226875950991</v>
      </c>
      <c r="K54" s="2">
        <v>37.389014296463507</v>
      </c>
      <c r="L54" s="2">
        <v>35.370629370629374</v>
      </c>
      <c r="M54" s="2">
        <v>29.547093285263632</v>
      </c>
      <c r="N54" s="2">
        <v>31.236688423222262</v>
      </c>
      <c r="O54" s="2">
        <v>32.648345485137412</v>
      </c>
      <c r="P54" s="2">
        <v>29.811870100783874</v>
      </c>
      <c r="Q54" s="2">
        <v>28.794896030245745</v>
      </c>
      <c r="R54" s="2">
        <v>34.242873009996302</v>
      </c>
      <c r="S54" s="2">
        <v>29.653516740202438</v>
      </c>
      <c r="T54" s="2">
        <v>25.164034021871203</v>
      </c>
      <c r="U54" s="2">
        <v>29.66361758630865</v>
      </c>
      <c r="V54" s="2">
        <v>33.018154311649013</v>
      </c>
      <c r="W54" s="2">
        <v>34.133734034560476</v>
      </c>
      <c r="X54" s="2">
        <v>31.966908922220505</v>
      </c>
      <c r="Y54" s="2">
        <v>41.498024394433948</v>
      </c>
      <c r="Z54" s="2">
        <v>50.329153605015676</v>
      </c>
      <c r="AA54" s="2">
        <v>56.092523045407987</v>
      </c>
      <c r="AB54" s="2">
        <v>50.780817174515235</v>
      </c>
      <c r="AC54" s="2">
        <v>57.753399818676336</v>
      </c>
      <c r="AD54" s="2">
        <v>56.835236541598697</v>
      </c>
      <c r="AE54" s="2">
        <v>57.165313525652095</v>
      </c>
      <c r="AF54" s="2">
        <v>54.968772961058043</v>
      </c>
      <c r="AG54" s="2">
        <v>54.803476199881494</v>
      </c>
      <c r="AH54" s="2">
        <v>49.343837255684086</v>
      </c>
      <c r="AI54" s="2">
        <v>41.544959639571992</v>
      </c>
      <c r="AJ54" s="2">
        <v>45.483071841453345</v>
      </c>
      <c r="AK54" s="2">
        <v>48.740757338113376</v>
      </c>
      <c r="AL54" s="2">
        <v>44.527446300715994</v>
      </c>
      <c r="AM54" s="2">
        <v>42.336313119110898</v>
      </c>
      <c r="AN54" s="2">
        <v>47.458897485493232</v>
      </c>
      <c r="AO54" s="2">
        <v>51.764240506329109</v>
      </c>
      <c r="AP54" s="2">
        <v>47.198531488280146</v>
      </c>
      <c r="AQ54" s="2">
        <v>53.867871259175608</v>
      </c>
      <c r="AR54" s="2">
        <v>49.842391304347828</v>
      </c>
      <c r="AS54" s="2">
        <v>41.965417867435164</v>
      </c>
      <c r="AT54" s="2">
        <v>42.267657992565056</v>
      </c>
      <c r="AU54" s="2">
        <v>39.522935779816514</v>
      </c>
      <c r="AV54" s="2">
        <v>44.264150943396224</v>
      </c>
      <c r="AW54" s="2">
        <v>41.843971631205676</v>
      </c>
      <c r="AX54" s="2">
        <v>40.955777460770328</v>
      </c>
      <c r="AY54" s="2">
        <v>41.001410437235542</v>
      </c>
      <c r="AZ54" s="2">
        <v>50.975609756097562</v>
      </c>
      <c r="BA54" s="2">
        <v>51.009316770186331</v>
      </c>
      <c r="BB54" s="2">
        <v>43.39857651245552</v>
      </c>
      <c r="BC54" s="2">
        <v>41.5625</v>
      </c>
      <c r="BD54" s="2">
        <v>52.28155339805825</v>
      </c>
      <c r="BE54" s="2">
        <v>49.009900990099013</v>
      </c>
      <c r="BF54" s="2">
        <v>42.738301559792028</v>
      </c>
      <c r="BG54" s="2">
        <v>49.236234458259325</v>
      </c>
      <c r="BH54" s="2">
        <v>47.383627608346714</v>
      </c>
      <c r="BI54" s="2">
        <v>42.537313432835823</v>
      </c>
      <c r="BJ54" s="2">
        <v>46.446428571428577</v>
      </c>
      <c r="BK54" s="2">
        <v>47.618181818181817</v>
      </c>
      <c r="BL54" s="2">
        <v>44.84265734265734</v>
      </c>
      <c r="BM54" s="2">
        <v>45.654545454545456</v>
      </c>
      <c r="BN54" s="2">
        <v>43.514563106796118</v>
      </c>
      <c r="BO54" s="2">
        <v>40.065789473684205</v>
      </c>
      <c r="BP54" s="2">
        <v>39.112149532710276</v>
      </c>
      <c r="BQ54" s="2">
        <v>44.132231404958674</v>
      </c>
      <c r="BR54" s="2">
        <v>51.230769230769234</v>
      </c>
      <c r="BS54" s="2">
        <v>0</v>
      </c>
      <c r="BT54" s="2">
        <v>37.04697986577181</v>
      </c>
      <c r="BU54" s="2">
        <v>0</v>
      </c>
    </row>
    <row r="55" spans="1:73" x14ac:dyDescent="0.2">
      <c r="A55" s="2" t="s">
        <v>110</v>
      </c>
      <c r="B55" s="2">
        <v>28.939185470555863</v>
      </c>
      <c r="C55" s="2">
        <v>28.59205776173285</v>
      </c>
      <c r="D55" s="2">
        <v>24.349635796045785</v>
      </c>
      <c r="E55" s="2">
        <v>24.553248237759572</v>
      </c>
      <c r="F55" s="2">
        <v>24.283336800499271</v>
      </c>
      <c r="G55" s="2">
        <v>35.935862502619997</v>
      </c>
      <c r="H55" s="2">
        <v>29.608076009501186</v>
      </c>
      <c r="I55" s="2">
        <v>33.530534351145036</v>
      </c>
      <c r="J55" s="2">
        <v>27.529187009127572</v>
      </c>
      <c r="K55" s="2">
        <v>29.358918447448758</v>
      </c>
      <c r="L55" s="2">
        <v>37.707756232686982</v>
      </c>
      <c r="M55" s="2">
        <v>32.920353982300888</v>
      </c>
      <c r="N55" s="2">
        <v>28.567608861726509</v>
      </c>
      <c r="O55" s="2">
        <v>28.536585365853657</v>
      </c>
      <c r="P55" s="2">
        <v>29.900133155792279</v>
      </c>
      <c r="Q55" s="2">
        <v>23.025512037369744</v>
      </c>
      <c r="R55" s="2">
        <v>36.114864864864863</v>
      </c>
      <c r="S55" s="2">
        <v>36.514866390666164</v>
      </c>
      <c r="T55" s="2">
        <v>35.29794149512459</v>
      </c>
      <c r="U55" s="2">
        <v>33.754358775668351</v>
      </c>
      <c r="V55" s="2">
        <v>29.25969447708578</v>
      </c>
      <c r="W55" s="2">
        <v>29.900110987791344</v>
      </c>
      <c r="X55" s="2">
        <v>27.661764705882351</v>
      </c>
      <c r="Y55" s="2">
        <v>39.233532934131738</v>
      </c>
      <c r="Z55" s="2">
        <v>43.36075205640423</v>
      </c>
      <c r="AA55" s="2">
        <v>34.175019275250577</v>
      </c>
      <c r="AB55" s="2">
        <v>29.32545731707317</v>
      </c>
      <c r="AC55" s="2">
        <v>36.130592503022974</v>
      </c>
      <c r="AD55" s="2">
        <v>28.134266886326195</v>
      </c>
      <c r="AE55" s="2">
        <v>25.734211545912437</v>
      </c>
      <c r="AF55" s="2">
        <v>29.091271422877643</v>
      </c>
      <c r="AG55" s="2">
        <v>28.907528641571194</v>
      </c>
      <c r="AH55" s="2">
        <v>30.548112058465286</v>
      </c>
      <c r="AI55" s="2">
        <v>27.210077806595034</v>
      </c>
      <c r="AJ55" s="2">
        <v>40.410402275497766</v>
      </c>
      <c r="AK55" s="2">
        <v>45.03889369057908</v>
      </c>
      <c r="AL55" s="2">
        <v>37.601626016260163</v>
      </c>
      <c r="AM55" s="2">
        <v>44.073900841908326</v>
      </c>
      <c r="AN55" s="2">
        <v>57.755725190839698</v>
      </c>
      <c r="AO55" s="2">
        <v>50.462686567164184</v>
      </c>
      <c r="AP55" s="2">
        <v>35.531062124248493</v>
      </c>
      <c r="AQ55" s="2">
        <v>56.710843373493979</v>
      </c>
      <c r="AR55" s="2">
        <v>65.87188612099645</v>
      </c>
      <c r="AS55" s="2">
        <v>52.984723854289072</v>
      </c>
      <c r="AT55" s="2">
        <v>58.710937499999993</v>
      </c>
      <c r="AU55" s="2">
        <v>50.284301606922128</v>
      </c>
      <c r="AV55" s="2">
        <v>57.793017456359095</v>
      </c>
      <c r="AW55" s="2">
        <v>47.157534246575338</v>
      </c>
      <c r="AX55" s="2">
        <v>71.686046511627907</v>
      </c>
      <c r="AY55" s="2">
        <v>62.513513513513516</v>
      </c>
      <c r="AZ55" s="2">
        <v>63.826530612244895</v>
      </c>
      <c r="BA55" s="2">
        <v>70.411764705882348</v>
      </c>
      <c r="BB55" s="2">
        <v>74.482758620689665</v>
      </c>
      <c r="BC55" s="2">
        <v>58.8</v>
      </c>
      <c r="BD55" s="2">
        <v>69.968652037617559</v>
      </c>
      <c r="BE55" s="2">
        <v>69.163987138263664</v>
      </c>
      <c r="BF55" s="2">
        <v>77.357859531772576</v>
      </c>
      <c r="BG55" s="2">
        <v>68.191126279863482</v>
      </c>
      <c r="BH55" s="2">
        <v>62.351097178683382</v>
      </c>
      <c r="BI55" s="2">
        <v>57.647058823529413</v>
      </c>
      <c r="BJ55" s="2">
        <v>65.05263157894737</v>
      </c>
      <c r="BK55" s="2">
        <v>50.322580645161288</v>
      </c>
      <c r="BL55" s="2">
        <v>60.202702702702702</v>
      </c>
      <c r="BM55" s="2">
        <v>53.937282229965156</v>
      </c>
      <c r="BN55" s="2">
        <v>53.936170212765951</v>
      </c>
      <c r="BO55" s="2">
        <v>54.961832061068705</v>
      </c>
      <c r="BP55" s="2">
        <v>55.44</v>
      </c>
      <c r="BQ55" s="2">
        <v>61.621621621621628</v>
      </c>
      <c r="BR55" s="2">
        <v>66.211453744493397</v>
      </c>
      <c r="BS55" s="2">
        <v>0</v>
      </c>
      <c r="BT55" s="2">
        <v>56.12903225806452</v>
      </c>
      <c r="BU55" s="2">
        <v>0</v>
      </c>
    </row>
    <row r="56" spans="1:73" x14ac:dyDescent="0.2">
      <c r="A56" s="2" t="s">
        <v>109</v>
      </c>
      <c r="B56" s="2">
        <v>53.593835993395707</v>
      </c>
      <c r="C56" s="2">
        <v>40.099277978339344</v>
      </c>
      <c r="D56" s="2">
        <v>35.431841831425601</v>
      </c>
      <c r="E56" s="2">
        <v>37.378548294913315</v>
      </c>
      <c r="F56" s="2">
        <v>37.763677969627629</v>
      </c>
      <c r="G56" s="2">
        <v>35.992454412072938</v>
      </c>
      <c r="H56" s="2">
        <v>31.353919239904986</v>
      </c>
      <c r="I56" s="2">
        <v>36.145038167938928</v>
      </c>
      <c r="J56" s="2">
        <v>35.18998089577584</v>
      </c>
      <c r="K56" s="2">
        <v>37.679895333624074</v>
      </c>
      <c r="L56" s="2">
        <v>59.14819944598338</v>
      </c>
      <c r="M56" s="2">
        <v>61.128318584070797</v>
      </c>
      <c r="N56" s="2">
        <v>64.835752482811301</v>
      </c>
      <c r="O56" s="2">
        <v>58.711782892476812</v>
      </c>
      <c r="P56" s="2">
        <v>57.673102529960055</v>
      </c>
      <c r="Q56" s="2">
        <v>59.439453826805604</v>
      </c>
      <c r="R56" s="2">
        <v>56.351351351351354</v>
      </c>
      <c r="S56" s="2">
        <v>51.486639066616483</v>
      </c>
      <c r="T56" s="2">
        <v>42.156013001083423</v>
      </c>
      <c r="U56" s="2">
        <v>40.449438202247194</v>
      </c>
      <c r="V56" s="2">
        <v>35.393654524089307</v>
      </c>
      <c r="W56" s="2">
        <v>31.69811320754717</v>
      </c>
      <c r="X56" s="2">
        <v>33.1875</v>
      </c>
      <c r="Y56" s="2">
        <v>38.838323353293418</v>
      </c>
      <c r="Z56" s="2">
        <v>33.5957696827262</v>
      </c>
      <c r="AA56" s="2">
        <v>32.75250578257517</v>
      </c>
      <c r="AB56" s="2">
        <v>29.977134146341463</v>
      </c>
      <c r="AC56" s="2">
        <v>39.576783555018139</v>
      </c>
      <c r="AD56" s="2">
        <v>38.327841845140036</v>
      </c>
      <c r="AE56" s="2">
        <v>37.45060054242542</v>
      </c>
      <c r="AF56" s="2">
        <v>40.318852132323634</v>
      </c>
      <c r="AG56" s="2">
        <v>44.779050736497545</v>
      </c>
      <c r="AH56" s="2">
        <v>45.1278928136419</v>
      </c>
      <c r="AI56" s="2">
        <v>43.049277510188958</v>
      </c>
      <c r="AJ56" s="2">
        <v>52.917513206013815</v>
      </c>
      <c r="AK56" s="2">
        <v>55.656871218668968</v>
      </c>
      <c r="AL56" s="2">
        <v>53.292682926829265</v>
      </c>
      <c r="AM56" s="2">
        <v>56.239476145930773</v>
      </c>
      <c r="AN56" s="2">
        <v>64.122137404580158</v>
      </c>
      <c r="AO56" s="2">
        <v>58.477611940298509</v>
      </c>
      <c r="AP56" s="2">
        <v>52.917835671342679</v>
      </c>
      <c r="AQ56" s="2">
        <v>53.132530120481931</v>
      </c>
      <c r="AR56" s="2">
        <v>55.943060498220646</v>
      </c>
      <c r="AS56" s="2">
        <v>53.6192714453584</v>
      </c>
      <c r="AT56" s="2">
        <v>57.421874999999993</v>
      </c>
      <c r="AU56" s="2">
        <v>55.624227441285541</v>
      </c>
      <c r="AV56" s="2">
        <v>58.241895261845379</v>
      </c>
      <c r="AW56" s="2">
        <v>49.520547945205479</v>
      </c>
      <c r="AX56" s="2">
        <v>78.75</v>
      </c>
      <c r="AY56" s="2">
        <v>69.567567567567565</v>
      </c>
      <c r="AZ56" s="2">
        <v>65.433673469387756</v>
      </c>
      <c r="BA56" s="2">
        <v>75.17647058823529</v>
      </c>
      <c r="BB56" s="2">
        <v>71.068965517241381</v>
      </c>
      <c r="BC56" s="2">
        <v>62.4</v>
      </c>
      <c r="BD56" s="2">
        <v>54.733542319749219</v>
      </c>
      <c r="BE56" s="2">
        <v>62.508038585209007</v>
      </c>
      <c r="BF56" s="2">
        <v>65.618729096989966</v>
      </c>
      <c r="BG56" s="2">
        <v>59.283276450511948</v>
      </c>
      <c r="BH56" s="2">
        <v>54.733542319749219</v>
      </c>
      <c r="BI56" s="2">
        <v>58.823529411764703</v>
      </c>
      <c r="BJ56" s="2">
        <v>61.263157894736842</v>
      </c>
      <c r="BK56" s="2">
        <v>65.483870967741936</v>
      </c>
      <c r="BL56" s="2">
        <v>57.466216216216218</v>
      </c>
      <c r="BM56" s="2">
        <v>58.013937282229961</v>
      </c>
      <c r="BN56" s="2">
        <v>56.808510638297868</v>
      </c>
      <c r="BO56" s="2">
        <v>57.022900763358784</v>
      </c>
      <c r="BP56" s="2">
        <v>58.319999999999993</v>
      </c>
      <c r="BQ56" s="2">
        <v>62.027027027027032</v>
      </c>
      <c r="BR56" s="2">
        <v>59.867841409691636</v>
      </c>
      <c r="BS56" s="2">
        <v>0</v>
      </c>
      <c r="BT56" s="2">
        <v>60.645161290322584</v>
      </c>
      <c r="BU56" s="2">
        <v>0</v>
      </c>
    </row>
    <row r="57" spans="1:73" x14ac:dyDescent="0.2">
      <c r="A57" s="2" t="s">
        <v>108</v>
      </c>
      <c r="B57" s="2">
        <v>2.0486611265004617</v>
      </c>
      <c r="C57" s="2">
        <v>1.379751357530723</v>
      </c>
      <c r="D57" s="2">
        <v>1.4827160493827161</v>
      </c>
      <c r="E57" s="2">
        <v>1.4976997465026758</v>
      </c>
      <c r="F57" s="2">
        <v>1.7055814482209843</v>
      </c>
      <c r="G57" s="2">
        <v>1.9429464634622899</v>
      </c>
      <c r="H57" s="2">
        <v>2.2195198989260896</v>
      </c>
      <c r="I57" s="2">
        <v>2.1009321761491484</v>
      </c>
      <c r="J57" s="2">
        <v>2.2703636363636366</v>
      </c>
      <c r="K57" s="2">
        <v>2.407124169853089</v>
      </c>
      <c r="L57" s="2">
        <v>2.5444839857651247</v>
      </c>
      <c r="M57" s="2">
        <v>3.0459849004804394</v>
      </c>
      <c r="N57" s="2">
        <v>2.8812273177169252</v>
      </c>
      <c r="O57" s="2">
        <v>2.7566481137909711</v>
      </c>
      <c r="P57" s="2">
        <v>3.0189317106152807</v>
      </c>
      <c r="Q57" s="2">
        <v>3.1255539143279174</v>
      </c>
      <c r="R57" s="2">
        <v>2.6282841388258191</v>
      </c>
      <c r="S57" s="2">
        <v>3.0350531705395825</v>
      </c>
      <c r="T57" s="2">
        <v>3.5765330758087881</v>
      </c>
      <c r="U57" s="2">
        <v>3.0340196956132499</v>
      </c>
      <c r="V57" s="2">
        <v>2.7257731958762887</v>
      </c>
      <c r="W57" s="2">
        <v>2.6366877971473852</v>
      </c>
      <c r="X57" s="2">
        <v>2.8154114061819766</v>
      </c>
      <c r="Y57" s="2">
        <v>2.1687779433681071</v>
      </c>
      <c r="Z57" s="2">
        <v>1.7882279663656182</v>
      </c>
      <c r="AA57" s="2">
        <v>1.6044919200219119</v>
      </c>
      <c r="AB57" s="2">
        <v>1.7723227984044185</v>
      </c>
      <c r="AC57" s="2">
        <v>1.5583498163322973</v>
      </c>
      <c r="AD57" s="2">
        <v>1.5835246842709529</v>
      </c>
      <c r="AE57" s="2">
        <v>1.5743812890943705</v>
      </c>
      <c r="AF57" s="2">
        <v>1.6372932330827068</v>
      </c>
      <c r="AG57" s="2">
        <v>1.6422315926046058</v>
      </c>
      <c r="AH57" s="2">
        <v>1.8239359767188068</v>
      </c>
      <c r="AI57" s="2">
        <v>2.1663277755185035</v>
      </c>
      <c r="AJ57" s="2">
        <v>1.9787581699346406</v>
      </c>
      <c r="AK57" s="2">
        <v>1.8465039304923458</v>
      </c>
      <c r="AL57" s="2">
        <v>2.0212252773757839</v>
      </c>
      <c r="AM57" s="2">
        <v>2.1258346173600411</v>
      </c>
      <c r="AN57" s="2">
        <v>1.896377808344796</v>
      </c>
      <c r="AO57" s="2">
        <v>1.7386519944979368</v>
      </c>
      <c r="AP57" s="2">
        <v>1.9068389876144318</v>
      </c>
      <c r="AQ57" s="2">
        <v>1.6707547169811321</v>
      </c>
      <c r="AR57" s="2">
        <v>1.8056918547595682</v>
      </c>
      <c r="AS57" s="2">
        <v>2.1446229913473425</v>
      </c>
      <c r="AT57" s="2">
        <v>2.129287598944591</v>
      </c>
      <c r="AU57" s="2">
        <v>2.2771587743732589</v>
      </c>
      <c r="AV57" s="2">
        <v>2.0332480818414322</v>
      </c>
      <c r="AW57" s="2">
        <v>2.1508474576271186</v>
      </c>
      <c r="AX57" s="2">
        <v>2.1974921630094042</v>
      </c>
      <c r="AY57" s="2">
        <v>2.195046439628483</v>
      </c>
      <c r="AZ57" s="2">
        <v>1.7655502392344498</v>
      </c>
      <c r="BA57" s="2">
        <v>1.7643835616438357</v>
      </c>
      <c r="BB57" s="2">
        <v>2.07380073800738</v>
      </c>
      <c r="BC57" s="2">
        <v>2.1654135338345863</v>
      </c>
      <c r="BD57" s="2">
        <v>1.7214484679665738</v>
      </c>
      <c r="BE57" s="2">
        <v>1.8363636363636364</v>
      </c>
      <c r="BF57" s="2">
        <v>2.105839416058394</v>
      </c>
      <c r="BG57" s="2">
        <v>1.8279220779220779</v>
      </c>
      <c r="BH57" s="2">
        <v>1.899390243902439</v>
      </c>
      <c r="BI57" s="2">
        <v>2.1157894736842104</v>
      </c>
      <c r="BJ57" s="2">
        <v>1.9377162629757785</v>
      </c>
      <c r="BK57" s="2">
        <v>1.8900343642611683</v>
      </c>
      <c r="BL57" s="2">
        <v>2.0070175438596491</v>
      </c>
      <c r="BM57" s="2">
        <v>1.9713261648745519</v>
      </c>
      <c r="BN57" s="2">
        <v>2.0682730923694779</v>
      </c>
      <c r="BO57" s="2">
        <v>2.2463054187192117</v>
      </c>
      <c r="BP57" s="2">
        <v>2.3010752688172045</v>
      </c>
      <c r="BQ57" s="2">
        <v>2.0393258426966292</v>
      </c>
      <c r="BR57" s="2">
        <v>1.7567567567567568</v>
      </c>
      <c r="BS57" s="2">
        <v>0</v>
      </c>
      <c r="BT57" s="2">
        <v>2.4293478260869565</v>
      </c>
      <c r="BU57" s="2">
        <v>0</v>
      </c>
    </row>
    <row r="58" spans="1:73" x14ac:dyDescent="0.2">
      <c r="A58" s="2" t="s">
        <v>107</v>
      </c>
      <c r="B58" s="2">
        <v>3.1099700470688916</v>
      </c>
      <c r="C58" s="2">
        <v>3.1477272727272729</v>
      </c>
      <c r="D58" s="2">
        <v>3.6961538461538463</v>
      </c>
      <c r="E58" s="2">
        <v>3.6655027932960893</v>
      </c>
      <c r="F58" s="2">
        <v>3.7062451811873554</v>
      </c>
      <c r="G58" s="2">
        <v>2.5044619422572176</v>
      </c>
      <c r="H58" s="2">
        <v>3.0397111913357402</v>
      </c>
      <c r="I58" s="2">
        <v>2.6841206602162777</v>
      </c>
      <c r="J58" s="2">
        <v>3.2692574600971547</v>
      </c>
      <c r="K58" s="2">
        <v>3.0655080213903743</v>
      </c>
      <c r="L58" s="2">
        <v>2.3867768595041321</v>
      </c>
      <c r="M58" s="2">
        <v>2.7338709677419355</v>
      </c>
      <c r="N58" s="2">
        <v>3.1504211793020458</v>
      </c>
      <c r="O58" s="2">
        <v>3.1538461538461537</v>
      </c>
      <c r="P58" s="2">
        <v>3.0100200400801604</v>
      </c>
      <c r="Q58" s="2">
        <v>3.9087078651685392</v>
      </c>
      <c r="R58" s="2">
        <v>2.4920486435921423</v>
      </c>
      <c r="S58" s="2">
        <v>2.4647495361781075</v>
      </c>
      <c r="T58" s="2">
        <v>2.5497237569060776</v>
      </c>
      <c r="U58" s="2">
        <v>2.6663223140495869</v>
      </c>
      <c r="V58" s="2">
        <v>3.0759036144578311</v>
      </c>
      <c r="W58" s="2">
        <v>3.0100222717149219</v>
      </c>
      <c r="X58" s="2">
        <v>3.2535885167464116</v>
      </c>
      <c r="Y58" s="2">
        <v>2.2939560439560438</v>
      </c>
      <c r="Z58" s="2">
        <v>2.075609756097561</v>
      </c>
      <c r="AA58" s="2">
        <v>2.6335025380710659</v>
      </c>
      <c r="AB58" s="2">
        <v>3.0690058479532163</v>
      </c>
      <c r="AC58" s="2">
        <v>2.4909638554216866</v>
      </c>
      <c r="AD58" s="2">
        <v>3.1989459815546772</v>
      </c>
      <c r="AE58" s="2">
        <v>3.4972899728997291</v>
      </c>
      <c r="AF58" s="2">
        <v>3.0937114673242911</v>
      </c>
      <c r="AG58" s="2">
        <v>3.1133757961783441</v>
      </c>
      <c r="AH58" s="2">
        <v>2.9461722488038276</v>
      </c>
      <c r="AI58" s="2">
        <v>3.3075980392156863</v>
      </c>
      <c r="AJ58" s="2">
        <v>2.2271493212669684</v>
      </c>
      <c r="AK58" s="2">
        <v>1.9982728842832469</v>
      </c>
      <c r="AL58" s="2">
        <v>2.3935135135135135</v>
      </c>
      <c r="AM58" s="2">
        <v>2.0420248328557786</v>
      </c>
      <c r="AN58" s="2">
        <v>1.5582870737509913</v>
      </c>
      <c r="AO58" s="2">
        <v>1.7834960070984915</v>
      </c>
      <c r="AP58" s="2">
        <v>2.532994923857868</v>
      </c>
      <c r="AQ58" s="2">
        <v>1.5869980879541108</v>
      </c>
      <c r="AR58" s="2">
        <v>1.366288492706645</v>
      </c>
      <c r="AS58" s="2">
        <v>1.6986027944111777</v>
      </c>
      <c r="AT58" s="2">
        <v>1.532934131736527</v>
      </c>
      <c r="AU58" s="2">
        <v>1.7898230088495575</v>
      </c>
      <c r="AV58" s="2">
        <v>1.5572815533980582</v>
      </c>
      <c r="AW58" s="2">
        <v>1.9084967320261439</v>
      </c>
      <c r="AX58" s="2">
        <v>1.2554744525547445</v>
      </c>
      <c r="AY58" s="2">
        <v>1.4396887159533074</v>
      </c>
      <c r="AZ58" s="2">
        <v>1.4100719424460431</v>
      </c>
      <c r="BA58" s="2">
        <v>1.2781954887218046</v>
      </c>
      <c r="BB58" s="2">
        <v>1.2083333333333333</v>
      </c>
      <c r="BC58" s="2">
        <v>1.5306122448979591</v>
      </c>
      <c r="BD58" s="2">
        <v>1.2862903225806452</v>
      </c>
      <c r="BE58" s="2">
        <v>1.3012552301255229</v>
      </c>
      <c r="BF58" s="2">
        <v>1.1634241245136188</v>
      </c>
      <c r="BG58" s="2">
        <v>1.3198198198198199</v>
      </c>
      <c r="BH58" s="2">
        <v>1.4434389140271493</v>
      </c>
      <c r="BI58" s="2">
        <v>1.5612244897959184</v>
      </c>
      <c r="BJ58" s="2">
        <v>1.383495145631068</v>
      </c>
      <c r="BK58" s="2">
        <v>1.7884615384615385</v>
      </c>
      <c r="BL58" s="2">
        <v>1.494949494949495</v>
      </c>
      <c r="BM58" s="2">
        <v>1.6686046511627908</v>
      </c>
      <c r="BN58" s="2">
        <v>1.668639053254438</v>
      </c>
      <c r="BO58" s="2">
        <v>1.6375</v>
      </c>
      <c r="BP58" s="2">
        <v>1.6233766233766234</v>
      </c>
      <c r="BQ58" s="2">
        <v>1.4605263157894737</v>
      </c>
      <c r="BR58" s="2">
        <v>1.3592814371257484</v>
      </c>
      <c r="BS58" s="2">
        <v>0</v>
      </c>
      <c r="BT58" s="2">
        <v>1.603448275862069</v>
      </c>
      <c r="BU58" s="2">
        <v>0</v>
      </c>
    </row>
    <row r="59" spans="1:73" x14ac:dyDescent="0.2">
      <c r="A59" s="2" t="s">
        <v>106</v>
      </c>
      <c r="B59" s="2">
        <v>1.6792975970425139</v>
      </c>
      <c r="C59" s="2">
        <v>2.2444294395678597</v>
      </c>
      <c r="D59" s="2">
        <v>2.540088105726872</v>
      </c>
      <c r="E59" s="2">
        <v>2.4077981651376148</v>
      </c>
      <c r="F59" s="2">
        <v>2.3832424392662368</v>
      </c>
      <c r="G59" s="2">
        <v>2.500524109014675</v>
      </c>
      <c r="H59" s="2">
        <v>2.8704545454545456</v>
      </c>
      <c r="I59" s="2">
        <v>2.4899683210137278</v>
      </c>
      <c r="J59" s="2">
        <v>2.5575461454940283</v>
      </c>
      <c r="K59" s="2">
        <v>2.3885416666666668</v>
      </c>
      <c r="L59" s="2">
        <v>1.5216016859852477</v>
      </c>
      <c r="M59" s="2">
        <v>1.4723127035830619</v>
      </c>
      <c r="N59" s="2">
        <v>1.3881230116648993</v>
      </c>
      <c r="O59" s="2">
        <v>1.5329120589784098</v>
      </c>
      <c r="P59" s="2">
        <v>1.5605194805194804</v>
      </c>
      <c r="Q59" s="2">
        <v>1.5141458106637649</v>
      </c>
      <c r="R59" s="2">
        <v>1.5971223021582734</v>
      </c>
      <c r="S59" s="2">
        <v>1.7480263157894738</v>
      </c>
      <c r="T59" s="2">
        <v>2.1349267540478025</v>
      </c>
      <c r="U59" s="2">
        <v>2.2250000000000001</v>
      </c>
      <c r="V59" s="2">
        <v>2.5428286852589643</v>
      </c>
      <c r="W59" s="2">
        <v>2.8392857142857144</v>
      </c>
      <c r="X59" s="2">
        <v>2.7118644067796609</v>
      </c>
      <c r="Y59" s="2">
        <v>2.3172987974098058</v>
      </c>
      <c r="Z59" s="2">
        <v>2.6789087093389297</v>
      </c>
      <c r="AA59" s="2">
        <v>2.7478813559322033</v>
      </c>
      <c r="AB59" s="2">
        <v>3.0022883295194509</v>
      </c>
      <c r="AC59" s="2">
        <v>2.2740604949587535</v>
      </c>
      <c r="AD59" s="2">
        <v>2.3481624758220505</v>
      </c>
      <c r="AE59" s="2">
        <v>2.4031657355679701</v>
      </c>
      <c r="AF59" s="2">
        <v>2.2322064056939501</v>
      </c>
      <c r="AG59" s="2">
        <v>2.0098684210526314</v>
      </c>
      <c r="AH59" s="2">
        <v>1.9943319838056681</v>
      </c>
      <c r="AI59" s="2">
        <v>2.0906274206041826</v>
      </c>
      <c r="AJ59" s="2">
        <v>1.700760193503801</v>
      </c>
      <c r="AK59" s="2">
        <v>1.6170510132774283</v>
      </c>
      <c r="AL59" s="2">
        <v>1.688787185354691</v>
      </c>
      <c r="AM59" s="2">
        <v>1.6002994011976048</v>
      </c>
      <c r="AN59" s="2">
        <v>1.4035714285714285</v>
      </c>
      <c r="AO59" s="2">
        <v>1.5390505359877489</v>
      </c>
      <c r="AP59" s="2">
        <v>1.7007498295841854</v>
      </c>
      <c r="AQ59" s="2">
        <v>1.6938775510204083</v>
      </c>
      <c r="AR59" s="2">
        <v>1.6087786259541985</v>
      </c>
      <c r="AS59" s="2">
        <v>1.6785009861932938</v>
      </c>
      <c r="AT59" s="2">
        <v>1.5673469387755101</v>
      </c>
      <c r="AU59" s="2">
        <v>1.6180000000000001</v>
      </c>
      <c r="AV59" s="2">
        <v>1.5452793834296725</v>
      </c>
      <c r="AW59" s="2">
        <v>1.8174273858921162</v>
      </c>
      <c r="AX59" s="2">
        <v>1.1428571428571428</v>
      </c>
      <c r="AY59" s="2">
        <v>1.2937062937062938</v>
      </c>
      <c r="AZ59" s="2">
        <v>1.3754385964912281</v>
      </c>
      <c r="BA59" s="2">
        <v>1.1971830985915493</v>
      </c>
      <c r="BB59" s="2">
        <v>1.2663755458515285</v>
      </c>
      <c r="BC59" s="2">
        <v>1.4423076923076923</v>
      </c>
      <c r="BD59" s="2">
        <v>1.6443298969072164</v>
      </c>
      <c r="BE59" s="2">
        <v>1.4398148148148149</v>
      </c>
      <c r="BF59" s="2">
        <v>1.371559633027523</v>
      </c>
      <c r="BG59" s="2">
        <v>1.5181347150259068</v>
      </c>
      <c r="BH59" s="2">
        <v>1.6443298969072164</v>
      </c>
      <c r="BI59" s="2">
        <v>1.53</v>
      </c>
      <c r="BJ59" s="2">
        <v>1.4690721649484537</v>
      </c>
      <c r="BK59" s="2">
        <v>1.374384236453202</v>
      </c>
      <c r="BL59" s="2">
        <v>1.5661375661375661</v>
      </c>
      <c r="BM59" s="2">
        <v>1.5513513513513513</v>
      </c>
      <c r="BN59" s="2">
        <v>1.5842696629213484</v>
      </c>
      <c r="BO59" s="2">
        <v>1.5783132530120483</v>
      </c>
      <c r="BP59" s="2">
        <v>1.5432098765432098</v>
      </c>
      <c r="BQ59" s="2">
        <v>1.4509803921568627</v>
      </c>
      <c r="BR59" s="2">
        <v>1.5033112582781456</v>
      </c>
      <c r="BS59" s="2">
        <v>0</v>
      </c>
      <c r="BT59" s="2">
        <v>1.4840425531914894</v>
      </c>
      <c r="BU59" s="2">
        <v>0</v>
      </c>
    </row>
    <row r="60" spans="1:73" x14ac:dyDescent="0.2">
      <c r="A60" s="3" t="s">
        <v>105</v>
      </c>
      <c r="B60" s="3">
        <v>0.10616824987741046</v>
      </c>
      <c r="C60" s="3">
        <v>9.2009715544871792E-2</v>
      </c>
      <c r="D60" s="3">
        <v>0.10478275845101609</v>
      </c>
      <c r="E60" s="3">
        <v>5.649794614954215E-2</v>
      </c>
      <c r="F60" s="3">
        <v>7.1350559020492629E-2</v>
      </c>
      <c r="G60" s="3">
        <v>7.8851968075198092E-2</v>
      </c>
      <c r="H60" s="3">
        <v>6.3890776914211411E-2</v>
      </c>
      <c r="I60" s="3">
        <v>-2.856011332652968E-2</v>
      </c>
      <c r="J60" s="3">
        <v>3.0316890839181831E-2</v>
      </c>
      <c r="K60" s="3">
        <v>1.885208582323146E-2</v>
      </c>
      <c r="L60" s="3">
        <v>0.14690678672669669</v>
      </c>
      <c r="M60" s="3">
        <v>0.14959916662892342</v>
      </c>
      <c r="N60" s="3">
        <v>0.1581769436997319</v>
      </c>
      <c r="O60" s="3">
        <v>0.16190476190476191</v>
      </c>
      <c r="P60" s="3">
        <v>0.14791492359857325</v>
      </c>
      <c r="Q60" s="3">
        <v>0.14706023058891068</v>
      </c>
      <c r="R60" s="3">
        <v>0.12339209147212958</v>
      </c>
      <c r="S60" s="3">
        <v>0.1075063059928677</v>
      </c>
      <c r="T60" s="3">
        <v>7.9595021809596225E-2</v>
      </c>
      <c r="U60" s="3">
        <v>7.6989370870439527E-2</v>
      </c>
      <c r="V60" s="3">
        <v>6.2296586831344404E-2</v>
      </c>
      <c r="W60" s="3">
        <v>5.7419059127463645E-2</v>
      </c>
      <c r="X60" s="3">
        <v>5.5395171750135974E-2</v>
      </c>
      <c r="Y60" s="3">
        <v>2.9171083315666736E-2</v>
      </c>
      <c r="Z60" s="3">
        <v>2.3487692949520234E-2</v>
      </c>
      <c r="AA60" s="3">
        <v>1.5781275618953927E-2</v>
      </c>
      <c r="AB60" s="3">
        <v>3.3920704845814977E-2</v>
      </c>
      <c r="AC60" s="3">
        <v>3.3251174254755149E-2</v>
      </c>
      <c r="AD60" s="3">
        <v>3.1165433880570088E-2</v>
      </c>
      <c r="AE60" s="3">
        <v>2.0280744057871166E-2</v>
      </c>
      <c r="AF60" s="3">
        <v>4.182766252766628E-2</v>
      </c>
      <c r="AG60" s="3">
        <v>4.3566953227451549E-2</v>
      </c>
      <c r="AH60" s="3">
        <v>0.11594474069916114</v>
      </c>
      <c r="AI60" s="3">
        <v>0.24053125361955136</v>
      </c>
      <c r="AJ60" s="3">
        <v>2.622627557308356E-2</v>
      </c>
      <c r="AK60" s="3">
        <v>2.4290475709524289E-2</v>
      </c>
      <c r="AL60" s="3">
        <v>2.2651222651222651E-2</v>
      </c>
      <c r="AM60" s="3">
        <v>1.2557137603110387E-2</v>
      </c>
      <c r="AN60" s="3">
        <v>-3.3453313571882276E-2</v>
      </c>
      <c r="AO60" s="3">
        <v>-1.5303240384121604E-2</v>
      </c>
      <c r="AP60" s="3">
        <v>-6.0196934321388694E-2</v>
      </c>
      <c r="AQ60" s="3">
        <v>7.3618433899628979E-2</v>
      </c>
      <c r="AR60" s="3">
        <v>9.1005515485787017E-2</v>
      </c>
      <c r="AS60" s="3">
        <v>5.6061667834618079E-2</v>
      </c>
      <c r="AT60" s="3">
        <v>8.4708199950751045E-2</v>
      </c>
      <c r="AU60" s="3">
        <v>9.6747519294377068E-2</v>
      </c>
      <c r="AV60" s="3">
        <v>4.1628122109158186E-2</v>
      </c>
      <c r="AW60" s="3">
        <v>-5.2937378954163977E-2</v>
      </c>
      <c r="AX60" s="3">
        <v>5.0095117311350669E-2</v>
      </c>
      <c r="AY60" s="3">
        <v>4.4786096256684491E-2</v>
      </c>
      <c r="AZ60" s="3">
        <v>5.9598059598059597E-2</v>
      </c>
      <c r="BA60" s="3">
        <v>5.2090975788701394E-2</v>
      </c>
      <c r="BB60" s="3">
        <v>4.3278437380314054E-2</v>
      </c>
      <c r="BC60" s="3">
        <v>4.9642573471008734E-2</v>
      </c>
      <c r="BD60" s="3">
        <v>6.5729640347250928E-2</v>
      </c>
      <c r="BE60" s="3">
        <v>6.334643949322849E-2</v>
      </c>
      <c r="BF60" s="3">
        <v>6.1836640516843559E-2</v>
      </c>
      <c r="BG60" s="3">
        <v>6.1274509803921566E-2</v>
      </c>
      <c r="BH60" s="3">
        <v>7.6769690927218345E-2</v>
      </c>
      <c r="BI60" s="3">
        <v>7.7005347593582893E-2</v>
      </c>
      <c r="BJ60" s="3">
        <v>7.5376884422110546E-2</v>
      </c>
      <c r="BK60" s="3">
        <v>7.2384428223844277E-2</v>
      </c>
      <c r="BL60" s="3">
        <v>0.10897009966777409</v>
      </c>
      <c r="BM60" s="3">
        <v>9.2273068267066771E-2</v>
      </c>
      <c r="BN60" s="3">
        <v>7.4999999999999997E-2</v>
      </c>
      <c r="BO60" s="3">
        <v>3.4958601655933765E-2</v>
      </c>
      <c r="BP60" s="3">
        <v>-2.0192307692307693E-2</v>
      </c>
      <c r="BQ60" s="3">
        <v>2.6385224274406332E-3</v>
      </c>
      <c r="BR60" s="3">
        <v>-4.0897097625329816E-2</v>
      </c>
      <c r="BS60" s="3">
        <v>0</v>
      </c>
      <c r="BT60" s="3">
        <v>2.3076923076923078E-2</v>
      </c>
      <c r="BU60" s="3">
        <v>0</v>
      </c>
    </row>
    <row r="61" spans="1:73" x14ac:dyDescent="0.2">
      <c r="A61" s="2" t="s">
        <v>104</v>
      </c>
      <c r="B61" s="2">
        <v>4.8662313039814623E-2</v>
      </c>
      <c r="C61" s="2">
        <v>5.2731491246572455E-2</v>
      </c>
      <c r="D61" s="2">
        <v>5.0084530853761626E-2</v>
      </c>
      <c r="E61" s="2">
        <v>3.0123037759864236E-2</v>
      </c>
      <c r="F61" s="2">
        <v>3.0592734225621414E-2</v>
      </c>
      <c r="G61" s="2">
        <v>2.1299254526091587E-2</v>
      </c>
      <c r="H61" s="2">
        <v>2.6073947424663388E-2</v>
      </c>
      <c r="I61" s="2">
        <v>3.688612481235256E-2</v>
      </c>
      <c r="J61" s="2">
        <v>2.838709677419355E-2</v>
      </c>
      <c r="K61" s="2">
        <v>2.6991150442477876E-2</v>
      </c>
      <c r="L61" s="2">
        <v>2.5423728813559324E-2</v>
      </c>
      <c r="M61" s="2">
        <v>2.9539951573849879E-2</v>
      </c>
      <c r="N61" s="2">
        <v>2.9397590361445784E-2</v>
      </c>
      <c r="O61" s="2">
        <v>2.4641148325358853E-2</v>
      </c>
      <c r="P61" s="2">
        <v>2.9683698296836983E-2</v>
      </c>
      <c r="Q61" s="2">
        <v>2.857037301577528E-2</v>
      </c>
      <c r="R61" s="2">
        <v>2.0781252865062435E-2</v>
      </c>
      <c r="S61" s="2">
        <v>2.4514563106796117E-2</v>
      </c>
      <c r="T61" s="2">
        <v>2.1305824286024882E-2</v>
      </c>
      <c r="U61" s="2">
        <v>2.7910582260859098E-2</v>
      </c>
      <c r="V61" s="2">
        <v>3.072982605211242E-2</v>
      </c>
      <c r="W61" s="2">
        <v>2.7939806872212147E-2</v>
      </c>
      <c r="X61" s="2">
        <v>2.5122224548354125E-2</v>
      </c>
      <c r="Y61" s="2">
        <v>2.6054590570719603E-2</v>
      </c>
      <c r="Z61" s="2">
        <v>3.6907730673316708E-2</v>
      </c>
      <c r="AA61" s="2">
        <v>2.7135678391959798E-2</v>
      </c>
      <c r="AB61" s="2">
        <v>2.4181360201511334E-2</v>
      </c>
      <c r="AC61" s="2">
        <v>2.8140703517587941E-2</v>
      </c>
      <c r="AD61" s="2">
        <v>3.1486146095717885E-2</v>
      </c>
      <c r="AE61" s="2">
        <v>2.4688279301745636E-2</v>
      </c>
      <c r="AF61" s="2">
        <v>2.5728155339805825E-2</v>
      </c>
      <c r="AG61" s="2">
        <v>2.7906976744186046E-2</v>
      </c>
      <c r="AH61" s="2">
        <v>4.4893111638954868E-2</v>
      </c>
      <c r="AI61" s="2">
        <v>5.3658536585365853E-2</v>
      </c>
      <c r="AJ61" s="2">
        <v>5.71078431372549E-2</v>
      </c>
      <c r="AK61" s="2">
        <v>6.2653562653562658E-2</v>
      </c>
      <c r="AL61" s="2">
        <v>6.3523573200992556E-2</v>
      </c>
      <c r="AM61" s="2">
        <v>8.1453634085213028E-2</v>
      </c>
      <c r="AN61" s="2">
        <v>4.8492462311557787E-2</v>
      </c>
      <c r="AO61" s="2">
        <v>5.8585858585858588E-2</v>
      </c>
      <c r="AP61" s="2">
        <v>4.0306122448979589E-2</v>
      </c>
      <c r="AQ61" s="2">
        <v>5.0541516245487361E-2</v>
      </c>
      <c r="AR61" s="2">
        <v>3.8405797101449278E-2</v>
      </c>
      <c r="AS61" s="2">
        <v>5.5849056603773588E-2</v>
      </c>
      <c r="AT61" s="2">
        <v>6.86046511627907E-2</v>
      </c>
      <c r="AU61" s="2">
        <v>6.3529411764705876E-2</v>
      </c>
      <c r="AV61" s="2">
        <v>7.4409448818897633E-2</v>
      </c>
      <c r="AW61" s="2">
        <v>3.7999999999999999E-2</v>
      </c>
      <c r="AX61" s="2">
        <v>2.9083665338645419E-2</v>
      </c>
      <c r="AY61" s="2">
        <v>2.0883534136546186E-2</v>
      </c>
      <c r="AZ61" s="2">
        <v>2.2983870967741935E-2</v>
      </c>
      <c r="BA61" s="2">
        <v>2.620967741935484E-2</v>
      </c>
      <c r="BB61" s="2">
        <v>1.9105691056910568E-2</v>
      </c>
      <c r="BC61" s="2">
        <v>2.7235772357723578E-2</v>
      </c>
      <c r="BD61" s="2">
        <v>2.9674796747967479E-2</v>
      </c>
      <c r="BE61" s="2">
        <v>2.6530612244897958E-2</v>
      </c>
      <c r="BF61" s="2">
        <v>2.2950819672131147E-2</v>
      </c>
      <c r="BG61" s="2">
        <v>1.9183673469387756E-2</v>
      </c>
      <c r="BH61" s="2">
        <v>1.5102040816326531E-2</v>
      </c>
      <c r="BI61" s="2">
        <v>9.7560975609756097E-3</v>
      </c>
      <c r="BJ61" s="2">
        <v>7.7551020408163267E-3</v>
      </c>
      <c r="BK61" s="2">
        <v>1.3223140495867768E-2</v>
      </c>
      <c r="BL61" s="2">
        <v>1.2396694214876033E-2</v>
      </c>
      <c r="BM61" s="2">
        <v>9.2050209205020925E-3</v>
      </c>
      <c r="BN61" s="2">
        <v>7.5630252100840336E-3</v>
      </c>
      <c r="BO61" s="2">
        <v>3.8135593220338985E-3</v>
      </c>
      <c r="BP61" s="2">
        <v>8.8983050847457629E-3</v>
      </c>
      <c r="BQ61" s="2">
        <v>5.6338028169014088E-3</v>
      </c>
      <c r="BR61" s="2">
        <v>6.0747663551401869E-3</v>
      </c>
      <c r="BS61" s="2">
        <v>5.6074766355140183E-3</v>
      </c>
      <c r="BT61" s="2">
        <v>8.4112149532710283E-3</v>
      </c>
      <c r="BU61" s="2">
        <v>8.8785046728971969E-3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3AD1-D004-5E4E-A437-971A3398256B}">
  <dimension ref="A1:BU40"/>
  <sheetViews>
    <sheetView tabSelected="1" workbookViewId="0"/>
  </sheetViews>
  <sheetFormatPr baseColWidth="10" defaultRowHeight="16" x14ac:dyDescent="0.2"/>
  <cols>
    <col min="1" max="1" width="38.1640625" bestFit="1" customWidth="1"/>
    <col min="2" max="2" width="14.5" bestFit="1" customWidth="1"/>
    <col min="3" max="23" width="9.1640625" bestFit="1" customWidth="1"/>
    <col min="24" max="24" width="8.1640625" bestFit="1" customWidth="1"/>
    <col min="25" max="28" width="9.1640625" bestFit="1" customWidth="1"/>
    <col min="29" max="29" width="10.1640625" bestFit="1" customWidth="1"/>
    <col min="30" max="30" width="9.1640625" bestFit="1" customWidth="1"/>
    <col min="31" max="31" width="10.1640625" bestFit="1" customWidth="1"/>
    <col min="32" max="34" width="9.1640625" bestFit="1" customWidth="1"/>
    <col min="35" max="35" width="10.1640625" bestFit="1" customWidth="1"/>
    <col min="36" max="38" width="9.1640625" bestFit="1" customWidth="1"/>
    <col min="39" max="39" width="10.1640625" bestFit="1" customWidth="1"/>
    <col min="40" max="40" width="9.83203125" bestFit="1" customWidth="1"/>
    <col min="41" max="41" width="8.83203125" bestFit="1" customWidth="1"/>
    <col min="42" max="42" width="9.83203125" bestFit="1" customWidth="1"/>
    <col min="43" max="44" width="9.1640625" bestFit="1" customWidth="1"/>
    <col min="45" max="45" width="8.1640625" bestFit="1" customWidth="1"/>
    <col min="46" max="46" width="9.1640625" bestFit="1" customWidth="1"/>
    <col min="47" max="47" width="10.1640625" bestFit="1" customWidth="1"/>
    <col min="48" max="48" width="8.5" bestFit="1" customWidth="1"/>
    <col min="49" max="49" width="9.83203125" bestFit="1" customWidth="1"/>
    <col min="50" max="50" width="8.83203125" bestFit="1" customWidth="1"/>
    <col min="51" max="51" width="9.1640625" bestFit="1" customWidth="1"/>
    <col min="52" max="52" width="8.5" bestFit="1" customWidth="1"/>
    <col min="53" max="54" width="8.1640625" bestFit="1" customWidth="1"/>
    <col min="55" max="55" width="9.1640625" bestFit="1" customWidth="1"/>
    <col min="56" max="56" width="8.5" bestFit="1" customWidth="1"/>
    <col min="57" max="57" width="9.1640625" bestFit="1" customWidth="1"/>
    <col min="58" max="58" width="8.1640625" bestFit="1" customWidth="1"/>
    <col min="59" max="59" width="9.1640625" bestFit="1" customWidth="1"/>
    <col min="60" max="60" width="8.5" bestFit="1" customWidth="1"/>
    <col min="61" max="62" width="8.1640625" bestFit="1" customWidth="1"/>
    <col min="63" max="63" width="9.1640625" bestFit="1" customWidth="1"/>
    <col min="64" max="64" width="8.5" bestFit="1" customWidth="1"/>
    <col min="65" max="66" width="8.1640625" bestFit="1" customWidth="1"/>
    <col min="67" max="67" width="9.1640625" bestFit="1" customWidth="1"/>
    <col min="68" max="68" width="9.83203125" bestFit="1" customWidth="1"/>
    <col min="69" max="69" width="8.1640625" bestFit="1" customWidth="1"/>
    <col min="70" max="70" width="9.1640625" bestFit="1" customWidth="1"/>
    <col min="71" max="71" width="8.83203125" bestFit="1" customWidth="1"/>
    <col min="72" max="72" width="8.5" bestFit="1" customWidth="1"/>
    <col min="73" max="73" width="7.5" bestFit="1" customWidth="1"/>
  </cols>
  <sheetData>
    <row r="1" spans="1:73" x14ac:dyDescent="0.2">
      <c r="A1" s="9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</row>
    <row r="2" spans="1:73" x14ac:dyDescent="0.2">
      <c r="A2" t="s">
        <v>1</v>
      </c>
      <c r="B2" t="s">
        <v>2</v>
      </c>
    </row>
    <row r="3" spans="1:73" x14ac:dyDescent="0.2">
      <c r="A3" t="s">
        <v>3</v>
      </c>
      <c r="B3" t="str">
        <f>'AVGO - Income Statement Q'!B3</f>
        <v>USD</v>
      </c>
    </row>
    <row r="4" spans="1:73" x14ac:dyDescent="0.2">
      <c r="A4" t="s">
        <v>32</v>
      </c>
      <c r="B4" t="s">
        <v>195</v>
      </c>
      <c r="C4" t="s">
        <v>196</v>
      </c>
      <c r="D4" t="s">
        <v>197</v>
      </c>
      <c r="E4" t="s">
        <v>198</v>
      </c>
      <c r="F4" t="s">
        <v>195</v>
      </c>
      <c r="G4" t="s">
        <v>196</v>
      </c>
      <c r="H4" t="s">
        <v>197</v>
      </c>
      <c r="I4" t="s">
        <v>198</v>
      </c>
      <c r="J4" t="s">
        <v>195</v>
      </c>
      <c r="K4" t="s">
        <v>196</v>
      </c>
      <c r="L4" t="s">
        <v>197</v>
      </c>
      <c r="M4" t="s">
        <v>198</v>
      </c>
      <c r="N4" t="s">
        <v>195</v>
      </c>
      <c r="O4" t="s">
        <v>196</v>
      </c>
      <c r="P4" t="s">
        <v>197</v>
      </c>
      <c r="Q4" t="s">
        <v>198</v>
      </c>
      <c r="R4" t="s">
        <v>195</v>
      </c>
      <c r="S4" t="s">
        <v>196</v>
      </c>
      <c r="T4" t="s">
        <v>197</v>
      </c>
      <c r="U4" t="s">
        <v>198</v>
      </c>
      <c r="V4" t="s">
        <v>195</v>
      </c>
      <c r="W4" t="s">
        <v>196</v>
      </c>
      <c r="X4" t="s">
        <v>197</v>
      </c>
      <c r="Y4" t="s">
        <v>198</v>
      </c>
      <c r="Z4" t="s">
        <v>195</v>
      </c>
      <c r="AA4" t="s">
        <v>196</v>
      </c>
      <c r="AB4" t="s">
        <v>197</v>
      </c>
      <c r="AC4" t="s">
        <v>198</v>
      </c>
      <c r="AD4" t="s">
        <v>195</v>
      </c>
      <c r="AE4" t="s">
        <v>196</v>
      </c>
      <c r="AF4" t="s">
        <v>197</v>
      </c>
      <c r="AG4" t="s">
        <v>198</v>
      </c>
      <c r="AH4" t="s">
        <v>195</v>
      </c>
      <c r="AI4" t="s">
        <v>196</v>
      </c>
      <c r="AJ4" t="s">
        <v>197</v>
      </c>
      <c r="AK4" t="s">
        <v>198</v>
      </c>
      <c r="AL4" t="s">
        <v>195</v>
      </c>
      <c r="AM4" t="s">
        <v>196</v>
      </c>
      <c r="AN4" t="s">
        <v>197</v>
      </c>
      <c r="AO4" t="s">
        <v>198</v>
      </c>
      <c r="AP4" t="s">
        <v>195</v>
      </c>
      <c r="AQ4" t="s">
        <v>196</v>
      </c>
      <c r="AR4" t="s">
        <v>197</v>
      </c>
      <c r="AS4" t="s">
        <v>198</v>
      </c>
      <c r="AT4" t="s">
        <v>195</v>
      </c>
      <c r="AU4" t="s">
        <v>196</v>
      </c>
      <c r="AV4" t="s">
        <v>197</v>
      </c>
      <c r="AW4" t="s">
        <v>198</v>
      </c>
      <c r="AX4" t="s">
        <v>195</v>
      </c>
      <c r="AY4" t="s">
        <v>196</v>
      </c>
      <c r="AZ4" t="s">
        <v>197</v>
      </c>
      <c r="BA4" t="s">
        <v>198</v>
      </c>
      <c r="BB4" t="s">
        <v>195</v>
      </c>
      <c r="BC4" t="s">
        <v>196</v>
      </c>
      <c r="BD4" t="s">
        <v>197</v>
      </c>
      <c r="BE4" t="s">
        <v>198</v>
      </c>
      <c r="BF4" t="s">
        <v>195</v>
      </c>
      <c r="BG4" t="s">
        <v>196</v>
      </c>
      <c r="BH4" t="s">
        <v>197</v>
      </c>
      <c r="BI4" t="s">
        <v>198</v>
      </c>
      <c r="BJ4" t="s">
        <v>195</v>
      </c>
      <c r="BK4" t="s">
        <v>196</v>
      </c>
      <c r="BL4" t="s">
        <v>197</v>
      </c>
      <c r="BM4" t="s">
        <v>198</v>
      </c>
      <c r="BN4" t="s">
        <v>195</v>
      </c>
      <c r="BO4" t="s">
        <v>196</v>
      </c>
      <c r="BP4" t="s">
        <v>197</v>
      </c>
      <c r="BQ4" t="s">
        <v>198</v>
      </c>
      <c r="BR4" t="s">
        <v>195</v>
      </c>
      <c r="BS4" t="s">
        <v>196</v>
      </c>
      <c r="BT4" t="s">
        <v>197</v>
      </c>
      <c r="BU4" t="s">
        <v>198</v>
      </c>
    </row>
    <row r="5" spans="1:73" x14ac:dyDescent="0.2">
      <c r="A5" t="s">
        <v>34</v>
      </c>
      <c r="B5" s="8">
        <v>46142</v>
      </c>
      <c r="C5" s="8">
        <v>46054</v>
      </c>
      <c r="D5" s="8">
        <v>45963</v>
      </c>
      <c r="E5" s="8">
        <v>45872</v>
      </c>
      <c r="F5" s="8">
        <v>45781</v>
      </c>
      <c r="G5" s="8">
        <v>45690</v>
      </c>
      <c r="H5" s="8">
        <v>45599</v>
      </c>
      <c r="I5" s="8">
        <v>45508</v>
      </c>
      <c r="J5" s="8">
        <v>45417</v>
      </c>
      <c r="K5" s="8">
        <v>45326</v>
      </c>
      <c r="L5" s="8">
        <v>45228</v>
      </c>
      <c r="M5" s="8">
        <v>45137</v>
      </c>
      <c r="N5" s="8">
        <v>45046</v>
      </c>
      <c r="O5" s="8">
        <v>44955</v>
      </c>
      <c r="P5" s="8">
        <v>44864</v>
      </c>
      <c r="Q5" s="8">
        <v>44773</v>
      </c>
      <c r="R5" s="8">
        <v>44682</v>
      </c>
      <c r="S5" s="8">
        <v>44591</v>
      </c>
      <c r="T5" s="8">
        <v>44500</v>
      </c>
      <c r="U5" s="8">
        <v>44409</v>
      </c>
      <c r="V5" s="8">
        <v>44318</v>
      </c>
      <c r="W5" s="8">
        <v>44227</v>
      </c>
      <c r="X5" s="8">
        <v>44136</v>
      </c>
      <c r="Y5" s="8">
        <v>44045</v>
      </c>
      <c r="Z5" s="8">
        <v>43954</v>
      </c>
      <c r="AA5" s="8">
        <v>43863</v>
      </c>
      <c r="AB5" s="8">
        <v>43772</v>
      </c>
      <c r="AC5" s="8">
        <v>43681</v>
      </c>
      <c r="AD5" s="8">
        <v>43590</v>
      </c>
      <c r="AE5" s="8">
        <v>43498</v>
      </c>
      <c r="AF5" s="8">
        <v>43408</v>
      </c>
      <c r="AG5" s="8">
        <v>43317</v>
      </c>
      <c r="AH5" s="8">
        <v>43226</v>
      </c>
      <c r="AI5" s="8">
        <v>43194</v>
      </c>
      <c r="AJ5" s="8">
        <v>43039</v>
      </c>
      <c r="AK5" s="8">
        <v>42947</v>
      </c>
      <c r="AL5" s="8">
        <v>42855</v>
      </c>
      <c r="AM5" s="8">
        <v>42766</v>
      </c>
      <c r="AN5" s="8">
        <v>42674</v>
      </c>
      <c r="AO5" s="8">
        <v>42582</v>
      </c>
      <c r="AP5" s="8">
        <v>42490</v>
      </c>
      <c r="AQ5" s="8">
        <v>42400</v>
      </c>
      <c r="AR5" s="8">
        <v>42308</v>
      </c>
      <c r="AS5" s="8">
        <v>42216</v>
      </c>
      <c r="AT5" s="8">
        <v>42124</v>
      </c>
      <c r="AU5" s="8">
        <v>42035</v>
      </c>
      <c r="AV5" s="8">
        <v>41943</v>
      </c>
      <c r="AW5" s="8">
        <v>41851</v>
      </c>
      <c r="AX5" s="8">
        <v>41759</v>
      </c>
      <c r="AY5" s="8">
        <v>41670</v>
      </c>
      <c r="AZ5" s="8">
        <v>41578</v>
      </c>
      <c r="BA5" s="8">
        <v>41486</v>
      </c>
      <c r="BB5" s="8">
        <v>41394</v>
      </c>
      <c r="BC5" s="8">
        <v>41305</v>
      </c>
      <c r="BD5" s="8">
        <v>41213</v>
      </c>
      <c r="BE5" s="8">
        <v>41121</v>
      </c>
      <c r="BF5" s="8">
        <v>41029</v>
      </c>
      <c r="BG5" s="8">
        <v>40939</v>
      </c>
      <c r="BH5" s="8">
        <v>40847</v>
      </c>
      <c r="BI5" s="8">
        <v>40755</v>
      </c>
      <c r="BJ5" s="8">
        <v>40663</v>
      </c>
      <c r="BK5" s="8">
        <v>40574</v>
      </c>
      <c r="BL5" s="8">
        <v>40482</v>
      </c>
      <c r="BM5" s="8">
        <v>40390</v>
      </c>
      <c r="BN5" s="8">
        <v>40298</v>
      </c>
      <c r="BO5" s="8">
        <v>40209</v>
      </c>
      <c r="BP5" s="8">
        <v>40117</v>
      </c>
      <c r="BQ5" s="8">
        <v>40025</v>
      </c>
      <c r="BR5" s="8">
        <v>39933</v>
      </c>
      <c r="BS5" s="8">
        <v>39844</v>
      </c>
      <c r="BT5" s="8">
        <v>39752</v>
      </c>
      <c r="BU5" s="8">
        <v>39660</v>
      </c>
    </row>
    <row r="7" spans="1:73" x14ac:dyDescent="0.2">
      <c r="A7" s="3" t="s">
        <v>194</v>
      </c>
      <c r="B7" s="3">
        <v>0.14893066128113511</v>
      </c>
      <c r="C7" s="3">
        <v>7.194004995836803E-2</v>
      </c>
      <c r="D7" s="3">
        <v>0.12932547642928785</v>
      </c>
      <c r="E7" s="3">
        <v>6.3183151159690754E-2</v>
      </c>
      <c r="F7" s="3">
        <v>5.8997050147492625E-3</v>
      </c>
      <c r="G7" s="3">
        <v>6.1334851287889569E-2</v>
      </c>
      <c r="H7" s="3">
        <v>7.5122399020807834E-2</v>
      </c>
      <c r="I7" s="3">
        <v>4.6848722671578441E-2</v>
      </c>
      <c r="J7" s="3">
        <v>4.3976256165872418E-2</v>
      </c>
      <c r="K7" s="3">
        <v>0.28682087143625606</v>
      </c>
      <c r="L7" s="3">
        <v>4.7205948625506984E-2</v>
      </c>
      <c r="M7" s="3">
        <v>1.6374670788961411E-2</v>
      </c>
      <c r="N7" s="3">
        <v>-2.0415030846887269E-2</v>
      </c>
      <c r="O7" s="3">
        <v>-1.6797312430011197E-3</v>
      </c>
      <c r="P7" s="3">
        <v>5.5056710775047257E-2</v>
      </c>
      <c r="Q7" s="3">
        <v>4.4551400715784277E-2</v>
      </c>
      <c r="R7" s="3">
        <v>5.1518297430573581E-2</v>
      </c>
      <c r="S7" s="3">
        <v>4.0367220197110844E-2</v>
      </c>
      <c r="T7" s="3">
        <v>9.2800236057834176E-2</v>
      </c>
      <c r="U7" s="3">
        <v>2.5416036308623297E-2</v>
      </c>
      <c r="V7" s="3">
        <v>-6.7618332081141996E-3</v>
      </c>
      <c r="W7" s="3">
        <v>2.9070666460491727E-2</v>
      </c>
      <c r="X7" s="3">
        <v>0.11097749527572583</v>
      </c>
      <c r="Y7" s="3">
        <v>1.3758272378962034E-2</v>
      </c>
      <c r="Z7" s="3">
        <v>-1.9801980198019802E-2</v>
      </c>
      <c r="AA7" s="3">
        <v>1.4196675900277008E-2</v>
      </c>
      <c r="AB7" s="3">
        <v>4.7325475974614686E-2</v>
      </c>
      <c r="AC7" s="3">
        <v>-3.6251586006887804E-4</v>
      </c>
      <c r="AD7" s="3">
        <v>-4.698566246329245E-2</v>
      </c>
      <c r="AE7" s="3">
        <v>6.3372520205731087E-2</v>
      </c>
      <c r="AF7" s="3">
        <v>7.5251826980051353E-2</v>
      </c>
      <c r="AG7" s="3">
        <v>9.7726366174710807E-3</v>
      </c>
      <c r="AH7" s="3">
        <v>-5.8757274263187532E-2</v>
      </c>
      <c r="AI7" s="3">
        <v>9.9710982658959543E-2</v>
      </c>
      <c r="AJ7" s="3">
        <v>8.5368586152812009E-2</v>
      </c>
      <c r="AK7" s="3">
        <v>6.5155131264916469E-2</v>
      </c>
      <c r="AL7" s="3">
        <v>1.2321816863976806E-2</v>
      </c>
      <c r="AM7" s="3">
        <v>7.2533849129593814E-4</v>
      </c>
      <c r="AN7" s="3">
        <v>9.0717299578059074E-2</v>
      </c>
      <c r="AO7" s="3">
        <v>7.0883931092911606E-2</v>
      </c>
      <c r="AP7" s="3">
        <v>0.99943534726143424</v>
      </c>
      <c r="AQ7" s="3">
        <v>-3.7499999999999999E-2</v>
      </c>
      <c r="AR7" s="3">
        <v>6.0518731988472622E-2</v>
      </c>
      <c r="AS7" s="3">
        <v>7.4969021065675337E-2</v>
      </c>
      <c r="AT7" s="3">
        <v>-1.2844036697247707E-2</v>
      </c>
      <c r="AU7" s="3">
        <v>2.8301886792452831E-2</v>
      </c>
      <c r="AV7" s="3">
        <v>0.25295508274231676</v>
      </c>
      <c r="AW7" s="3">
        <v>0.81027104136947214</v>
      </c>
      <c r="AX7" s="3">
        <v>-1.1283497884344146E-2</v>
      </c>
      <c r="AY7" s="3">
        <v>-3.9295392953929538E-2</v>
      </c>
      <c r="AZ7" s="3">
        <v>0.14596273291925466</v>
      </c>
      <c r="BA7" s="3">
        <v>0.14590747330960854</v>
      </c>
      <c r="BB7" s="3">
        <v>-2.4305555555555556E-2</v>
      </c>
      <c r="BC7" s="3">
        <v>-6.7961165048543687E-2</v>
      </c>
      <c r="BD7" s="3">
        <v>1.9801980198019802E-2</v>
      </c>
      <c r="BE7" s="3">
        <v>5.0259965337954939E-2</v>
      </c>
      <c r="BF7" s="3">
        <v>2.4866785079928951E-2</v>
      </c>
      <c r="BG7" s="3">
        <v>-9.6308186195826651E-2</v>
      </c>
      <c r="BH7" s="3">
        <v>3.316749585406302E-2</v>
      </c>
      <c r="BI7" s="3">
        <v>7.678571428571429E-2</v>
      </c>
      <c r="BJ7" s="3">
        <v>1.8181818181818181E-2</v>
      </c>
      <c r="BK7" s="3">
        <v>-3.8461538461538464E-2</v>
      </c>
      <c r="BL7" s="3">
        <v>0.04</v>
      </c>
      <c r="BM7" s="3">
        <v>6.7961165048543687E-2</v>
      </c>
      <c r="BN7" s="3">
        <v>0.12938596491228072</v>
      </c>
      <c r="BO7" s="3">
        <v>6.5420560747663545E-2</v>
      </c>
      <c r="BP7" s="3">
        <v>0.1790633608815427</v>
      </c>
      <c r="BQ7" s="3">
        <v>0.11692307692307692</v>
      </c>
      <c r="BR7" s="3">
        <v>-0.11684782608695653</v>
      </c>
      <c r="BS7" s="3">
        <v>-0.1767337807606264</v>
      </c>
      <c r="BT7" s="3">
        <v>1.8223234624145785E-2</v>
      </c>
      <c r="BU7" s="3">
        <v>0</v>
      </c>
    </row>
    <row r="8" spans="1:73" x14ac:dyDescent="0.2">
      <c r="A8" s="3" t="s">
        <v>193</v>
      </c>
      <c r="B8" s="3">
        <v>0.17815683487325279</v>
      </c>
      <c r="C8" s="3">
        <v>3.3798677443056577E-2</v>
      </c>
      <c r="D8" s="3">
        <v>0.14444548257497897</v>
      </c>
      <c r="E8" s="3">
        <v>4.9622437971952538E-2</v>
      </c>
      <c r="F8" s="3">
        <v>5.1256776737309022E-3</v>
      </c>
      <c r="G8" s="3">
        <v>0.12697178404798934</v>
      </c>
      <c r="H8" s="3">
        <v>7.7309717568214462E-2</v>
      </c>
      <c r="I8" s="3">
        <v>7.4588477366255138E-2</v>
      </c>
      <c r="J8" s="3">
        <v>5.4372881355932205E-2</v>
      </c>
      <c r="K8" s="3">
        <v>0.15108475105353519</v>
      </c>
      <c r="L8" s="3">
        <v>3.9422452952628161E-2</v>
      </c>
      <c r="M8" s="3">
        <v>8.0130825838103017E-3</v>
      </c>
      <c r="N8" s="3">
        <v>1.8487674883411059E-2</v>
      </c>
      <c r="O8" s="3">
        <v>1.3162335470806615E-2</v>
      </c>
      <c r="P8" s="3">
        <v>4.3126210174265094E-2</v>
      </c>
      <c r="Q8" s="3">
        <v>4.4493473064901638E-2</v>
      </c>
      <c r="R8" s="3">
        <v>7.724301841948901E-2</v>
      </c>
      <c r="S8" s="3">
        <v>8.8615782664941786E-2</v>
      </c>
      <c r="T8" s="3">
        <v>0.10507505360972123</v>
      </c>
      <c r="U8" s="3">
        <v>3.450825733300468E-2</v>
      </c>
      <c r="V8" s="3">
        <v>2.6568825910931175E-2</v>
      </c>
      <c r="W8" s="3">
        <v>5.4710435014678406E-2</v>
      </c>
      <c r="X8" s="3">
        <v>0.12997587454764778</v>
      </c>
      <c r="Y8" s="3">
        <v>3.982439636249608E-2</v>
      </c>
      <c r="Z8" s="3">
        <v>-2.297794117647059E-2</v>
      </c>
      <c r="AA8" s="3">
        <v>3.553299492385787E-2</v>
      </c>
      <c r="AB8" s="3">
        <v>3.889255108767304E-2</v>
      </c>
      <c r="AC8" s="3">
        <v>-1.7805114923923601E-2</v>
      </c>
      <c r="AD8" s="3">
        <v>-3.7094763092269327E-2</v>
      </c>
      <c r="AE8" s="3">
        <v>9.3015332197614986E-2</v>
      </c>
      <c r="AF8" s="3">
        <v>0.12065673921344025</v>
      </c>
      <c r="AG8" s="3">
        <v>2.6656213249705997E-2</v>
      </c>
      <c r="AH8" s="3">
        <v>-2.9299847792998476E-2</v>
      </c>
      <c r="AI8" s="3">
        <v>0.10281158203944607</v>
      </c>
      <c r="AJ8" s="3">
        <v>0.10888785481619358</v>
      </c>
      <c r="AK8" s="3">
        <v>8.7550607287449386E-2</v>
      </c>
      <c r="AL8" s="3">
        <v>-1.249375312343828E-2</v>
      </c>
      <c r="AM8" s="3">
        <v>-7.8304928604329804E-2</v>
      </c>
      <c r="AN8" s="3">
        <v>0.21829405162738497</v>
      </c>
      <c r="AO8" s="3">
        <v>0.70363288718929251</v>
      </c>
      <c r="AP8" s="3">
        <v>0.11158342189160468</v>
      </c>
      <c r="AQ8" s="3">
        <v>-5.6168505516549651E-2</v>
      </c>
      <c r="AR8" s="3">
        <v>0.12782805429864252</v>
      </c>
      <c r="AS8" s="3">
        <v>4.4917257683215132E-2</v>
      </c>
      <c r="AT8" s="3">
        <v>2.4213075060532687E-2</v>
      </c>
      <c r="AU8" s="3">
        <v>4.8223350253807105E-2</v>
      </c>
      <c r="AV8" s="3">
        <v>1.005089058524173</v>
      </c>
      <c r="AW8" s="3">
        <v>0.10084033613445378</v>
      </c>
      <c r="AX8" s="3">
        <v>5.3097345132743362E-2</v>
      </c>
      <c r="AY8" s="3">
        <v>-2.023121387283237E-2</v>
      </c>
      <c r="AZ8" s="3">
        <v>0.13815789473684212</v>
      </c>
      <c r="BA8" s="3">
        <v>0.11764705882352941</v>
      </c>
      <c r="BB8" s="3">
        <v>-1.4492753623188406E-2</v>
      </c>
      <c r="BC8" s="3">
        <v>-7.6923076923076927E-2</v>
      </c>
      <c r="BD8" s="3">
        <v>1.3559322033898305E-2</v>
      </c>
      <c r="BE8" s="3">
        <v>6.1151079136690649E-2</v>
      </c>
      <c r="BF8" s="3">
        <v>2.9629629629629631E-2</v>
      </c>
      <c r="BG8" s="3">
        <v>-0.1118421052631579</v>
      </c>
      <c r="BH8" s="3">
        <v>2.3569023569023569E-2</v>
      </c>
      <c r="BI8" s="3">
        <v>0.08</v>
      </c>
      <c r="BJ8" s="3">
        <v>1.4760147601476014E-2</v>
      </c>
      <c r="BK8" s="3">
        <v>-1.8115942028985508E-2</v>
      </c>
      <c r="BL8" s="3">
        <v>4.9429657794676805E-2</v>
      </c>
      <c r="BM8" s="3">
        <v>0.12875536480686695</v>
      </c>
      <c r="BN8" s="3">
        <v>0.20103092783505155</v>
      </c>
      <c r="BO8" s="3">
        <v>8.98876404494382E-2</v>
      </c>
      <c r="BP8" s="3">
        <v>0.26241134751773049</v>
      </c>
      <c r="BQ8" s="3">
        <v>0.43877551020408162</v>
      </c>
      <c r="BR8" s="3">
        <v>-0.31468531468531469</v>
      </c>
      <c r="BS8" s="3">
        <v>-0.14880952380952381</v>
      </c>
      <c r="BT8" s="3">
        <v>-1.7543859649122806E-2</v>
      </c>
      <c r="BU8" s="3">
        <v>0</v>
      </c>
    </row>
    <row r="9" spans="1:73" x14ac:dyDescent="0.2">
      <c r="A9" s="3" t="s">
        <v>192</v>
      </c>
      <c r="B9" s="3">
        <v>0.25204469531160006</v>
      </c>
      <c r="C9" s="3">
        <v>0.13774574049803406</v>
      </c>
      <c r="D9" s="3">
        <v>0.30964641263302439</v>
      </c>
      <c r="E9" s="3">
        <v>-4.7830543218312267E-3</v>
      </c>
      <c r="F9" s="3">
        <v>-7.9993713657079996E-2</v>
      </c>
      <c r="G9" s="3">
        <v>0.35990596281256682</v>
      </c>
      <c r="H9" s="3">
        <v>0.20904392764857882</v>
      </c>
      <c r="I9" s="3">
        <v>0.26802096985583224</v>
      </c>
      <c r="J9" s="3">
        <v>0.34567901234567899</v>
      </c>
      <c r="K9" s="3">
        <v>-0.48124428179322964</v>
      </c>
      <c r="L9" s="3">
        <v>9.8492462311557782E-2</v>
      </c>
      <c r="M9" s="3">
        <v>-3.4214996360106768E-2</v>
      </c>
      <c r="N9" s="3">
        <v>-2.9439472444653791E-2</v>
      </c>
      <c r="O9" s="3">
        <v>5.4644808743169397E-2</v>
      </c>
      <c r="P9" s="3">
        <v>7.5607801228960728E-2</v>
      </c>
      <c r="Q9" s="3">
        <v>0.1314993954050786</v>
      </c>
      <c r="R9" s="3">
        <v>6.9166127989657405E-2</v>
      </c>
      <c r="S9" s="3">
        <v>0.18862850557049557</v>
      </c>
      <c r="T9" s="3">
        <v>0.21578701541335824</v>
      </c>
      <c r="U9" s="3">
        <v>9.6823770491803282E-2</v>
      </c>
      <c r="V9" s="3">
        <v>-1.0235414534288639E-3</v>
      </c>
      <c r="W9" s="3">
        <v>0.25497752087347464</v>
      </c>
      <c r="X9" s="3">
        <v>0.47303689687795647</v>
      </c>
      <c r="Y9" s="3">
        <v>0.1796875</v>
      </c>
      <c r="Z9" s="3">
        <v>0.26197183098591548</v>
      </c>
      <c r="AA9" s="3">
        <v>-0.3592057761732852</v>
      </c>
      <c r="AB9" s="3">
        <v>0.22295805739514349</v>
      </c>
      <c r="AC9" s="3">
        <v>-0.12294288480154889</v>
      </c>
      <c r="AD9" s="3">
        <v>0.6581059390048154</v>
      </c>
      <c r="AE9" s="3">
        <v>-0.60318471337579616</v>
      </c>
      <c r="AF9" s="3">
        <v>0.13933236574746008</v>
      </c>
      <c r="AG9" s="3">
        <v>0.10505212510024058</v>
      </c>
      <c r="AH9" s="3">
        <v>0.27505112474437626</v>
      </c>
      <c r="AI9" s="3">
        <v>0.28010471204188481</v>
      </c>
      <c r="AJ9" s="3">
        <v>0.15757575757575756</v>
      </c>
      <c r="AK9" s="3">
        <v>0.38364779874213839</v>
      </c>
      <c r="AL9" s="3">
        <v>0.26190476190476192</v>
      </c>
      <c r="AM9" s="3">
        <v>0.10850439882697947</v>
      </c>
      <c r="AN9" s="3">
        <v>2.2135231316725981</v>
      </c>
      <c r="AO9" s="3">
        <v>0.73490566037735849</v>
      </c>
      <c r="AP9" s="3">
        <v>-3.2175732217573221</v>
      </c>
      <c r="AQ9" s="3">
        <v>-9.125475285171103E-2</v>
      </c>
      <c r="AR9" s="3">
        <v>0.6967741935483871</v>
      </c>
      <c r="AS9" s="3">
        <v>-0.25659472422062352</v>
      </c>
      <c r="AT9" s="3">
        <v>2.9629629629629631E-2</v>
      </c>
      <c r="AU9" s="3">
        <v>0.27760252365930599</v>
      </c>
      <c r="AV9" s="3">
        <v>2.9329268292682928</v>
      </c>
      <c r="AW9" s="3">
        <v>-2.0249999999999999</v>
      </c>
      <c r="AX9" s="3">
        <v>0.15107913669064749</v>
      </c>
      <c r="AY9" s="3">
        <v>-0.22346368715083798</v>
      </c>
      <c r="AZ9" s="3">
        <v>0.23448275862068965</v>
      </c>
      <c r="BA9" s="3">
        <v>0.21848739495798319</v>
      </c>
      <c r="BB9" s="3">
        <v>-4.8000000000000001E-2</v>
      </c>
      <c r="BC9" s="3">
        <v>-0.24242424242424243</v>
      </c>
      <c r="BD9" s="3">
        <v>0.1</v>
      </c>
      <c r="BE9" s="3">
        <v>7.1428571428571425E-2</v>
      </c>
      <c r="BF9" s="3">
        <v>6.8702290076335881E-2</v>
      </c>
      <c r="BG9" s="3">
        <v>-0.1761006289308176</v>
      </c>
      <c r="BH9" s="3">
        <v>9.6551724137931033E-2</v>
      </c>
      <c r="BI9" s="3">
        <v>5.0724637681159424E-2</v>
      </c>
      <c r="BJ9" s="3">
        <v>0.12195121951219512</v>
      </c>
      <c r="BK9" s="3">
        <v>-0.15172413793103448</v>
      </c>
      <c r="BL9" s="3">
        <v>7.407407407407407E-2</v>
      </c>
      <c r="BM9" s="3">
        <v>0.26168224299065418</v>
      </c>
      <c r="BN9" s="3">
        <v>1.0188679245283019</v>
      </c>
      <c r="BO9" s="3">
        <v>18.666666666666668</v>
      </c>
      <c r="BP9" s="3">
        <v>-1.1071428571428572</v>
      </c>
      <c r="BQ9" s="3">
        <v>3.1538461538461537</v>
      </c>
      <c r="BR9" s="3">
        <v>-1.4482758620689655</v>
      </c>
      <c r="BS9" s="3">
        <v>-0.21621621621621623</v>
      </c>
      <c r="BT9" s="3">
        <v>-0.15909090909090909</v>
      </c>
      <c r="BU9" s="3">
        <v>0</v>
      </c>
    </row>
    <row r="10" spans="1:73" x14ac:dyDescent="0.2">
      <c r="A10" s="3" t="s">
        <v>191</v>
      </c>
      <c r="B10" s="3">
        <v>0.25204469531160006</v>
      </c>
      <c r="C10" s="3">
        <v>0.15623335109216835</v>
      </c>
      <c r="D10" s="3">
        <v>0.2753524715474775</v>
      </c>
      <c r="E10" s="3">
        <v>9.9502487562189053E-3</v>
      </c>
      <c r="F10" s="3">
        <v>-6.8849840255591058E-2</v>
      </c>
      <c r="G10" s="3">
        <v>0.35292846336719258</v>
      </c>
      <c r="H10" s="3">
        <v>0.22148891235480464</v>
      </c>
      <c r="I10" s="3">
        <v>0.27757166947723438</v>
      </c>
      <c r="J10" s="3">
        <v>0.42342774843975034</v>
      </c>
      <c r="K10" s="3">
        <v>-0.50872641509433958</v>
      </c>
      <c r="L10" s="3">
        <v>9.9585062240663894E-2</v>
      </c>
      <c r="M10" s="3">
        <v>-3.7924151696606789E-2</v>
      </c>
      <c r="N10" s="3">
        <v>-2.315378990982208E-2</v>
      </c>
      <c r="O10" s="3">
        <v>2.9352734570998493E-2</v>
      </c>
      <c r="P10" s="3">
        <v>6.6630987423066626E-2</v>
      </c>
      <c r="Q10" s="3">
        <v>9.4931145619689419E-2</v>
      </c>
      <c r="R10" s="3">
        <v>9.1461464662615927E-2</v>
      </c>
      <c r="S10" s="3">
        <v>0.21154591243703991</v>
      </c>
      <c r="T10" s="3">
        <v>0.21401693320790216</v>
      </c>
      <c r="U10" s="3">
        <v>7.6455696202531648E-2</v>
      </c>
      <c r="V10" s="3">
        <v>7.5122482308111055E-2</v>
      </c>
      <c r="W10" s="3">
        <v>0.2038007863695937</v>
      </c>
      <c r="X10" s="3">
        <v>0.51388888888888884</v>
      </c>
      <c r="Y10" s="3">
        <v>0.31592689295039167</v>
      </c>
      <c r="Z10" s="3">
        <v>7.2829131652661069E-2</v>
      </c>
      <c r="AA10" s="3">
        <v>-0.32258064516129031</v>
      </c>
      <c r="AB10" s="3">
        <v>0.2184971098265896</v>
      </c>
      <c r="AC10" s="3">
        <v>-0.10824742268041238</v>
      </c>
      <c r="AD10" s="3">
        <v>0.74774774774774777</v>
      </c>
      <c r="AE10" s="3">
        <v>-0.66404358353510895</v>
      </c>
      <c r="AF10" s="3">
        <v>0.23375653472740851</v>
      </c>
      <c r="AG10" s="3">
        <v>0.11490424646128226</v>
      </c>
      <c r="AH10" s="3">
        <v>0.27359490986214208</v>
      </c>
      <c r="AI10" s="3">
        <v>0.24900662251655628</v>
      </c>
      <c r="AJ10" s="3">
        <v>0.16512345679012347</v>
      </c>
      <c r="AK10" s="3">
        <v>0.36708860759493672</v>
      </c>
      <c r="AL10" s="3">
        <v>-6.3241106719367585E-2</v>
      </c>
      <c r="AM10" s="3">
        <v>0.32808398950131235</v>
      </c>
      <c r="AN10" s="3">
        <v>2.4431818181818183</v>
      </c>
      <c r="AO10" s="3">
        <v>0.73626373626373631</v>
      </c>
      <c r="AP10" s="3">
        <v>-3.1073684210526316</v>
      </c>
      <c r="AQ10" s="3">
        <v>-7.5875486381322951E-2</v>
      </c>
      <c r="AR10" s="3">
        <v>0.71906354515050164</v>
      </c>
      <c r="AS10" s="3">
        <v>-0.28468899521531099</v>
      </c>
      <c r="AT10" s="3">
        <v>4.2394014962593519E-2</v>
      </c>
      <c r="AU10" s="3">
        <v>0.33222591362126247</v>
      </c>
      <c r="AV10" s="3">
        <v>2.8580246913580245</v>
      </c>
      <c r="AW10" s="3">
        <v>-2.0125000000000002</v>
      </c>
      <c r="AX10" s="3">
        <v>0.15107913669064749</v>
      </c>
      <c r="AY10" s="3">
        <v>-0.18235294117647058</v>
      </c>
      <c r="AZ10" s="3">
        <v>0.21428571428571427</v>
      </c>
      <c r="BA10" s="3">
        <v>0.1864406779661017</v>
      </c>
      <c r="BB10" s="3">
        <v>-4.8387096774193547E-2</v>
      </c>
      <c r="BC10" s="3">
        <v>-0.24390243902439024</v>
      </c>
      <c r="BD10" s="3">
        <v>0.10067114093959731</v>
      </c>
      <c r="BE10" s="3">
        <v>8.7591240875912413E-2</v>
      </c>
      <c r="BF10" s="3">
        <v>3.787878787878788E-2</v>
      </c>
      <c r="BG10" s="3">
        <v>-0.16981132075471697</v>
      </c>
      <c r="BH10" s="3">
        <v>9.6551724137931033E-2</v>
      </c>
      <c r="BI10" s="3">
        <v>5.0724637681159424E-2</v>
      </c>
      <c r="BJ10" s="3">
        <v>-2.8169014084507043E-2</v>
      </c>
      <c r="BK10" s="3">
        <v>-2.0689655172413793E-2</v>
      </c>
      <c r="BL10" s="3">
        <v>7.407407407407407E-2</v>
      </c>
      <c r="BM10" s="3">
        <v>0.25</v>
      </c>
      <c r="BN10" s="3">
        <v>0.38461538461538464</v>
      </c>
      <c r="BO10" s="3">
        <v>14.6</v>
      </c>
      <c r="BP10" s="3">
        <v>-0.79166666666666663</v>
      </c>
      <c r="BQ10" s="3">
        <v>3.1818181818181817</v>
      </c>
      <c r="BR10" s="3">
        <v>-1.3666666666666667</v>
      </c>
      <c r="BS10" s="3">
        <v>-0.30232558139534882</v>
      </c>
      <c r="BT10" s="3">
        <v>-2.2727272727272728E-2</v>
      </c>
      <c r="BU10" s="3">
        <v>0</v>
      </c>
    </row>
    <row r="11" spans="1:73" x14ac:dyDescent="0.2">
      <c r="A11" s="3" t="s">
        <v>190</v>
      </c>
      <c r="B11" s="3">
        <v>0.26683902571778473</v>
      </c>
      <c r="C11" s="3">
        <v>-0.13723878844799248</v>
      </c>
      <c r="D11" s="3">
        <v>1.057487922705314</v>
      </c>
      <c r="E11" s="3">
        <v>-0.16616314199395771</v>
      </c>
      <c r="F11" s="3">
        <v>-9.7764855533345449E-2</v>
      </c>
      <c r="G11" s="3">
        <v>0.27266419981498613</v>
      </c>
      <c r="H11" s="3">
        <v>3.3061333333333334</v>
      </c>
      <c r="I11" s="3">
        <v>-1.884016973125884</v>
      </c>
      <c r="J11" s="3">
        <v>0.60075471698113203</v>
      </c>
      <c r="K11" s="3">
        <v>-0.62400681044267881</v>
      </c>
      <c r="L11" s="3">
        <v>6.6908870723584618E-2</v>
      </c>
      <c r="M11" s="3">
        <v>-5.1134731399023269E-2</v>
      </c>
      <c r="N11" s="3">
        <v>-7.7636459989401163E-2</v>
      </c>
      <c r="O11" s="3">
        <v>0.12354867520095267</v>
      </c>
      <c r="P11" s="3">
        <v>9.2713077423552379E-2</v>
      </c>
      <c r="Q11" s="3">
        <v>0.18687258687258687</v>
      </c>
      <c r="R11" s="3">
        <v>4.7734627831715212E-2</v>
      </c>
      <c r="S11" s="3">
        <v>0.24283559577677225</v>
      </c>
      <c r="T11" s="3">
        <v>6.0234541577825158E-2</v>
      </c>
      <c r="U11" s="3">
        <v>0.25653047555257869</v>
      </c>
      <c r="V11" s="3">
        <v>8.3454281567489116E-2</v>
      </c>
      <c r="W11" s="3">
        <v>4.0785498489425982E-2</v>
      </c>
      <c r="X11" s="3">
        <v>0.92441860465116277</v>
      </c>
      <c r="Y11" s="3">
        <v>0.22202486678507993</v>
      </c>
      <c r="Z11" s="3">
        <v>0.46233766233766233</v>
      </c>
      <c r="AA11" s="3">
        <v>-0.54545454545454541</v>
      </c>
      <c r="AB11" s="3">
        <v>0.18461538461538463</v>
      </c>
      <c r="AC11" s="3">
        <v>3.4732272069464547E-2</v>
      </c>
      <c r="AD11" s="3">
        <v>0.46709129511677283</v>
      </c>
      <c r="AE11" s="3">
        <v>-0.57757847533632289</v>
      </c>
      <c r="AF11" s="3">
        <v>-6.7725752508361201E-2</v>
      </c>
      <c r="AG11" s="3">
        <v>-0.67832167832167833</v>
      </c>
      <c r="AH11" s="3">
        <v>-0.40321027287319422</v>
      </c>
      <c r="AI11" s="3">
        <v>10.710526315789474</v>
      </c>
      <c r="AJ11" s="3">
        <v>0.10602910602910603</v>
      </c>
      <c r="AK11" s="3">
        <v>9.3181818181818185E-2</v>
      </c>
      <c r="AL11" s="3">
        <v>0.84100418410041844</v>
      </c>
      <c r="AM11" s="3">
        <v>1.3781645569620253</v>
      </c>
      <c r="AN11" s="3">
        <v>-1.1208053691275168</v>
      </c>
      <c r="AO11" s="3">
        <v>0.74873524451939288</v>
      </c>
      <c r="AP11" s="3">
        <v>-4.1458885941644565</v>
      </c>
      <c r="AQ11" s="3">
        <v>-0.12121212121212122</v>
      </c>
      <c r="AR11" s="3">
        <v>0.78749999999999998</v>
      </c>
      <c r="AS11" s="3">
        <v>-0.30232558139534882</v>
      </c>
      <c r="AT11" s="3">
        <v>-1.9943019943019943E-2</v>
      </c>
      <c r="AU11" s="3">
        <v>1.6</v>
      </c>
      <c r="AV11" s="3">
        <v>1.8231707317073171</v>
      </c>
      <c r="AW11" s="3">
        <v>-2.037974683544304</v>
      </c>
      <c r="AX11" s="3">
        <v>0.17910447761194029</v>
      </c>
      <c r="AY11" s="3">
        <v>-0.22093023255813954</v>
      </c>
      <c r="AZ11" s="3">
        <v>0.21126760563380281</v>
      </c>
      <c r="BA11" s="3">
        <v>0.25663716814159293</v>
      </c>
      <c r="BB11" s="3">
        <v>-9.6000000000000002E-2</v>
      </c>
      <c r="BC11" s="3">
        <v>-0.21383647798742139</v>
      </c>
      <c r="BD11" s="3">
        <v>9.6551724137931033E-2</v>
      </c>
      <c r="BE11" s="3">
        <v>8.2089552238805971E-2</v>
      </c>
      <c r="BF11" s="3">
        <v>7.1999999999999995E-2</v>
      </c>
      <c r="BG11" s="3">
        <v>-0.18831168831168832</v>
      </c>
      <c r="BH11" s="3">
        <v>6.9444444444444448E-2</v>
      </c>
      <c r="BI11" s="3">
        <v>6.6666666666666666E-2</v>
      </c>
      <c r="BJ11" s="3">
        <v>0.13445378151260504</v>
      </c>
      <c r="BK11" s="3">
        <v>-0.27439024390243905</v>
      </c>
      <c r="BL11" s="3">
        <v>0.33333333333333331</v>
      </c>
      <c r="BM11" s="3">
        <v>0.36666666666666664</v>
      </c>
      <c r="BN11" s="3">
        <v>1.368421052631579</v>
      </c>
      <c r="BO11" s="3">
        <v>2.8095238095238093</v>
      </c>
      <c r="BP11" s="3">
        <v>-11.5</v>
      </c>
      <c r="BQ11" s="3">
        <v>1.064516129032258</v>
      </c>
      <c r="BR11" s="3">
        <v>-6.166666666666667</v>
      </c>
      <c r="BS11" s="3">
        <v>-0.66666666666666663</v>
      </c>
      <c r="BT11" s="3">
        <v>-0.59090909090909094</v>
      </c>
      <c r="BU11" s="3">
        <v>0</v>
      </c>
    </row>
    <row r="12" spans="1:73" x14ac:dyDescent="0.2">
      <c r="A12" s="3" t="s">
        <v>189</v>
      </c>
      <c r="B12" s="3">
        <v>0.26451612903225802</v>
      </c>
      <c r="C12" s="3">
        <v>-0.1388888888888889</v>
      </c>
      <c r="D12" s="3">
        <v>1.0454545454545454</v>
      </c>
      <c r="E12" s="3">
        <v>-0.16190476190476194</v>
      </c>
      <c r="F12" s="3">
        <v>-0.10256410256410248</v>
      </c>
      <c r="G12" s="3">
        <v>0.27173913043478248</v>
      </c>
      <c r="H12" s="3">
        <v>3.3</v>
      </c>
      <c r="I12" s="3">
        <v>-1.8695652173913044</v>
      </c>
      <c r="J12" s="3">
        <v>0.58620689655172431</v>
      </c>
      <c r="K12" s="3">
        <v>-0.65882352941176481</v>
      </c>
      <c r="L12" s="3">
        <v>6.2499999999999917E-2</v>
      </c>
      <c r="M12" s="3">
        <v>-4.7619047619047533E-2</v>
      </c>
      <c r="N12" s="3">
        <v>-6.6666666666666721E-2</v>
      </c>
      <c r="O12" s="3">
        <v>0.11111111111111106</v>
      </c>
      <c r="P12" s="3">
        <v>9.4594594594594683E-2</v>
      </c>
      <c r="Q12" s="3">
        <v>0.19354838709677419</v>
      </c>
      <c r="R12" s="3">
        <v>6.8965517241379379E-2</v>
      </c>
      <c r="S12" s="3">
        <v>0.26086956521739119</v>
      </c>
      <c r="T12" s="3">
        <v>4.5454545454545497E-2</v>
      </c>
      <c r="U12" s="3">
        <v>0.25714285714285723</v>
      </c>
      <c r="V12" s="3">
        <v>9.3749999999999903E-2</v>
      </c>
      <c r="W12" s="3">
        <v>3.2258064516129059E-2</v>
      </c>
      <c r="X12" s="3">
        <v>1.0666666666666667</v>
      </c>
      <c r="Y12" s="3">
        <v>0.25</v>
      </c>
      <c r="Z12" s="3">
        <v>0.53846153846153844</v>
      </c>
      <c r="AA12" s="3">
        <v>-0.62857142857142867</v>
      </c>
      <c r="AB12" s="3">
        <v>0.16666666666666666</v>
      </c>
      <c r="AC12" s="3">
        <v>5.8823529411764594E-2</v>
      </c>
      <c r="AD12" s="3">
        <v>0.4166666666666668</v>
      </c>
      <c r="AE12" s="3">
        <v>-0.55555555555555558</v>
      </c>
      <c r="AF12" s="3">
        <v>-3.571428571428574E-2</v>
      </c>
      <c r="AG12" s="3">
        <v>-0.68181818181818177</v>
      </c>
      <c r="AH12" s="3">
        <v>-0.42105263157894735</v>
      </c>
      <c r="AI12" s="3">
        <v>10.692307692307693</v>
      </c>
      <c r="AJ12" s="3">
        <v>8.3333333333333412E-2</v>
      </c>
      <c r="AK12" s="3">
        <v>9.090909090909087E-2</v>
      </c>
      <c r="AL12" s="3">
        <v>0.83333333333333337</v>
      </c>
      <c r="AM12" s="3">
        <v>1.375</v>
      </c>
      <c r="AN12" s="3">
        <v>-1.1248339973439574</v>
      </c>
      <c r="AO12" s="3">
        <v>0.749</v>
      </c>
      <c r="AP12" s="3">
        <v>-3.1428571428571428</v>
      </c>
      <c r="AQ12" s="3">
        <v>-0.12499999999999993</v>
      </c>
      <c r="AR12" s="3">
        <v>0.75824175824175832</v>
      </c>
      <c r="AS12" s="3">
        <v>-0.30000000000000004</v>
      </c>
      <c r="AT12" s="3">
        <v>-7.142857142857148E-2</v>
      </c>
      <c r="AU12" s="3">
        <v>1.6415094339622647</v>
      </c>
      <c r="AV12" s="3">
        <v>1.8079268292682926</v>
      </c>
      <c r="AW12" s="3">
        <v>-2.0412698412698411</v>
      </c>
      <c r="AX12" s="3">
        <v>0.16666666666666669</v>
      </c>
      <c r="AY12" s="3">
        <v>-0.22190201729106632</v>
      </c>
      <c r="AZ12" s="3">
        <v>0.21116928446771391</v>
      </c>
      <c r="BA12" s="3">
        <v>0.24565217391304342</v>
      </c>
      <c r="BB12" s="3">
        <v>-9.8039215686274467E-2</v>
      </c>
      <c r="BC12" s="3">
        <v>-0.21538461538461545</v>
      </c>
      <c r="BD12" s="3">
        <v>0.10169491525423738</v>
      </c>
      <c r="BE12" s="3">
        <v>7.2727272727272668E-2</v>
      </c>
      <c r="BF12" s="3">
        <v>7.8431372549019676E-2</v>
      </c>
      <c r="BG12" s="3">
        <v>-0.19047619047619052</v>
      </c>
      <c r="BH12" s="3">
        <v>6.7796610169491595E-2</v>
      </c>
      <c r="BI12" s="3">
        <v>7.2727272727272668E-2</v>
      </c>
      <c r="BJ12" s="3">
        <v>0.12244897959183669</v>
      </c>
      <c r="BK12" s="3">
        <v>-0.27941176470588236</v>
      </c>
      <c r="BL12" s="3">
        <v>0.33333333333333354</v>
      </c>
      <c r="BM12" s="3">
        <v>0.34210526315789469</v>
      </c>
      <c r="BN12" s="3">
        <v>1.375</v>
      </c>
      <c r="BO12" s="3">
        <v>2.797752808988764</v>
      </c>
      <c r="BP12" s="3">
        <v>-9.8999999999999986</v>
      </c>
      <c r="BQ12" s="3">
        <v>1.0689655172413792</v>
      </c>
      <c r="BR12" s="3">
        <v>-5.8333333333333339</v>
      </c>
      <c r="BS12" s="3">
        <v>-0.75000000000000011</v>
      </c>
      <c r="BT12" s="3">
        <v>-0.4285714285714286</v>
      </c>
      <c r="BU12" s="3">
        <v>0</v>
      </c>
    </row>
    <row r="13" spans="1:73" x14ac:dyDescent="0.2">
      <c r="A13" s="3" t="s">
        <v>188</v>
      </c>
      <c r="B13" s="3">
        <v>0.27333333333333326</v>
      </c>
      <c r="C13" s="3">
        <v>-0.13793103448275862</v>
      </c>
      <c r="D13" s="3">
        <v>1.0470588235294118</v>
      </c>
      <c r="E13" s="3">
        <v>-0.17475728155339809</v>
      </c>
      <c r="F13" s="3">
        <v>-9.6491228070175336E-2</v>
      </c>
      <c r="G13" s="3">
        <v>0.26666666666666655</v>
      </c>
      <c r="H13" s="3">
        <v>3.25</v>
      </c>
      <c r="I13" s="3">
        <v>-1.9090909090909092</v>
      </c>
      <c r="J13" s="3">
        <v>0.57142857142857129</v>
      </c>
      <c r="K13" s="3">
        <v>-0.66265060240963847</v>
      </c>
      <c r="L13" s="3">
        <v>7.7922077922077851E-2</v>
      </c>
      <c r="M13" s="3">
        <v>-6.0975609756097483E-2</v>
      </c>
      <c r="N13" s="3">
        <v>-6.8181818181818246E-2</v>
      </c>
      <c r="O13" s="3">
        <v>0.14285714285714285</v>
      </c>
      <c r="P13" s="3">
        <v>0.10000000000000009</v>
      </c>
      <c r="Q13" s="3">
        <v>0.18644067796610167</v>
      </c>
      <c r="R13" s="3">
        <v>5.3571428571428416E-2</v>
      </c>
      <c r="S13" s="3">
        <v>0.24444444444444452</v>
      </c>
      <c r="T13" s="3">
        <v>7.1428571428571494E-2</v>
      </c>
      <c r="U13" s="3">
        <v>0.2727272727272726</v>
      </c>
      <c r="V13" s="3">
        <v>0.10000000000000009</v>
      </c>
      <c r="W13" s="3">
        <v>3.4482758620689689E-2</v>
      </c>
      <c r="X13" s="3">
        <v>0.93333333333333324</v>
      </c>
      <c r="Y13" s="3">
        <v>0.25</v>
      </c>
      <c r="Z13" s="3">
        <v>0.6216216216216216</v>
      </c>
      <c r="AA13" s="3">
        <v>-0.63</v>
      </c>
      <c r="AB13" s="3">
        <v>0.1764705882352941</v>
      </c>
      <c r="AC13" s="3">
        <v>6.2500000000000056E-2</v>
      </c>
      <c r="AD13" s="3">
        <v>0.45454545454545459</v>
      </c>
      <c r="AE13" s="3">
        <v>-0.57692307692307698</v>
      </c>
      <c r="AF13" s="3">
        <v>-3.703703703703707E-2</v>
      </c>
      <c r="AG13" s="3">
        <v>-0.67469879518072284</v>
      </c>
      <c r="AH13" s="3">
        <v>-0.4315068493150685</v>
      </c>
      <c r="AI13" s="3">
        <v>12.272727272727272</v>
      </c>
      <c r="AJ13" s="3">
        <v>0</v>
      </c>
      <c r="AK13" s="3">
        <v>9.999999999999995E-2</v>
      </c>
      <c r="AL13" s="3">
        <v>0.8382352941176473</v>
      </c>
      <c r="AM13" s="3">
        <v>1.3626666666666667</v>
      </c>
      <c r="AN13" s="3">
        <v>-1</v>
      </c>
      <c r="AO13" s="3">
        <v>0.75</v>
      </c>
      <c r="AP13" s="3">
        <v>-3.3076923076923075</v>
      </c>
      <c r="AQ13" s="3">
        <v>-0.13333333333333328</v>
      </c>
      <c r="AR13" s="3">
        <v>0.78571428571428559</v>
      </c>
      <c r="AS13" s="3">
        <v>-0.29999999999999993</v>
      </c>
      <c r="AT13" s="3">
        <v>-7.6923076923076983E-2</v>
      </c>
      <c r="AU13" s="3">
        <v>1.5999999999999999</v>
      </c>
      <c r="AV13" s="3">
        <v>1.7680491551459294</v>
      </c>
      <c r="AW13" s="3">
        <v>-2.0672131147540984</v>
      </c>
      <c r="AX13" s="3">
        <v>0.15094339622641509</v>
      </c>
      <c r="AY13" s="3">
        <v>-0.22058823529411772</v>
      </c>
      <c r="AZ13" s="3">
        <v>0.21428571428571436</v>
      </c>
      <c r="BA13" s="3">
        <v>0.24444444444444452</v>
      </c>
      <c r="BB13" s="3">
        <v>-0.10000000000000009</v>
      </c>
      <c r="BC13" s="3">
        <v>-0.20634920634920631</v>
      </c>
      <c r="BD13" s="3">
        <v>8.6206896551724088E-2</v>
      </c>
      <c r="BE13" s="3">
        <v>7.4074074074074139E-2</v>
      </c>
      <c r="BF13" s="3">
        <v>7.9999999999999932E-2</v>
      </c>
      <c r="BG13" s="3">
        <v>-0.19354838709677413</v>
      </c>
      <c r="BH13" s="3">
        <v>8.7719298245613989E-2</v>
      </c>
      <c r="BI13" s="3">
        <v>5.5555555555555608E-2</v>
      </c>
      <c r="BJ13" s="3">
        <v>0.12499999999999996</v>
      </c>
      <c r="BK13" s="3">
        <v>-0.27272727272727276</v>
      </c>
      <c r="BL13" s="3">
        <v>0.32</v>
      </c>
      <c r="BM13" s="3">
        <v>0.35135135135135148</v>
      </c>
      <c r="BN13" s="3">
        <v>1.3124999999999998</v>
      </c>
      <c r="BO13" s="3">
        <v>2.86046511627907</v>
      </c>
      <c r="BP13" s="3">
        <v>-9.6000000000000014</v>
      </c>
      <c r="BQ13" s="3">
        <v>1.0689655172413792</v>
      </c>
      <c r="BR13" s="3">
        <v>-5.8333333333333339</v>
      </c>
      <c r="BS13" s="3">
        <v>-0.72727272727272729</v>
      </c>
      <c r="BT13" s="3">
        <v>-0.45000000000000007</v>
      </c>
      <c r="BU13" s="3">
        <v>0</v>
      </c>
    </row>
    <row r="14" spans="1:73" x14ac:dyDescent="0.2">
      <c r="A14" s="3" t="s">
        <v>187</v>
      </c>
      <c r="B14" s="3">
        <v>1.2655557899177389E-3</v>
      </c>
      <c r="C14" s="3">
        <v>1.9019442096365174E-3</v>
      </c>
      <c r="D14" s="3">
        <v>3.818413237165889E-3</v>
      </c>
      <c r="E14" s="3">
        <v>1.4871468026343743E-3</v>
      </c>
      <c r="F14" s="3">
        <v>2.5559105431309905E-3</v>
      </c>
      <c r="G14" s="3">
        <v>3.4195340884804444E-3</v>
      </c>
      <c r="H14" s="3">
        <v>3.4312674244048897E-3</v>
      </c>
      <c r="I14" s="3">
        <v>2.7956989247311828E-3</v>
      </c>
      <c r="J14" s="3">
        <v>2.8761061946902654E-2</v>
      </c>
      <c r="K14" s="3">
        <v>9.4430992736077482E-2</v>
      </c>
      <c r="L14" s="3">
        <v>0</v>
      </c>
      <c r="M14" s="3">
        <v>-4.8192771084337354E-3</v>
      </c>
      <c r="N14" s="3">
        <v>-7.1770334928229667E-3</v>
      </c>
      <c r="O14" s="3">
        <v>1.7031630170316302E-2</v>
      </c>
      <c r="P14" s="3">
        <v>1.2277871507210325E-2</v>
      </c>
      <c r="Q14" s="3">
        <v>-7.352896234314738E-3</v>
      </c>
      <c r="R14" s="3">
        <v>-7.2269417475728159E-3</v>
      </c>
      <c r="S14" s="3">
        <v>-2.5000447906533287E-3</v>
      </c>
      <c r="T14" s="3">
        <v>2.4330746710009778E-3</v>
      </c>
      <c r="U14" s="3">
        <v>4.8899445424194759E-3</v>
      </c>
      <c r="V14" s="3">
        <v>4.9142198911818046E-3</v>
      </c>
      <c r="W14" s="3">
        <v>4.938241197985296E-3</v>
      </c>
      <c r="X14" s="3">
        <v>7.4813895781637718E-3</v>
      </c>
      <c r="Y14" s="3">
        <v>4.9875311720698253E-3</v>
      </c>
      <c r="Z14" s="3">
        <v>7.537688442211055E-3</v>
      </c>
      <c r="AA14" s="3">
        <v>2.5188916876574307E-3</v>
      </c>
      <c r="AB14" s="3">
        <v>-2.5125628140703518E-3</v>
      </c>
      <c r="AC14" s="3">
        <v>2.5188916876574307E-3</v>
      </c>
      <c r="AD14" s="3">
        <v>-9.9750623441396506E-3</v>
      </c>
      <c r="AE14" s="3">
        <v>-2.6699029126213591E-2</v>
      </c>
      <c r="AF14" s="3">
        <v>-4.1860465116279069E-2</v>
      </c>
      <c r="AG14" s="3">
        <v>2.1377672209026127E-2</v>
      </c>
      <c r="AH14" s="3">
        <v>2.6829268292682926E-2</v>
      </c>
      <c r="AI14" s="3">
        <v>4.9019607843137254E-3</v>
      </c>
      <c r="AJ14" s="3">
        <v>2.4570024570024569E-3</v>
      </c>
      <c r="AK14" s="3">
        <v>9.9255583126550868E-3</v>
      </c>
      <c r="AL14" s="3">
        <v>1.0025062656641603E-2</v>
      </c>
      <c r="AM14" s="3">
        <v>2.5125628140703518E-3</v>
      </c>
      <c r="AN14" s="3">
        <v>5.0505050505050509E-3</v>
      </c>
      <c r="AO14" s="3">
        <v>1.020408163265306E-2</v>
      </c>
      <c r="AP14" s="3">
        <v>0.41516245487364623</v>
      </c>
      <c r="AQ14" s="3">
        <v>3.6231884057971015E-3</v>
      </c>
      <c r="AR14" s="3">
        <v>4.1509433962264149E-2</v>
      </c>
      <c r="AS14" s="3">
        <v>2.7131782945736434E-2</v>
      </c>
      <c r="AT14" s="3">
        <v>1.1764705882352941E-2</v>
      </c>
      <c r="AU14" s="3">
        <v>3.937007874015748E-3</v>
      </c>
      <c r="AV14" s="3">
        <v>1.6E-2</v>
      </c>
      <c r="AW14" s="3">
        <v>-3.9840637450199202E-3</v>
      </c>
      <c r="AX14" s="3">
        <v>8.0321285140562242E-3</v>
      </c>
      <c r="AY14" s="3">
        <v>4.0322580645161289E-3</v>
      </c>
      <c r="AZ14" s="3">
        <v>0</v>
      </c>
      <c r="BA14" s="3">
        <v>8.130081300813009E-3</v>
      </c>
      <c r="BB14" s="3">
        <v>0</v>
      </c>
      <c r="BC14" s="3">
        <v>0</v>
      </c>
      <c r="BD14" s="3">
        <v>4.0816326530612249E-3</v>
      </c>
      <c r="BE14" s="3">
        <v>4.0983606557377051E-3</v>
      </c>
      <c r="BF14" s="3">
        <v>-4.0816326530612249E-3</v>
      </c>
      <c r="BG14" s="3">
        <v>0</v>
      </c>
      <c r="BH14" s="3">
        <v>-4.0650406504065045E-3</v>
      </c>
      <c r="BI14" s="3">
        <v>4.0816326530612249E-3</v>
      </c>
      <c r="BJ14" s="3">
        <v>1.2396694214876033E-2</v>
      </c>
      <c r="BK14" s="3">
        <v>0</v>
      </c>
      <c r="BL14" s="3">
        <v>1.2552301255230125E-2</v>
      </c>
      <c r="BM14" s="3">
        <v>4.2016806722689074E-3</v>
      </c>
      <c r="BN14" s="3">
        <v>8.4745762711864406E-3</v>
      </c>
      <c r="BO14" s="3">
        <v>0</v>
      </c>
      <c r="BP14" s="3">
        <v>0.107981220657277</v>
      </c>
      <c r="BQ14" s="3">
        <v>-4.6728971962616819E-3</v>
      </c>
      <c r="BR14" s="3">
        <v>0</v>
      </c>
      <c r="BS14" s="3">
        <v>0</v>
      </c>
      <c r="BT14" s="3">
        <v>0</v>
      </c>
      <c r="BU14" s="3">
        <v>0</v>
      </c>
    </row>
    <row r="15" spans="1:73" x14ac:dyDescent="0.2">
      <c r="A15" s="3" t="s">
        <v>186</v>
      </c>
      <c r="B15" s="3">
        <v>-2.4549918166939444E-3</v>
      </c>
      <c r="C15" s="3">
        <v>-2.0454080589077522E-4</v>
      </c>
      <c r="D15" s="3">
        <v>5.9670781893004119E-3</v>
      </c>
      <c r="E15" s="3">
        <v>7.0451719850808123E-3</v>
      </c>
      <c r="F15" s="3">
        <v>-2.0678246484698098E-3</v>
      </c>
      <c r="G15" s="3">
        <v>1.6570008285004142E-3</v>
      </c>
      <c r="H15" s="3">
        <v>3.5384945314175423E-2</v>
      </c>
      <c r="I15" s="3">
        <v>-2.8541666666666667E-2</v>
      </c>
      <c r="J15" s="3">
        <v>2.7837259100642397E-2</v>
      </c>
      <c r="K15" s="3">
        <v>9.3676814988290405E-2</v>
      </c>
      <c r="L15" s="3">
        <v>0</v>
      </c>
      <c r="M15" s="3">
        <v>0</v>
      </c>
      <c r="N15" s="3">
        <v>-4.662004662004662E-3</v>
      </c>
      <c r="O15" s="3">
        <v>0</v>
      </c>
      <c r="P15" s="3">
        <v>-4.819780749502932E-3</v>
      </c>
      <c r="Q15" s="3">
        <v>1.4151092097963924E-2</v>
      </c>
      <c r="R15" s="3">
        <v>-9.1780885780885779E-3</v>
      </c>
      <c r="S15" s="3">
        <v>-4.819780749502932E-3</v>
      </c>
      <c r="T15" s="3">
        <v>2.3309876970353093E-3</v>
      </c>
      <c r="U15" s="3">
        <v>0</v>
      </c>
      <c r="V15" s="3">
        <v>2.336433895701125E-3</v>
      </c>
      <c r="W15" s="3">
        <v>4.6948059991425246E-3</v>
      </c>
      <c r="X15" s="3">
        <v>1.2008767772511848E-2</v>
      </c>
      <c r="Y15" s="3">
        <v>1.1990407673860911E-2</v>
      </c>
      <c r="Z15" s="3">
        <v>-7.1428571428571426E-3</v>
      </c>
      <c r="AA15" s="3">
        <v>9.6153846153846159E-3</v>
      </c>
      <c r="AB15" s="3">
        <v>-4.7846889952153108E-3</v>
      </c>
      <c r="AC15" s="3">
        <v>-9.4786729857819912E-3</v>
      </c>
      <c r="AD15" s="3">
        <v>7.1599045346062056E-3</v>
      </c>
      <c r="AE15" s="3">
        <v>-9.4562647754137114E-3</v>
      </c>
      <c r="AF15" s="3">
        <v>-4.0816326530612242E-2</v>
      </c>
      <c r="AG15" s="3">
        <v>-1.5625E-2</v>
      </c>
      <c r="AH15" s="3">
        <v>5.1643192488262914E-2</v>
      </c>
      <c r="AI15" s="3">
        <v>4.7169811320754715E-3</v>
      </c>
      <c r="AJ15" s="3">
        <v>-4.7191011235955059E-2</v>
      </c>
      <c r="AK15" s="3">
        <v>6.7873303167420816E-3</v>
      </c>
      <c r="AL15" s="3">
        <v>6.8337129840546698E-3</v>
      </c>
      <c r="AM15" s="3">
        <v>4.2755344418052253E-2</v>
      </c>
      <c r="AN15" s="3">
        <v>4.7732696897374704E-3</v>
      </c>
      <c r="AO15" s="3">
        <v>9.6385542168674707E-3</v>
      </c>
      <c r="AP15" s="3">
        <v>0.43598615916955019</v>
      </c>
      <c r="AQ15" s="3">
        <v>6.9686411149825784E-3</v>
      </c>
      <c r="AR15" s="3">
        <v>0</v>
      </c>
      <c r="AS15" s="3">
        <v>1.0563380281690141E-2</v>
      </c>
      <c r="AT15" s="3">
        <v>2.1582733812949641E-2</v>
      </c>
      <c r="AU15" s="3">
        <v>2.2058823529411766E-2</v>
      </c>
      <c r="AV15" s="3">
        <v>7.9365079365079361E-2</v>
      </c>
      <c r="AW15" s="3">
        <v>-2.3255813953488372E-2</v>
      </c>
      <c r="AX15" s="3">
        <v>1.1764705882352941E-2</v>
      </c>
      <c r="AY15" s="3">
        <v>7.9051383399209481E-3</v>
      </c>
      <c r="AZ15" s="3">
        <v>3.968253968253968E-3</v>
      </c>
      <c r="BA15" s="3">
        <v>3.9840637450199202E-3</v>
      </c>
      <c r="BB15" s="3">
        <v>0</v>
      </c>
      <c r="BC15" s="3">
        <v>0</v>
      </c>
      <c r="BD15" s="3">
        <v>4.0000000000000001E-3</v>
      </c>
      <c r="BE15" s="3">
        <v>0</v>
      </c>
      <c r="BF15" s="3">
        <v>0</v>
      </c>
      <c r="BG15" s="3">
        <v>0</v>
      </c>
      <c r="BH15" s="3">
        <v>-1.1857707509881422E-2</v>
      </c>
      <c r="BI15" s="3">
        <v>3.968253968253968E-3</v>
      </c>
      <c r="BJ15" s="3">
        <v>8.0000000000000002E-3</v>
      </c>
      <c r="BK15" s="3">
        <v>0</v>
      </c>
      <c r="BL15" s="3">
        <v>1.2145748987854251E-2</v>
      </c>
      <c r="BM15" s="3">
        <v>4.0650406504065045E-3</v>
      </c>
      <c r="BN15" s="3">
        <v>8.1967213114754103E-3</v>
      </c>
      <c r="BO15" s="3">
        <v>0</v>
      </c>
      <c r="BP15" s="3">
        <v>0.11926605504587157</v>
      </c>
      <c r="BQ15" s="3">
        <v>1.8691588785046728E-2</v>
      </c>
      <c r="BR15" s="3">
        <v>-2.2831050228310501E-2</v>
      </c>
      <c r="BS15" s="3">
        <v>0</v>
      </c>
      <c r="BT15" s="3">
        <v>0</v>
      </c>
      <c r="BU15" s="3">
        <v>0</v>
      </c>
    </row>
    <row r="16" spans="1:73" x14ac:dyDescent="0.2">
      <c r="A16" s="3" t="s">
        <v>185</v>
      </c>
      <c r="B16" s="3">
        <v>6.7785077207423703E-4</v>
      </c>
      <c r="C16" s="3">
        <v>0.1012305120659531</v>
      </c>
      <c r="D16" s="3">
        <v>1.294056321941461E-4</v>
      </c>
      <c r="E16" s="3">
        <v>-1.1264052453861097E-3</v>
      </c>
      <c r="F16" s="3">
        <v>1.4058890645772192E-3</v>
      </c>
      <c r="G16" s="3">
        <v>0.11294144076937968</v>
      </c>
      <c r="H16" s="3">
        <v>9.5864100017189393E-3</v>
      </c>
      <c r="I16" s="3">
        <v>8.8581967815359419E-4</v>
      </c>
      <c r="J16" s="3">
        <v>-2.4763418780773257E-2</v>
      </c>
      <c r="K16" s="3">
        <v>0.1685401483602291</v>
      </c>
      <c r="L16" s="3">
        <v>1.5781167806417599E-3</v>
      </c>
      <c r="M16" s="3">
        <v>-1.9823348286235362E-3</v>
      </c>
      <c r="N16" s="3">
        <v>9.5334609465904817E-4</v>
      </c>
      <c r="O16" s="3">
        <v>6.270842395244304E-2</v>
      </c>
      <c r="P16" s="3">
        <v>1.4047352753203905E-2</v>
      </c>
      <c r="Q16" s="3">
        <v>-6.5189709739787863E-4</v>
      </c>
      <c r="R16" s="3">
        <v>-7.1473151193704974E-4</v>
      </c>
      <c r="S16" s="3">
        <v>0.13287708650790198</v>
      </c>
      <c r="T16" s="3">
        <v>7.7839903527686101E-4</v>
      </c>
      <c r="U16" s="3">
        <v>-2.3013713763885353E-3</v>
      </c>
      <c r="V16" s="3">
        <v>9.1408137184183919E-4</v>
      </c>
      <c r="W16" s="3">
        <v>0.10065787589651863</v>
      </c>
      <c r="X16" s="3">
        <v>-9.8054722883854535E-4</v>
      </c>
      <c r="Y16" s="3">
        <v>-1.3601824117814173E-3</v>
      </c>
      <c r="Z16" s="3">
        <v>-9.7060555608059437E-4</v>
      </c>
      <c r="AA16" s="3">
        <v>0.29843715732361997</v>
      </c>
      <c r="AB16" s="3">
        <v>-3.2647886585537313E-4</v>
      </c>
      <c r="AC16" s="3">
        <v>-2.512562814070341E-3</v>
      </c>
      <c r="AD16" s="3">
        <v>6.0906659364169278E-4</v>
      </c>
      <c r="AE16" s="3">
        <v>0.51627846014286549</v>
      </c>
      <c r="AF16" s="3">
        <v>7.7901676495585473E-4</v>
      </c>
      <c r="AG16" s="3">
        <v>-3.6268140142085098E-2</v>
      </c>
      <c r="AH16" s="3">
        <v>-1.1939406333076382E-2</v>
      </c>
      <c r="AI16" s="3">
        <v>0.71142841268959378</v>
      </c>
      <c r="AJ16" s="3">
        <v>-1.7347121496999137E-4</v>
      </c>
      <c r="AK16" s="3">
        <v>-7.5621700335659139E-3</v>
      </c>
      <c r="AL16" s="3">
        <v>3.8573805507418992E-3</v>
      </c>
      <c r="AM16" s="3">
        <v>1.1283158391027071</v>
      </c>
      <c r="AN16" s="3">
        <v>9.9744955935457055E-3</v>
      </c>
      <c r="AO16" s="3">
        <v>-3.4363240245593223E-2</v>
      </c>
      <c r="AP16" s="3">
        <v>0.181582469053195</v>
      </c>
      <c r="AQ16" s="3">
        <v>4.7927299887962238E-2</v>
      </c>
      <c r="AR16" s="3">
        <v>7.0930880713489297E-2</v>
      </c>
      <c r="AS16" s="3">
        <v>2.2755860491709533E-2</v>
      </c>
      <c r="AT16" s="3">
        <v>9.942513718317221E-2</v>
      </c>
      <c r="AU16" s="3">
        <v>9.4456548051319256E-2</v>
      </c>
      <c r="AV16" s="3">
        <v>9.2115197929026088E-2</v>
      </c>
      <c r="AW16" s="3">
        <v>7.7823529411764764E-2</v>
      </c>
      <c r="AX16" s="3">
        <v>8.8034956946407894E-2</v>
      </c>
      <c r="AY16" s="3">
        <v>8.3350947650250112E-2</v>
      </c>
      <c r="AZ16" s="3">
        <v>9.6153846153846062E-2</v>
      </c>
      <c r="BA16" s="3">
        <v>9.7460535346602775E-2</v>
      </c>
      <c r="BB16" s="3">
        <v>0.11904761904761887</v>
      </c>
      <c r="BC16" s="3">
        <v>7.6923076923076997E-2</v>
      </c>
      <c r="BD16" s="3">
        <v>4.9769281476598516E-2</v>
      </c>
      <c r="BE16" s="3">
        <v>0.151530612244898</v>
      </c>
      <c r="BF16" s="3">
        <v>0.1079706048615037</v>
      </c>
      <c r="BG16" s="3">
        <v>7.4074074074074014E-2</v>
      </c>
      <c r="BH16" s="3">
        <v>0.23228200371057511</v>
      </c>
      <c r="BI16" s="3">
        <v>9.5528455284552796E-2</v>
      </c>
      <c r="BJ16" s="3">
        <v>0.16206482593037219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</row>
    <row r="17" spans="1:73" x14ac:dyDescent="0.2">
      <c r="A17" s="3" t="s">
        <v>184</v>
      </c>
      <c r="B17" s="3">
        <v>0.27033898305084747</v>
      </c>
      <c r="C17" s="3">
        <v>7.2309489809165267E-2</v>
      </c>
      <c r="D17" s="3">
        <v>7.4937203460787055E-2</v>
      </c>
      <c r="E17" s="3">
        <v>9.3211289092295951E-2</v>
      </c>
      <c r="F17" s="3">
        <v>7.2304923932602655E-2</v>
      </c>
      <c r="G17" s="3">
        <v>9.0827980014275514E-2</v>
      </c>
      <c r="H17" s="3">
        <v>0.12915575256901068</v>
      </c>
      <c r="I17" s="3">
        <v>8.3624454148471611E-2</v>
      </c>
      <c r="J17" s="3">
        <v>-4.8805815160955349E-2</v>
      </c>
      <c r="K17" s="3">
        <v>-2.6926263463131731E-3</v>
      </c>
      <c r="L17" s="3">
        <v>2.3098114007204917E-2</v>
      </c>
      <c r="M17" s="3">
        <v>4.8200799644602402E-2</v>
      </c>
      <c r="N17" s="3">
        <v>0.11546085232903865</v>
      </c>
      <c r="O17" s="3">
        <v>-0.11935413484617063</v>
      </c>
      <c r="P17" s="3">
        <v>3.5940325497287526E-2</v>
      </c>
      <c r="Q17" s="3">
        <v>4.2658496346924347E-2</v>
      </c>
      <c r="R17" s="3">
        <v>0.21715433161216294</v>
      </c>
      <c r="S17" s="3">
        <v>-1.5532335498446766E-2</v>
      </c>
      <c r="T17" s="3">
        <v>0</v>
      </c>
      <c r="U17" s="3">
        <v>-7.845334827682824E-3</v>
      </c>
      <c r="V17" s="3">
        <v>0.14648249277224543</v>
      </c>
      <c r="W17" s="3">
        <v>-7.0191158900836326E-2</v>
      </c>
      <c r="X17" s="3">
        <v>5.3492762743864067E-2</v>
      </c>
      <c r="Y17" s="3">
        <v>-1.0893246187363835E-2</v>
      </c>
      <c r="Z17" s="3">
        <v>0.38372093023255816</v>
      </c>
      <c r="AA17" s="3">
        <v>-6.3331988705123035E-2</v>
      </c>
      <c r="AB17" s="3">
        <v>2.4803637866887142E-2</v>
      </c>
      <c r="AC17" s="3">
        <v>-9.2988376452943389E-2</v>
      </c>
      <c r="AD17" s="3">
        <v>0.25093808630393999</v>
      </c>
      <c r="AE17" s="3">
        <v>-0.19089184060721062</v>
      </c>
      <c r="AF17" s="3">
        <v>0.17267467734757455</v>
      </c>
      <c r="AG17" s="3">
        <v>-2.8534370946822308E-2</v>
      </c>
      <c r="AH17" s="3">
        <v>0.37270029673590505</v>
      </c>
      <c r="AI17" s="3">
        <v>-0.13986727922409392</v>
      </c>
      <c r="AJ17" s="3">
        <v>0.18297101449275363</v>
      </c>
      <c r="AK17" s="3">
        <v>4.611497157296273E-2</v>
      </c>
      <c r="AL17" s="3">
        <v>0.16999260901699925</v>
      </c>
      <c r="AM17" s="3">
        <v>7.3964497041420117E-4</v>
      </c>
      <c r="AN17" s="3">
        <v>0.40394600207684322</v>
      </c>
      <c r="AO17" s="3">
        <v>0.54823151125401925</v>
      </c>
      <c r="AP17" s="3">
        <v>0.31223628691983124</v>
      </c>
      <c r="AQ17" s="3">
        <v>-0.18556701030927836</v>
      </c>
      <c r="AR17" s="3">
        <v>-1.6891891891891893E-2</v>
      </c>
      <c r="AS17" s="3">
        <v>-0.10708898944193061</v>
      </c>
      <c r="AT17" s="3">
        <v>0.3783783783783784</v>
      </c>
      <c r="AU17" s="3">
        <v>0.26246719160104987</v>
      </c>
      <c r="AV17" s="3">
        <v>0.21337579617834396</v>
      </c>
      <c r="AW17" s="3">
        <v>0.25099601593625498</v>
      </c>
      <c r="AX17" s="3">
        <v>9.606986899563319E-2</v>
      </c>
      <c r="AY17" s="3">
        <v>9.569377990430622E-2</v>
      </c>
      <c r="AZ17" s="3">
        <v>0.52554744525547448</v>
      </c>
      <c r="BA17" s="3">
        <v>-0.27127659574468083</v>
      </c>
      <c r="BB17" s="3">
        <v>1.6216216216216217E-2</v>
      </c>
      <c r="BC17" s="3">
        <v>-0.13953488372093023</v>
      </c>
      <c r="BD17" s="3">
        <v>0.6796875</v>
      </c>
      <c r="BE17" s="3">
        <v>-0.39336492890995262</v>
      </c>
      <c r="BF17" s="3">
        <v>0.51798561151079137</v>
      </c>
      <c r="BG17" s="3">
        <v>-0.28717948717948716</v>
      </c>
      <c r="BH17" s="3">
        <v>-8.4507042253521125E-2</v>
      </c>
      <c r="BI17" s="3">
        <v>-0.15810276679841898</v>
      </c>
      <c r="BJ17" s="3">
        <v>2.7761194029850746</v>
      </c>
      <c r="BK17" s="3">
        <v>-0.69124423963133641</v>
      </c>
      <c r="BL17" s="3">
        <v>0.58394160583941601</v>
      </c>
      <c r="BM17" s="3">
        <v>0.19130434782608696</v>
      </c>
      <c r="BN17" s="3">
        <v>1.8048780487804879</v>
      </c>
      <c r="BO17" s="3">
        <v>-0.10869565217391304</v>
      </c>
      <c r="BP17" s="3">
        <v>0.4838709677419355</v>
      </c>
      <c r="BQ17" s="3">
        <v>-0.53030303030303028</v>
      </c>
      <c r="BR17" s="3">
        <v>17.5</v>
      </c>
      <c r="BS17" s="3">
        <v>-1.0350877192982457</v>
      </c>
      <c r="BT17" s="3">
        <v>0.9</v>
      </c>
      <c r="BU17" s="3">
        <v>0</v>
      </c>
    </row>
    <row r="18" spans="1:73" x14ac:dyDescent="0.2">
      <c r="A18" s="3" t="s">
        <v>183</v>
      </c>
      <c r="B18" s="3">
        <v>0.2811485642946317</v>
      </c>
      <c r="C18" s="3">
        <v>7.2863648540048218E-2</v>
      </c>
      <c r="D18" s="3">
        <v>6.2927107061503423E-2</v>
      </c>
      <c r="E18" s="3">
        <v>9.5616908438621126E-2</v>
      </c>
      <c r="F18" s="3">
        <v>6.6189921836021959E-2</v>
      </c>
      <c r="G18" s="3">
        <v>9.6862458956585185E-2</v>
      </c>
      <c r="H18" s="3">
        <v>0.14422876226257567</v>
      </c>
      <c r="I18" s="3">
        <v>7.7113309352517992E-2</v>
      </c>
      <c r="J18" s="3">
        <v>-5.2205412316215644E-2</v>
      </c>
      <c r="K18" s="3">
        <v>-6.3518949820029645E-3</v>
      </c>
      <c r="L18" s="3">
        <v>2.740917989993474E-2</v>
      </c>
      <c r="M18" s="3">
        <v>4.954337899543379E-2</v>
      </c>
      <c r="N18" s="3">
        <v>0.11365369946605644</v>
      </c>
      <c r="O18" s="3">
        <v>-0.1183591123066577</v>
      </c>
      <c r="P18" s="3">
        <v>3.5515320334261836E-2</v>
      </c>
      <c r="Q18" s="3">
        <v>3.6075036075036072E-2</v>
      </c>
      <c r="R18" s="3">
        <v>0.22836041358936485</v>
      </c>
      <c r="S18" s="3">
        <v>-1.9693020561830293E-2</v>
      </c>
      <c r="T18" s="3">
        <v>7.8809106830122592E-3</v>
      </c>
      <c r="U18" s="3">
        <v>-4.9375544583212319E-3</v>
      </c>
      <c r="V18" s="3">
        <v>0.14804934978326109</v>
      </c>
      <c r="W18" s="3">
        <v>-7.6093653727664815E-2</v>
      </c>
      <c r="X18" s="3">
        <v>5.6296778392450376E-2</v>
      </c>
      <c r="Y18" s="3">
        <v>2.6101141924959217E-3</v>
      </c>
      <c r="Z18" s="3">
        <v>0.3843721770551039</v>
      </c>
      <c r="AA18" s="3">
        <v>-7.0919009651699533E-2</v>
      </c>
      <c r="AB18" s="3">
        <v>3.2943216298222798E-2</v>
      </c>
      <c r="AC18" s="3">
        <v>-9.2446892210857598E-2</v>
      </c>
      <c r="AD18" s="3">
        <v>0.25036891293654695</v>
      </c>
      <c r="AE18" s="3">
        <v>-0.19612495057334914</v>
      </c>
      <c r="AF18" s="3">
        <v>0.18899858956276447</v>
      </c>
      <c r="AG18" s="3">
        <v>1.4124293785310734E-3</v>
      </c>
      <c r="AH18" s="3">
        <v>0.4498293515358362</v>
      </c>
      <c r="AI18" s="3">
        <v>-0.15121668597914253</v>
      </c>
      <c r="AJ18" s="3">
        <v>0.23197715917202</v>
      </c>
      <c r="AK18" s="3">
        <v>5.5764883195177091E-2</v>
      </c>
      <c r="AL18" s="3">
        <v>0.29085603112840469</v>
      </c>
      <c r="AM18" s="3">
        <v>-0.11302847282139776</v>
      </c>
      <c r="AN18" s="3">
        <v>0.585499316005472</v>
      </c>
      <c r="AO18" s="3">
        <v>0.57543103448275867</v>
      </c>
      <c r="AP18" s="3">
        <v>0.38922155688622756</v>
      </c>
      <c r="AQ18" s="3">
        <v>-0.29831932773109243</v>
      </c>
      <c r="AR18" s="3">
        <v>7.2072072072072071E-2</v>
      </c>
      <c r="AS18" s="3">
        <v>-8.6419753086419748E-2</v>
      </c>
      <c r="AT18" s="3">
        <v>0.52351097178683381</v>
      </c>
      <c r="AU18" s="3">
        <v>0.66145833333333337</v>
      </c>
      <c r="AV18" s="3">
        <v>-0.12328767123287671</v>
      </c>
      <c r="AW18" s="3">
        <v>0.2303370786516854</v>
      </c>
      <c r="AX18" s="3">
        <v>5.6497175141242938E-3</v>
      </c>
      <c r="AY18" s="3">
        <v>0.16447368421052633</v>
      </c>
      <c r="AZ18" s="3">
        <v>1.1111111111111112</v>
      </c>
      <c r="BA18" s="3">
        <v>-0.5</v>
      </c>
      <c r="BB18" s="3">
        <v>0.22033898305084745</v>
      </c>
      <c r="BC18" s="3">
        <v>-0.16901408450704225</v>
      </c>
      <c r="BD18" s="3">
        <v>1.253968253968254</v>
      </c>
      <c r="BE18" s="3">
        <v>-0.59354838709677415</v>
      </c>
      <c r="BF18" s="3">
        <v>0.68478260869565222</v>
      </c>
      <c r="BG18" s="3">
        <v>-0.41772151898734178</v>
      </c>
      <c r="BH18" s="3">
        <v>-0.16402116402116401</v>
      </c>
      <c r="BI18" s="3">
        <v>-0.18534482758620691</v>
      </c>
      <c r="BJ18" s="3">
        <v>5.628571428571429</v>
      </c>
      <c r="BK18" s="3">
        <v>-0.81283422459893051</v>
      </c>
      <c r="BL18" s="3">
        <v>0.62608695652173918</v>
      </c>
      <c r="BM18" s="3">
        <v>0.18556701030927836</v>
      </c>
      <c r="BN18" s="3">
        <v>2.03125</v>
      </c>
      <c r="BO18" s="3">
        <v>0.28000000000000003</v>
      </c>
      <c r="BP18" s="3">
        <v>0.31578947368421051</v>
      </c>
      <c r="BQ18" s="3">
        <v>-0.64150943396226412</v>
      </c>
      <c r="BR18" s="3">
        <v>4.3125</v>
      </c>
      <c r="BS18" s="3">
        <v>-1.1666666666666667</v>
      </c>
      <c r="BT18" s="3">
        <v>1.3414634146341464</v>
      </c>
      <c r="BU18" s="3">
        <v>0</v>
      </c>
    </row>
    <row r="19" spans="1:73" x14ac:dyDescent="0.2">
      <c r="A19" s="3" t="s">
        <v>182</v>
      </c>
      <c r="B19" s="3">
        <v>4.1741556833974789</v>
      </c>
      <c r="C19" s="3">
        <v>5.3708299990317174</v>
      </c>
      <c r="D19" s="3">
        <v>4.7105874894336432</v>
      </c>
      <c r="E19" s="3">
        <v>4.168588507590977</v>
      </c>
      <c r="F19" s="3">
        <v>4.0954087995179211</v>
      </c>
      <c r="G19" s="3">
        <v>3.9549491455872436</v>
      </c>
      <c r="H19" s="3">
        <v>3.7982568978750226</v>
      </c>
      <c r="I19" s="3">
        <v>4.5227452437722508</v>
      </c>
      <c r="J19" s="3">
        <v>8.6152562391667828</v>
      </c>
      <c r="K19" s="3">
        <v>8.2935612916110184</v>
      </c>
      <c r="L19" s="3">
        <v>6.5630097705335393</v>
      </c>
      <c r="M19" s="3">
        <v>7.2762396041688584</v>
      </c>
      <c r="N19" s="3">
        <v>8.21115636924924</v>
      </c>
      <c r="O19" s="3">
        <v>8.1087270733652321</v>
      </c>
      <c r="P19" s="3">
        <v>7.6488082583327435</v>
      </c>
      <c r="Q19" s="3">
        <v>7.4280486962775809</v>
      </c>
      <c r="R19" s="3">
        <v>7.3774656008984856</v>
      </c>
      <c r="S19" s="3">
        <v>7.1393453930917925</v>
      </c>
      <c r="T19" s="3">
        <v>6.0523856192933092</v>
      </c>
      <c r="U19" s="3">
        <v>5.7110490929078273</v>
      </c>
      <c r="V19" s="3">
        <v>6.0529218820994135</v>
      </c>
      <c r="W19" s="3">
        <v>6.1766089897554037</v>
      </c>
      <c r="X19" s="3">
        <v>5.7387620199708422</v>
      </c>
      <c r="Y19" s="3">
        <v>5.2766478682607723</v>
      </c>
      <c r="Z19" s="3">
        <v>5.6174176209960534</v>
      </c>
      <c r="AA19" s="3">
        <v>6.6175174116194997</v>
      </c>
      <c r="AB19" s="3">
        <v>7.0224110737070085</v>
      </c>
      <c r="AC19" s="3">
        <v>7.1308401511690693</v>
      </c>
      <c r="AD19" s="3">
        <v>8.1504592133307519</v>
      </c>
      <c r="AE19" s="3">
        <v>7.3950856554266498</v>
      </c>
      <c r="AF19" s="3">
        <v>5.3259703307921198</v>
      </c>
      <c r="AG19" s="3">
        <v>4.7396938072786989</v>
      </c>
      <c r="AH19" s="3">
        <v>6.8421048784944292</v>
      </c>
      <c r="AI19" s="3">
        <v>6.5555275715800629</v>
      </c>
      <c r="AJ19" s="3">
        <v>4.6839496424968194</v>
      </c>
      <c r="AK19" s="3">
        <v>4.3454187258287487</v>
      </c>
      <c r="AL19" s="3">
        <v>5.8460393204810082</v>
      </c>
      <c r="AM19" s="3">
        <v>5.0323771384984193</v>
      </c>
      <c r="AN19" s="3">
        <v>3.9751216934785782</v>
      </c>
      <c r="AO19" s="3">
        <v>3.6679091599364946</v>
      </c>
      <c r="AP19" s="3">
        <v>4.9479905808477236</v>
      </c>
      <c r="AQ19" s="3">
        <v>2.7179602888086638</v>
      </c>
      <c r="AR19" s="3">
        <v>2.1916480238627889</v>
      </c>
      <c r="AS19" s="3">
        <v>2.1915588601882492</v>
      </c>
      <c r="AT19" s="3">
        <v>3.1192128801431127</v>
      </c>
      <c r="AU19" s="3">
        <v>2.7285805626598467</v>
      </c>
      <c r="AV19" s="3">
        <v>1.9968821011467526</v>
      </c>
      <c r="AW19" s="3">
        <v>1.4744054669703874</v>
      </c>
      <c r="AX19" s="3">
        <v>0.83897027275513336</v>
      </c>
      <c r="AY19" s="3">
        <v>0.65581892788545482</v>
      </c>
      <c r="AZ19" s="3">
        <v>0.4246590171032692</v>
      </c>
      <c r="BA19" s="3">
        <v>0.26585347931515929</v>
      </c>
      <c r="BB19" s="3">
        <v>0.50429018136335224</v>
      </c>
      <c r="BC19" s="3">
        <v>0.36161187698833513</v>
      </c>
      <c r="BD19" s="3">
        <v>0.20270638948000216</v>
      </c>
      <c r="BE19" s="3">
        <v>0.20574589744781743</v>
      </c>
      <c r="BF19" s="3">
        <v>0.55709962168978577</v>
      </c>
      <c r="BG19" s="3">
        <v>0.33631322094055011</v>
      </c>
      <c r="BH19" s="3">
        <v>0.21738574624480658</v>
      </c>
      <c r="BI19" s="3">
        <v>0.19489971665092509</v>
      </c>
      <c r="BJ19" s="3">
        <v>0.50505494505494508</v>
      </c>
      <c r="BK19" s="3">
        <v>0.32164031620553352</v>
      </c>
      <c r="BL19" s="3">
        <v>0.13158429936953422</v>
      </c>
      <c r="BM19" s="3">
        <v>0.12179639919558526</v>
      </c>
      <c r="BN19" s="3">
        <v>0.42482223658694263</v>
      </c>
      <c r="BO19" s="3">
        <v>0.12361827560795872</v>
      </c>
      <c r="BP19" s="3">
        <v>-0.13176354605088542</v>
      </c>
      <c r="BQ19" s="3">
        <v>-0.16923866662388909</v>
      </c>
      <c r="BR19" s="3">
        <v>0</v>
      </c>
      <c r="BS19" s="3">
        <v>0</v>
      </c>
      <c r="BT19" s="3">
        <v>0</v>
      </c>
      <c r="BU19" s="3">
        <v>0</v>
      </c>
    </row>
    <row r="20" spans="1:73" x14ac:dyDescent="0.2">
      <c r="A20" s="3" t="s">
        <v>181</v>
      </c>
      <c r="B20" s="3">
        <v>1.8992678212563265</v>
      </c>
      <c r="C20" s="3">
        <v>1.4972855270399641</v>
      </c>
      <c r="D20" s="3">
        <v>1.3901697639527866</v>
      </c>
      <c r="E20" s="3">
        <v>1.3427881012794587</v>
      </c>
      <c r="F20" s="3">
        <v>1.2260967809417291</v>
      </c>
      <c r="G20" s="3">
        <v>1.1584921960302235</v>
      </c>
      <c r="H20" s="3">
        <v>1.0644778431833402</v>
      </c>
      <c r="I20" s="3">
        <v>1.0230852281487584</v>
      </c>
      <c r="J20" s="3">
        <v>0.9323806572451524</v>
      </c>
      <c r="K20" s="3">
        <v>0.83303129065346693</v>
      </c>
      <c r="L20" s="3">
        <v>0.70325017390360667</v>
      </c>
      <c r="M20" s="3">
        <v>0.82527274979328258</v>
      </c>
      <c r="N20" s="3">
        <v>0.76690471499079682</v>
      </c>
      <c r="O20" s="3">
        <v>0.64152017841761266</v>
      </c>
      <c r="P20" s="3">
        <v>0.830061419952142</v>
      </c>
      <c r="Q20" s="3">
        <v>0.90108308820121474</v>
      </c>
      <c r="R20" s="3">
        <v>0.90541536605748063</v>
      </c>
      <c r="S20" s="3">
        <v>0.80305617650715311</v>
      </c>
      <c r="T20" s="3">
        <v>0.72568115091605156</v>
      </c>
      <c r="U20" s="3">
        <v>0.71790632267897581</v>
      </c>
      <c r="V20" s="3">
        <v>0.78464219326774198</v>
      </c>
      <c r="W20" s="3">
        <v>1.5511019585265733</v>
      </c>
      <c r="X20" s="3">
        <v>1.3891974434442078</v>
      </c>
      <c r="Y20" s="3">
        <v>1.206169864345936</v>
      </c>
      <c r="Z20" s="3">
        <v>1.2889430698347071</v>
      </c>
      <c r="AA20" s="3">
        <v>1.2955603706606424</v>
      </c>
      <c r="AB20" s="3">
        <v>1.3241987864962057</v>
      </c>
      <c r="AC20" s="3">
        <v>1.7298628683211168</v>
      </c>
      <c r="AD20" s="3">
        <v>3.9758603218863309</v>
      </c>
      <c r="AE20" s="3">
        <v>4.0700505435986907</v>
      </c>
      <c r="AF20" s="3">
        <v>3.4403399373799557</v>
      </c>
      <c r="AG20" s="3">
        <v>3.5342481583128693</v>
      </c>
      <c r="AH20" s="3">
        <v>4.2131596520739469</v>
      </c>
      <c r="AI20" s="3">
        <v>3.5630155836114077</v>
      </c>
      <c r="AJ20" s="3">
        <v>3.7259661146011802</v>
      </c>
      <c r="AK20" s="3">
        <v>3.4332879233869336</v>
      </c>
      <c r="AL20" s="3">
        <v>3.3966610903492436</v>
      </c>
      <c r="AM20" s="3">
        <v>3.5141940107818388</v>
      </c>
      <c r="AN20" s="3">
        <v>3.0867257636497092</v>
      </c>
      <c r="AO20" s="3">
        <v>2.9065279662294587</v>
      </c>
      <c r="AP20" s="3">
        <v>2.9520089285714288</v>
      </c>
      <c r="AQ20" s="3">
        <v>1.8131407942238267</v>
      </c>
      <c r="AR20" s="3">
        <v>1.8205128205128205</v>
      </c>
      <c r="AS20" s="3">
        <v>1.8450428816466553</v>
      </c>
      <c r="AT20" s="3">
        <v>1.8910363513208397</v>
      </c>
      <c r="AU20" s="3">
        <v>2.3183694530443759</v>
      </c>
      <c r="AV20" s="3">
        <v>2.4516888659945542</v>
      </c>
      <c r="AW20" s="3">
        <v>1.9784793388429756</v>
      </c>
      <c r="AX20" s="3">
        <v>0.83897027275513336</v>
      </c>
      <c r="AY20" s="3">
        <v>0.65581892788545482</v>
      </c>
      <c r="AZ20" s="3">
        <v>0.4246590171032692</v>
      </c>
      <c r="BA20" s="3">
        <v>0.26585347931515929</v>
      </c>
      <c r="BB20" s="3">
        <v>0.50429018136335224</v>
      </c>
      <c r="BC20" s="3">
        <v>0.36161187698833513</v>
      </c>
      <c r="BD20" s="3">
        <v>0.20270638948000216</v>
      </c>
      <c r="BE20" s="3">
        <v>0.20574589744781743</v>
      </c>
      <c r="BF20" s="3">
        <v>0.55709962168978577</v>
      </c>
      <c r="BG20" s="3">
        <v>0.33631322094055011</v>
      </c>
      <c r="BH20" s="3">
        <v>0.21738574624480658</v>
      </c>
      <c r="BI20" s="3">
        <v>0.19489971665092509</v>
      </c>
      <c r="BJ20" s="3">
        <v>0.50505494505494508</v>
      </c>
      <c r="BK20" s="3">
        <v>0.32164031620553352</v>
      </c>
      <c r="BL20" s="3">
        <v>0.13158429936953422</v>
      </c>
      <c r="BM20" s="3">
        <v>0.12179639919558526</v>
      </c>
      <c r="BN20" s="3">
        <v>0.42482223658694263</v>
      </c>
      <c r="BO20" s="3">
        <v>0.12361827560795872</v>
      </c>
      <c r="BP20" s="3">
        <v>-0.13176354605088542</v>
      </c>
      <c r="BQ20" s="3">
        <v>-0.16923866662388909</v>
      </c>
      <c r="BR20" s="3">
        <v>0</v>
      </c>
      <c r="BS20" s="3">
        <v>0</v>
      </c>
      <c r="BT20" s="3">
        <v>0</v>
      </c>
      <c r="BU20" s="3">
        <v>0</v>
      </c>
    </row>
    <row r="21" spans="1:73" x14ac:dyDescent="0.2">
      <c r="A21" s="3" t="s">
        <v>180</v>
      </c>
      <c r="B21" s="3">
        <v>1.2210789093118073</v>
      </c>
      <c r="C21" s="3">
        <v>0.90980815201054555</v>
      </c>
      <c r="D21" s="3">
        <v>0.75218473919912443</v>
      </c>
      <c r="E21" s="3">
        <v>0.62327457607272063</v>
      </c>
      <c r="F21" s="3">
        <v>0.60903028018196037</v>
      </c>
      <c r="G21" s="3">
        <v>0.69857602349606851</v>
      </c>
      <c r="H21" s="3">
        <v>0.67490003070921212</v>
      </c>
      <c r="I21" s="3">
        <v>0.70413502629611113</v>
      </c>
      <c r="J21" s="3">
        <v>0.66576657189335153</v>
      </c>
      <c r="K21" s="3">
        <v>0.62241684673842945</v>
      </c>
      <c r="L21" s="3">
        <v>0.41298828172532481</v>
      </c>
      <c r="M21" s="3">
        <v>0.48790323754727893</v>
      </c>
      <c r="N21" s="3">
        <v>0.46959121753471572</v>
      </c>
      <c r="O21" s="3">
        <v>0.44903464938145382</v>
      </c>
      <c r="P21" s="3">
        <v>0.4933890382891537</v>
      </c>
      <c r="Q21" s="3">
        <v>0.50442704235779767</v>
      </c>
      <c r="R21" s="3">
        <v>0.42556217275679581</v>
      </c>
      <c r="S21" s="3">
        <v>0.29560498904014471</v>
      </c>
      <c r="T21" s="3">
        <v>0.35717894346723567</v>
      </c>
      <c r="U21" s="3">
        <v>0.39711819633598022</v>
      </c>
      <c r="V21" s="3">
        <v>0.35359512786545227</v>
      </c>
      <c r="W21" s="3">
        <v>0.25535850205629784</v>
      </c>
      <c r="X21" s="3">
        <v>0.34158072794555011</v>
      </c>
      <c r="Y21" s="3">
        <v>0.31722533608289621</v>
      </c>
      <c r="Z21" s="3">
        <v>0.37724066921002997</v>
      </c>
      <c r="AA21" s="3">
        <v>0.41887378423890415</v>
      </c>
      <c r="AB21" s="3">
        <v>0.40003605376883689</v>
      </c>
      <c r="AC21" s="3">
        <v>0.44706920679346107</v>
      </c>
      <c r="AD21" s="3">
        <v>0.53841185337361486</v>
      </c>
      <c r="AE21" s="3">
        <v>1.2579815283924576</v>
      </c>
      <c r="AF21" s="3">
        <v>0.98203883495145627</v>
      </c>
      <c r="AG21" s="3">
        <v>0.79839823068158977</v>
      </c>
      <c r="AH21" s="3">
        <v>0.90378722990931515</v>
      </c>
      <c r="AI21" s="3">
        <v>1.0321700568784344</v>
      </c>
      <c r="AJ21" s="3">
        <v>0.89662103835244789</v>
      </c>
      <c r="AK21" s="3">
        <v>1.1602840751776919</v>
      </c>
      <c r="AL21" s="3">
        <v>2.722756926475117</v>
      </c>
      <c r="AM21" s="3">
        <v>2.6431381698251268</v>
      </c>
      <c r="AN21" s="3">
        <v>2.4921490923451941</v>
      </c>
      <c r="AO21" s="3">
        <v>2.6875588179935996</v>
      </c>
      <c r="AP21" s="3">
        <v>2.9540180841019685</v>
      </c>
      <c r="AQ21" s="3">
        <v>1.7305580625752104</v>
      </c>
      <c r="AR21" s="3">
        <v>1.6537216828478962</v>
      </c>
      <c r="AS21" s="3">
        <v>1.6469580920356186</v>
      </c>
      <c r="AT21" s="3">
        <v>1.6454395227923098</v>
      </c>
      <c r="AU21" s="3">
        <v>1.7901995611743813</v>
      </c>
      <c r="AV21" s="3">
        <v>1.4617358223480492</v>
      </c>
      <c r="AW21" s="3">
        <v>1.070805970149254</v>
      </c>
      <c r="AX21" s="3">
        <v>0.22186254980079678</v>
      </c>
      <c r="AY21" s="3">
        <v>0.25285140562248998</v>
      </c>
      <c r="AZ21" s="3">
        <v>0.25899503722084383</v>
      </c>
      <c r="BA21" s="3">
        <v>0.1284164222873902</v>
      </c>
      <c r="BB21" s="3">
        <v>5.5773936380140457E-2</v>
      </c>
      <c r="BC21" s="3">
        <v>0.21181001283697051</v>
      </c>
      <c r="BD21" s="3">
        <v>0.3852290859357192</v>
      </c>
      <c r="BE21" s="3">
        <v>0.45137459942654751</v>
      </c>
      <c r="BF21" s="3">
        <v>0.55709962168978577</v>
      </c>
      <c r="BG21" s="3">
        <v>0.33631322094055011</v>
      </c>
      <c r="BH21" s="3">
        <v>0.21738574624480658</v>
      </c>
      <c r="BI21" s="3">
        <v>0.19489971665092509</v>
      </c>
      <c r="BJ21" s="3">
        <v>0.50505494505494508</v>
      </c>
      <c r="BK21" s="3">
        <v>0.32164031620553352</v>
      </c>
      <c r="BL21" s="3">
        <v>0.13158429936953422</v>
      </c>
      <c r="BM21" s="3">
        <v>0.12179639919558526</v>
      </c>
      <c r="BN21" s="3">
        <v>0.42482223658694263</v>
      </c>
      <c r="BO21" s="3">
        <v>0.12361827560795872</v>
      </c>
      <c r="BP21" s="3">
        <v>-0.13176354605088542</v>
      </c>
      <c r="BQ21" s="3">
        <v>-0.16923866662388909</v>
      </c>
      <c r="BR21" s="3">
        <v>0</v>
      </c>
      <c r="BS21" s="3">
        <v>0</v>
      </c>
      <c r="BT21" s="3">
        <v>0</v>
      </c>
      <c r="BU21" s="3">
        <v>0</v>
      </c>
    </row>
    <row r="22" spans="1:73" x14ac:dyDescent="0.2">
      <c r="A22" s="3" t="s">
        <v>179</v>
      </c>
      <c r="B22" s="3">
        <v>12.930802124475978</v>
      </c>
      <c r="C22" s="3">
        <v>9.1814942280154188</v>
      </c>
      <c r="D22" s="3">
        <v>6.7197148608726724</v>
      </c>
      <c r="E22" s="3">
        <v>5.8047377564242222</v>
      </c>
      <c r="F22" s="3">
        <v>4.419193710724473</v>
      </c>
      <c r="G22" s="3">
        <v>5.9026190112452079</v>
      </c>
      <c r="H22" s="3">
        <v>6.9846120966018388</v>
      </c>
      <c r="I22" s="3">
        <v>7.4740148424171329</v>
      </c>
      <c r="J22" s="3">
        <v>8.849462365591398</v>
      </c>
      <c r="K22" s="3">
        <v>10.5830177377594</v>
      </c>
      <c r="L22" s="3">
        <v>12.871473753721748</v>
      </c>
      <c r="M22" s="3">
        <v>19.683833795797174</v>
      </c>
      <c r="N22" s="3">
        <v>13.194975647269931</v>
      </c>
      <c r="O22" s="3">
        <v>11.839208586577007</v>
      </c>
      <c r="P22" s="3">
        <v>11.758648786284162</v>
      </c>
      <c r="Q22" s="3">
        <v>19.855910495917637</v>
      </c>
      <c r="R22" s="3">
        <v>10.995910142835918</v>
      </c>
      <c r="S22" s="3">
        <v>13.913564294195712</v>
      </c>
      <c r="T22" s="3">
        <v>9.7714226866080747</v>
      </c>
      <c r="U22" s="3">
        <v>8.9255021266718551</v>
      </c>
      <c r="V22" s="3">
        <v>7.4291089620105897</v>
      </c>
      <c r="W22" s="3">
        <v>26.557399512900666</v>
      </c>
      <c r="X22" s="3">
        <v>8.1960008514815605</v>
      </c>
      <c r="Y22" s="3">
        <v>12.757077393997573</v>
      </c>
      <c r="Z22" s="3">
        <v>15.58232679171636</v>
      </c>
      <c r="AA22" s="3">
        <v>32.582056624586343</v>
      </c>
      <c r="AB22" s="3">
        <v>31.036140619866391</v>
      </c>
      <c r="AC22" s="3">
        <v>40.760982331009885</v>
      </c>
      <c r="AD22" s="3">
        <v>20.782230364094342</v>
      </c>
      <c r="AE22" s="3">
        <v>285.44389027431419</v>
      </c>
      <c r="AF22" s="3">
        <v>11.00583375915517</v>
      </c>
      <c r="AG22" s="3">
        <v>17.637906976744187</v>
      </c>
      <c r="AH22" s="3">
        <v>16.814079032606347</v>
      </c>
      <c r="AI22" s="3">
        <v>220.8719512195122</v>
      </c>
      <c r="AJ22" s="3">
        <v>8.0132868937048496</v>
      </c>
      <c r="AK22" s="3">
        <v>13.512039312039313</v>
      </c>
      <c r="AL22" s="3">
        <v>11.736371155725996</v>
      </c>
      <c r="AM22" s="3">
        <v>182.41729323308269</v>
      </c>
      <c r="AN22" s="3">
        <v>5.3767962620118137</v>
      </c>
      <c r="AO22" s="3">
        <v>7.6734848484848488</v>
      </c>
      <c r="AP22" s="3">
        <v>4.1448670377241799</v>
      </c>
      <c r="AQ22" s="3">
        <v>92.548736462093856</v>
      </c>
      <c r="AR22" s="3">
        <v>2.958428680396644</v>
      </c>
      <c r="AS22" s="3">
        <v>6.9677987421383651</v>
      </c>
      <c r="AT22" s="3">
        <v>7.3322762508809012</v>
      </c>
      <c r="AU22" s="3">
        <v>101.9156862745098</v>
      </c>
      <c r="AV22" s="3">
        <v>1.8157894736842104</v>
      </c>
      <c r="AW22" s="3">
        <v>3.4797333333333329</v>
      </c>
      <c r="AX22" s="3">
        <v>2.2424242424242427</v>
      </c>
      <c r="AY22" s="3">
        <v>50.20281124497992</v>
      </c>
      <c r="AZ22" s="3">
        <v>0.581989247311828</v>
      </c>
      <c r="BA22" s="3">
        <v>0.97029569892473133</v>
      </c>
      <c r="BB22" s="3">
        <v>1.477950234047795</v>
      </c>
      <c r="BC22" s="3">
        <v>41.233739837398375</v>
      </c>
      <c r="BD22" s="3">
        <v>0.64063614320353734</v>
      </c>
      <c r="BE22" s="3">
        <v>0.86340136054421779</v>
      </c>
      <c r="BF22" s="3">
        <v>1.8038996522603081</v>
      </c>
      <c r="BG22" s="3">
        <v>31.353061224489796</v>
      </c>
      <c r="BH22" s="3">
        <v>0.49409237379162185</v>
      </c>
      <c r="BI22" s="3">
        <v>2.0882113821138208</v>
      </c>
      <c r="BJ22" s="3">
        <v>2.3482993197278916</v>
      </c>
      <c r="BK22" s="3">
        <v>15.811983471074381</v>
      </c>
      <c r="BL22" s="3">
        <v>0.68326808757430768</v>
      </c>
      <c r="BM22" s="3">
        <v>1.0444909344490936</v>
      </c>
      <c r="BN22" s="3">
        <v>0.56671759612936101</v>
      </c>
      <c r="BO22" s="3">
        <v>10.29449152542373</v>
      </c>
      <c r="BP22" s="3">
        <v>-0.63410645257210829</v>
      </c>
      <c r="BQ22" s="3">
        <v>-0.48090766823161185</v>
      </c>
      <c r="BR22" s="3">
        <v>0</v>
      </c>
      <c r="BS22" s="3">
        <v>0</v>
      </c>
      <c r="BT22" s="3">
        <v>0</v>
      </c>
      <c r="BU22" s="3">
        <v>0</v>
      </c>
    </row>
    <row r="23" spans="1:73" x14ac:dyDescent="0.2">
      <c r="A23" s="3" t="s">
        <v>178</v>
      </c>
      <c r="B23" s="3">
        <v>1.5394773076068806</v>
      </c>
      <c r="C23" s="3">
        <v>1.2835599776755904</v>
      </c>
      <c r="D23" s="3">
        <v>0.97411201259681413</v>
      </c>
      <c r="E23" s="3">
        <v>0.92769525746187276</v>
      </c>
      <c r="F23" s="3">
        <v>0.73804951482753012</v>
      </c>
      <c r="G23" s="3">
        <v>1.2317197451060788</v>
      </c>
      <c r="H23" s="3">
        <v>0.9180461894015306</v>
      </c>
      <c r="I23" s="3">
        <v>0.75116094731137451</v>
      </c>
      <c r="J23" s="3">
        <v>0.46615544024738848</v>
      </c>
      <c r="K23" s="3">
        <v>1.0036184811303526</v>
      </c>
      <c r="L23" s="3">
        <v>0.82782160431148955</v>
      </c>
      <c r="M23" s="3">
        <v>1.1865796849390793</v>
      </c>
      <c r="N23" s="3">
        <v>0.97453054761197844</v>
      </c>
      <c r="O23" s="3">
        <v>1.3494100776624596</v>
      </c>
      <c r="P23" s="3">
        <v>1.3223825652146373</v>
      </c>
      <c r="Q23" s="3">
        <v>1.6779786877534388</v>
      </c>
      <c r="R23" s="3">
        <v>1.6408878845307378</v>
      </c>
      <c r="S23" s="3">
        <v>1.4951994489053455</v>
      </c>
      <c r="T23" s="3">
        <v>1.5237595541228495</v>
      </c>
      <c r="U23" s="3">
        <v>2.5339946026581801</v>
      </c>
      <c r="V23" s="3">
        <v>4.4856966363695943</v>
      </c>
      <c r="W23" s="3">
        <v>3.4586060044628408</v>
      </c>
      <c r="X23" s="3">
        <v>2.910474588885104</v>
      </c>
      <c r="Y23" s="3">
        <v>2.529986251760445</v>
      </c>
      <c r="Z23" s="3">
        <v>2.1179742950316522</v>
      </c>
      <c r="AA23" s="3">
        <v>2.0929596004972888</v>
      </c>
      <c r="AB23" s="3">
        <v>3.1628883291351806</v>
      </c>
      <c r="AC23" s="3">
        <v>3.8390839548058771</v>
      </c>
      <c r="AD23" s="3">
        <v>5.7178841309823678</v>
      </c>
      <c r="AE23" s="3">
        <v>4.7810495595073448</v>
      </c>
      <c r="AF23" s="3">
        <v>6.589074185906072</v>
      </c>
      <c r="AG23" s="3">
        <v>8.4594466134781872</v>
      </c>
      <c r="AH23" s="3">
        <v>6.1890382574417551</v>
      </c>
      <c r="AI23" s="3">
        <v>3.4686867611034184</v>
      </c>
      <c r="AJ23" s="3">
        <v>4.4937756497948014</v>
      </c>
      <c r="AK23" s="3">
        <v>6.7879299754299751</v>
      </c>
      <c r="AL23" s="3">
        <v>3.5423776651417693</v>
      </c>
      <c r="AM23" s="3">
        <v>4.9769026883756142</v>
      </c>
      <c r="AN23" s="3">
        <v>3.2680067001675042</v>
      </c>
      <c r="AO23" s="3">
        <v>1.8085787451984638</v>
      </c>
      <c r="AP23" s="3">
        <v>0.53656126482213418</v>
      </c>
      <c r="AQ23" s="3">
        <v>5.1807209440163797</v>
      </c>
      <c r="AR23" s="3">
        <v>1.3516329392907234</v>
      </c>
      <c r="AS23" s="3">
        <v>2.8972042418399671</v>
      </c>
      <c r="AT23" s="3">
        <v>4.318301314459049</v>
      </c>
      <c r="AU23" s="3">
        <v>9.8575801052128167</v>
      </c>
      <c r="AV23" s="3">
        <v>6.695652173913043</v>
      </c>
      <c r="AW23" s="3">
        <v>7.629935483870967</v>
      </c>
      <c r="AX23" s="3">
        <v>2.2424242424242427</v>
      </c>
      <c r="AY23" s="3">
        <v>50.20281124497992</v>
      </c>
      <c r="AZ23" s="3">
        <v>0.581989247311828</v>
      </c>
      <c r="BA23" s="3">
        <v>0.97029569892473133</v>
      </c>
      <c r="BB23" s="3">
        <v>1.477950234047795</v>
      </c>
      <c r="BC23" s="3">
        <v>41.233739837398375</v>
      </c>
      <c r="BD23" s="3">
        <v>0.64063614320353734</v>
      </c>
      <c r="BE23" s="3">
        <v>0.86340136054421779</v>
      </c>
      <c r="BF23" s="3">
        <v>1.8038996522603081</v>
      </c>
      <c r="BG23" s="3">
        <v>31.353061224489796</v>
      </c>
      <c r="BH23" s="3">
        <v>0.49409237379162185</v>
      </c>
      <c r="BI23" s="3">
        <v>2.0882113821138208</v>
      </c>
      <c r="BJ23" s="3">
        <v>2.3482993197278916</v>
      </c>
      <c r="BK23" s="3">
        <v>15.811983471074381</v>
      </c>
      <c r="BL23" s="3">
        <v>0.68326808757430768</v>
      </c>
      <c r="BM23" s="3">
        <v>1.0444909344490936</v>
      </c>
      <c r="BN23" s="3">
        <v>0.56671759612936101</v>
      </c>
      <c r="BO23" s="3">
        <v>10.29449152542373</v>
      </c>
      <c r="BP23" s="3">
        <v>-0.63410645257210829</v>
      </c>
      <c r="BQ23" s="3">
        <v>-0.48090766823161185</v>
      </c>
      <c r="BR23" s="3">
        <v>0</v>
      </c>
      <c r="BS23" s="3">
        <v>0</v>
      </c>
      <c r="BT23" s="3">
        <v>0</v>
      </c>
      <c r="BU23" s="3">
        <v>0</v>
      </c>
    </row>
    <row r="24" spans="1:73" x14ac:dyDescent="0.2">
      <c r="A24" s="3" t="s">
        <v>177</v>
      </c>
      <c r="B24" s="3">
        <v>1.0376193077402016</v>
      </c>
      <c r="C24" s="3">
        <v>0.80440996231135564</v>
      </c>
      <c r="D24" s="3">
        <v>0.45984627668610278</v>
      </c>
      <c r="E24" s="3">
        <v>0.39512842070980914</v>
      </c>
      <c r="F24" s="3">
        <v>0.34246405093862109</v>
      </c>
      <c r="G24" s="3">
        <v>0.53882287097576353</v>
      </c>
      <c r="H24" s="3">
        <v>0.39702277361659494</v>
      </c>
      <c r="I24" s="3">
        <v>0.23845969323660118</v>
      </c>
      <c r="J24" s="3">
        <v>0.13155696032441849</v>
      </c>
      <c r="K24" s="3">
        <v>0.39624035944042824</v>
      </c>
      <c r="L24" s="3">
        <v>0.41766572360066073</v>
      </c>
      <c r="M24" s="3">
        <v>0.44894225890161932</v>
      </c>
      <c r="N24" s="3">
        <v>0.35391388148298136</v>
      </c>
      <c r="O24" s="3">
        <v>0.65499136612967701</v>
      </c>
      <c r="P24" s="3">
        <v>0.78575557799874174</v>
      </c>
      <c r="Q24" s="3">
        <v>0.79275211430600956</v>
      </c>
      <c r="R24" s="3">
        <v>0.54416364696462571</v>
      </c>
      <c r="S24" s="3">
        <v>0.59142926100657589</v>
      </c>
      <c r="T24" s="3">
        <v>0.34047337434394559</v>
      </c>
      <c r="U24" s="3">
        <v>0.64460787786040841</v>
      </c>
      <c r="V24" s="3">
        <v>0.5843187712232264</v>
      </c>
      <c r="W24" s="3">
        <v>0.85644300615391378</v>
      </c>
      <c r="X24" s="3">
        <v>0.71739066437753163</v>
      </c>
      <c r="Y24" s="3">
        <v>0.93813008714831991</v>
      </c>
      <c r="Z24" s="3">
        <v>1.0398136055943528</v>
      </c>
      <c r="AA24" s="3">
        <v>0.72049827853235138</v>
      </c>
      <c r="AB24" s="3">
        <v>0.83819847077936616</v>
      </c>
      <c r="AC24" s="3">
        <v>1.4993190250317006</v>
      </c>
      <c r="AD24" s="3">
        <v>3.2337790664712034</v>
      </c>
      <c r="AE24" s="3">
        <v>2.1070214758462491</v>
      </c>
      <c r="AF24" s="3">
        <v>2.0329796817135422</v>
      </c>
      <c r="AG24" s="3">
        <v>1.3391538340666245</v>
      </c>
      <c r="AH24" s="3">
        <v>1.1379606839995273</v>
      </c>
      <c r="AI24" s="3">
        <v>1.4016929093341566</v>
      </c>
      <c r="AJ24" s="3">
        <v>2.2009803921568634</v>
      </c>
      <c r="AK24" s="3">
        <v>2.2394873159204374</v>
      </c>
      <c r="AL24" s="3">
        <v>2.9280397022332503</v>
      </c>
      <c r="AM24" s="3">
        <v>2.6871326788587186</v>
      </c>
      <c r="AN24" s="3">
        <v>3.0308720636676201</v>
      </c>
      <c r="AO24" s="3">
        <v>3.4021234240212346</v>
      </c>
      <c r="AP24" s="3">
        <v>1.0762592270950933</v>
      </c>
      <c r="AQ24" s="3">
        <v>1.2754219923895012</v>
      </c>
      <c r="AR24" s="3">
        <v>1.4127401415571283</v>
      </c>
      <c r="AS24" s="3">
        <v>3.2759433962264155</v>
      </c>
      <c r="AT24" s="3">
        <v>1.9716741981703958</v>
      </c>
      <c r="AU24" s="3">
        <v>2.3247284525320921</v>
      </c>
      <c r="AV24" s="3">
        <v>0.88461538461538458</v>
      </c>
      <c r="AW24" s="3">
        <v>0.45059154929577461</v>
      </c>
      <c r="AX24" s="3">
        <v>-3.1620553359683772E-2</v>
      </c>
      <c r="AY24" s="3">
        <v>2.3218246118803574</v>
      </c>
      <c r="AZ24" s="3">
        <v>-6.0167979782964155E-2</v>
      </c>
      <c r="BA24" s="3">
        <v>-3.6290322580645136E-2</v>
      </c>
      <c r="BB24" s="3">
        <v>0.58161894662424862</v>
      </c>
      <c r="BC24" s="3">
        <v>3.3287725560182433</v>
      </c>
      <c r="BD24" s="3">
        <v>3.4839165782962178</v>
      </c>
      <c r="BE24" s="3">
        <v>2.58973008558262</v>
      </c>
      <c r="BF24" s="3">
        <v>1.8038996522603081</v>
      </c>
      <c r="BG24" s="3">
        <v>31.353061224489796</v>
      </c>
      <c r="BH24" s="3">
        <v>0.49409237379162185</v>
      </c>
      <c r="BI24" s="3">
        <v>2.0882113821138208</v>
      </c>
      <c r="BJ24" s="3">
        <v>2.3482993197278916</v>
      </c>
      <c r="BK24" s="3">
        <v>15.811983471074381</v>
      </c>
      <c r="BL24" s="3">
        <v>0.68326808757430768</v>
      </c>
      <c r="BM24" s="3">
        <v>1.0444909344490936</v>
      </c>
      <c r="BN24" s="3">
        <v>0.56671759612936101</v>
      </c>
      <c r="BO24" s="3">
        <v>10.29449152542373</v>
      </c>
      <c r="BP24" s="3">
        <v>-0.63410645257210829</v>
      </c>
      <c r="BQ24" s="3">
        <v>-0.48090766823161185</v>
      </c>
      <c r="BR24" s="3">
        <v>0</v>
      </c>
      <c r="BS24" s="3">
        <v>0</v>
      </c>
      <c r="BT24" s="3">
        <v>0</v>
      </c>
      <c r="BU24" s="3">
        <v>0</v>
      </c>
    </row>
    <row r="25" spans="1:73" x14ac:dyDescent="0.2">
      <c r="A25" s="3" t="s">
        <v>176</v>
      </c>
      <c r="B25" s="3">
        <v>7.4823403154064465</v>
      </c>
      <c r="C25" s="3">
        <v>10.389291562905454</v>
      </c>
      <c r="D25" s="3">
        <v>10.580963415282943</v>
      </c>
      <c r="E25" s="3">
        <v>8.6971786168858731</v>
      </c>
      <c r="F25" s="3">
        <v>6.9110898661567877</v>
      </c>
      <c r="G25" s="3">
        <v>7.5152417101298887</v>
      </c>
      <c r="H25" s="3">
        <v>16.387317644637584</v>
      </c>
      <c r="I25" s="3">
        <v>-5.1295983429489027</v>
      </c>
      <c r="J25" s="3">
        <v>6.2461004491629231</v>
      </c>
      <c r="K25" s="3">
        <v>4.4471833311319502</v>
      </c>
      <c r="L25" s="3">
        <v>11.302944985641085</v>
      </c>
      <c r="M25" s="3">
        <v>12.967602223510553</v>
      </c>
      <c r="N25" s="3">
        <v>17.260496854675338</v>
      </c>
      <c r="O25" s="3">
        <v>16.768497607655501</v>
      </c>
      <c r="P25" s="3">
        <v>11.644631134370838</v>
      </c>
      <c r="Q25" s="3">
        <v>11.792630814132481</v>
      </c>
      <c r="R25" s="3">
        <v>10.530219982971781</v>
      </c>
      <c r="S25" s="3">
        <v>10.759999999999998</v>
      </c>
      <c r="T25" s="3">
        <v>6.6611826326013519</v>
      </c>
      <c r="U25" s="3">
        <v>6.7781534245515873</v>
      </c>
      <c r="V25" s="3">
        <v>5.6081772030993191</v>
      </c>
      <c r="W25" s="3">
        <v>5.8680930536029905</v>
      </c>
      <c r="X25" s="3">
        <v>3.8119092079681067</v>
      </c>
      <c r="Y25" s="3">
        <v>2.3172345619237831</v>
      </c>
      <c r="Z25" s="3">
        <v>2.712773621501801</v>
      </c>
      <c r="AA25" s="3">
        <v>5.007669928590321</v>
      </c>
      <c r="AB25" s="3">
        <v>24.976490344248528</v>
      </c>
      <c r="AC25" s="3">
        <v>190.3253768844221</v>
      </c>
      <c r="AD25" s="3">
        <v>13.015438368408223</v>
      </c>
      <c r="AE25" s="3">
        <v>40.892768079800497</v>
      </c>
      <c r="AF25" s="3">
        <v>31.175026968716288</v>
      </c>
      <c r="AG25" s="3">
        <v>12.527695560253699</v>
      </c>
      <c r="AH25" s="3">
        <v>61.964830281204499</v>
      </c>
      <c r="AI25" s="3">
        <v>540.95934959349597</v>
      </c>
      <c r="AJ25" s="3">
        <v>14.502178649237473</v>
      </c>
      <c r="AK25" s="3">
        <v>4.7479338842975203</v>
      </c>
      <c r="AL25" s="3">
        <v>8.5370207316097027</v>
      </c>
      <c r="AM25" s="3">
        <v>20.364243943191315</v>
      </c>
      <c r="AN25" s="3">
        <v>-19.878838637632605</v>
      </c>
      <c r="AO25" s="3">
        <v>-4.6600091827364549</v>
      </c>
      <c r="AP25" s="3">
        <v>-19.885780118499014</v>
      </c>
      <c r="AQ25" s="3">
        <v>47.542719614921779</v>
      </c>
      <c r="AR25" s="3">
        <v>17.479468599033815</v>
      </c>
      <c r="AS25" s="3">
        <v>3.4048027444253859</v>
      </c>
      <c r="AT25" s="3">
        <v>10.204301075268818</v>
      </c>
      <c r="AU25" s="3">
        <v>48.094117647058823</v>
      </c>
      <c r="AV25" s="3">
        <v>5.318897637795275</v>
      </c>
      <c r="AW25" s="3">
        <v>-4.1905454545454548</v>
      </c>
      <c r="AX25" s="3">
        <v>5.3454568821488246</v>
      </c>
      <c r="AY25" s="3">
        <v>18.194109772423026</v>
      </c>
      <c r="AZ25" s="3">
        <v>7.2455197132616478</v>
      </c>
      <c r="BA25" s="3">
        <v>1.784824046920821</v>
      </c>
      <c r="BB25" s="3">
        <v>4.1709939680041961</v>
      </c>
      <c r="BC25" s="3">
        <v>17.123306233062333</v>
      </c>
      <c r="BD25" s="3">
        <v>6.6842818428184279</v>
      </c>
      <c r="BE25" s="3">
        <v>1.8784786641929501</v>
      </c>
      <c r="BF25" s="3">
        <v>4.7911158117398198</v>
      </c>
      <c r="BG25" s="3">
        <v>17.197278911564627</v>
      </c>
      <c r="BH25" s="3">
        <v>6.4730158730158731</v>
      </c>
      <c r="BI25" s="3">
        <v>1.8470066518847006</v>
      </c>
      <c r="BJ25" s="3">
        <v>4.8038183015141538</v>
      </c>
      <c r="BK25" s="3">
        <v>16.53856749311295</v>
      </c>
      <c r="BL25" s="3">
        <v>7.056932966023874</v>
      </c>
      <c r="BM25" s="3">
        <v>1.50304298212248</v>
      </c>
      <c r="BN25" s="3">
        <v>3.6104635402548113</v>
      </c>
      <c r="BO25" s="3">
        <v>4.7429378531073452</v>
      </c>
      <c r="BP25" s="3">
        <v>-2.0579096045197742</v>
      </c>
      <c r="BQ25" s="3">
        <v>-0.95433205292360213</v>
      </c>
      <c r="BR25" s="3">
        <v>0</v>
      </c>
      <c r="BS25" s="3">
        <v>0</v>
      </c>
      <c r="BT25" s="3">
        <v>0</v>
      </c>
      <c r="BU25" s="3">
        <v>0</v>
      </c>
    </row>
    <row r="26" spans="1:73" x14ac:dyDescent="0.2">
      <c r="A26" s="3" t="s">
        <v>175</v>
      </c>
      <c r="B26" s="3">
        <v>4.386182750737202</v>
      </c>
      <c r="C26" s="3">
        <v>3.5897658048295011</v>
      </c>
      <c r="D26" s="3">
        <v>4.5201006102310419</v>
      </c>
      <c r="E26" s="3">
        <v>4.144312833617823</v>
      </c>
      <c r="F26" s="3">
        <v>6.5129592334609168</v>
      </c>
      <c r="G26" s="3">
        <v>11.116753108446398</v>
      </c>
      <c r="H26" s="3">
        <v>3.3315141405253903</v>
      </c>
      <c r="I26" s="3">
        <v>-3.2382721289004799</v>
      </c>
      <c r="J26" s="3">
        <v>1.6205966108024836</v>
      </c>
      <c r="K26" s="3">
        <v>1.4957490182815698</v>
      </c>
      <c r="L26" s="3">
        <v>2.1528854819270569</v>
      </c>
      <c r="M26" s="3">
        <v>1.8753836436224054</v>
      </c>
      <c r="N26" s="3">
        <v>-5.0207716287419657E-2</v>
      </c>
      <c r="O26" s="3">
        <v>-0.40581535554924086</v>
      </c>
      <c r="P26" s="3">
        <v>5.2678228417759723</v>
      </c>
      <c r="Q26" s="3">
        <v>5.4063567185373032</v>
      </c>
      <c r="R26" s="3">
        <v>4.7996920596166355</v>
      </c>
      <c r="S26" s="3">
        <v>9.01673640167364</v>
      </c>
      <c r="T26" s="3">
        <v>4.0326091831400293</v>
      </c>
      <c r="U26" s="3">
        <v>7.0503822349761247</v>
      </c>
      <c r="V26" s="3">
        <v>2.203512880159741</v>
      </c>
      <c r="W26" s="3">
        <v>1.4814537488865489</v>
      </c>
      <c r="X26" s="3">
        <v>1.0979623802179621</v>
      </c>
      <c r="Y26" s="3">
        <v>0.88502894954507882</v>
      </c>
      <c r="Z26" s="3">
        <v>5.2992518703241856E-2</v>
      </c>
      <c r="AA26" s="3">
        <v>-0.29723403341493787</v>
      </c>
      <c r="AB26" s="3">
        <v>3.0141431103647731</v>
      </c>
      <c r="AC26" s="3">
        <v>3.7385402622870449</v>
      </c>
      <c r="AD26" s="3">
        <v>1.7650575518923568</v>
      </c>
      <c r="AE26" s="3">
        <v>1.1825845833178248</v>
      </c>
      <c r="AF26" s="3">
        <v>2.9021223752540077</v>
      </c>
      <c r="AG26" s="3">
        <v>3.8576482148706197</v>
      </c>
      <c r="AH26" s="3">
        <v>18.225779328610766</v>
      </c>
      <c r="AI26" s="3">
        <v>27.235711685475064</v>
      </c>
      <c r="AJ26" s="3">
        <v>1.017388087310396</v>
      </c>
      <c r="AK26" s="3">
        <v>0.99686520376175536</v>
      </c>
      <c r="AL26" s="3">
        <v>0.98807451575867578</v>
      </c>
      <c r="AM26" s="3">
        <v>0.17403508771929824</v>
      </c>
      <c r="AN26" s="3">
        <v>-3.5262677021470989</v>
      </c>
      <c r="AO26" s="3">
        <v>-2.2855639730639732</v>
      </c>
      <c r="AP26" s="3">
        <v>-6.4907407407407405</v>
      </c>
      <c r="AQ26" s="3">
        <v>1.7677699238540179</v>
      </c>
      <c r="AR26" s="3">
        <v>1.2936108165429481</v>
      </c>
      <c r="AS26" s="3">
        <v>0.7597791072250345</v>
      </c>
      <c r="AT26" s="3">
        <v>2.5259259259259261</v>
      </c>
      <c r="AU26" s="3">
        <v>7.5486068111455102</v>
      </c>
      <c r="AV26" s="3">
        <v>6.9730033745781776</v>
      </c>
      <c r="AW26" s="3">
        <v>-70.864000000000004</v>
      </c>
      <c r="AX26" s="3">
        <v>5.3454568821488246</v>
      </c>
      <c r="AY26" s="3">
        <v>18.194109772423026</v>
      </c>
      <c r="AZ26" s="3">
        <v>7.2455197132616478</v>
      </c>
      <c r="BA26" s="3">
        <v>1.784824046920821</v>
      </c>
      <c r="BB26" s="3">
        <v>4.1709939680041961</v>
      </c>
      <c r="BC26" s="3">
        <v>17.123306233062333</v>
      </c>
      <c r="BD26" s="3">
        <v>6.6842818428184279</v>
      </c>
      <c r="BE26" s="3">
        <v>1.8784786641929501</v>
      </c>
      <c r="BF26" s="3">
        <v>4.7911158117398198</v>
      </c>
      <c r="BG26" s="3">
        <v>17.197278911564627</v>
      </c>
      <c r="BH26" s="3">
        <v>6.4730158730158731</v>
      </c>
      <c r="BI26" s="3">
        <v>1.8470066518847006</v>
      </c>
      <c r="BJ26" s="3">
        <v>4.8038183015141538</v>
      </c>
      <c r="BK26" s="3">
        <v>16.53856749311295</v>
      </c>
      <c r="BL26" s="3">
        <v>7.056932966023874</v>
      </c>
      <c r="BM26" s="3">
        <v>1.50304298212248</v>
      </c>
      <c r="BN26" s="3">
        <v>3.6104635402548113</v>
      </c>
      <c r="BO26" s="3">
        <v>4.7429378531073452</v>
      </c>
      <c r="BP26" s="3">
        <v>-2.0579096045197742</v>
      </c>
      <c r="BQ26" s="3">
        <v>-0.95433205292360213</v>
      </c>
      <c r="BR26" s="3">
        <v>0</v>
      </c>
      <c r="BS26" s="3">
        <v>0</v>
      </c>
      <c r="BT26" s="3">
        <v>0</v>
      </c>
      <c r="BU26" s="3">
        <v>0</v>
      </c>
    </row>
    <row r="27" spans="1:73" x14ac:dyDescent="0.2">
      <c r="A27" s="3" t="s">
        <v>174</v>
      </c>
      <c r="B27" s="3">
        <v>1.3381615943107326</v>
      </c>
      <c r="C27" s="3">
        <v>0.71685128556972444</v>
      </c>
      <c r="D27" s="3">
        <v>1.2025446328695921</v>
      </c>
      <c r="E27" s="3">
        <v>0.15997593237546825</v>
      </c>
      <c r="F27" s="3">
        <v>0.66579858675938974</v>
      </c>
      <c r="G27" s="3">
        <v>0.95349662761803333</v>
      </c>
      <c r="H27" s="3">
        <v>0.91903187385288909</v>
      </c>
      <c r="I27" s="3">
        <v>-1.8831449018883404</v>
      </c>
      <c r="J27" s="3">
        <v>0.2526748296350711</v>
      </c>
      <c r="K27" s="3">
        <v>-0.1320200816882233</v>
      </c>
      <c r="L27" s="3">
        <v>1.6166156924134807</v>
      </c>
      <c r="M27" s="3">
        <v>3.6846282166788664</v>
      </c>
      <c r="N27" s="3">
        <v>4.9743670953797432</v>
      </c>
      <c r="O27" s="3">
        <v>8.3335736034300627</v>
      </c>
      <c r="P27" s="3">
        <v>2.8306747444106435</v>
      </c>
      <c r="Q27" s="3">
        <v>3.2144297090542917</v>
      </c>
      <c r="R27" s="3">
        <v>2.6380195170585083</v>
      </c>
      <c r="S27" s="3">
        <v>4.1082802547770703</v>
      </c>
      <c r="T27" s="3">
        <v>0.77939678108644894</v>
      </c>
      <c r="U27" s="3">
        <v>0.63697168083392575</v>
      </c>
      <c r="V27" s="3">
        <v>-0.58769170243146973</v>
      </c>
      <c r="W27" s="3">
        <v>-0.77773884026551743</v>
      </c>
      <c r="X27" s="3">
        <v>1.5008891204526962</v>
      </c>
      <c r="Y27" s="3">
        <v>0.44455048673410963</v>
      </c>
      <c r="Z27" s="3">
        <v>0.28592722738608017</v>
      </c>
      <c r="AA27" s="3">
        <v>0.61492609490969496</v>
      </c>
      <c r="AB27" s="3">
        <v>2.3435656665497562</v>
      </c>
      <c r="AC27" s="3">
        <v>3.3872719301204008</v>
      </c>
      <c r="AD27" s="3">
        <v>1.5752927733719591</v>
      </c>
      <c r="AE27" s="3">
        <v>-0.13699173816122817</v>
      </c>
      <c r="AF27" s="3">
        <v>0.74112295471518774</v>
      </c>
      <c r="AG27" s="3">
        <v>2.0711240310077526</v>
      </c>
      <c r="AH27" s="3">
        <v>5.6235154394299292</v>
      </c>
      <c r="AI27" s="3">
        <v>10.164585624636089</v>
      </c>
      <c r="AJ27" s="3">
        <v>1.4533042846768338</v>
      </c>
      <c r="AK27" s="3">
        <v>2.801552106430155</v>
      </c>
      <c r="AL27" s="3">
        <v>0.73445990514181603</v>
      </c>
      <c r="AM27" s="3">
        <v>0.11306250701380317</v>
      </c>
      <c r="AN27" s="3">
        <v>-3.2895874722449459</v>
      </c>
      <c r="AO27" s="3">
        <v>-2.3142694551145255</v>
      </c>
      <c r="AP27" s="3">
        <v>-7.5865089398591303</v>
      </c>
      <c r="AQ27" s="3">
        <v>1.6784693140794222</v>
      </c>
      <c r="AR27" s="3">
        <v>1.4048400328137816</v>
      </c>
      <c r="AS27" s="3">
        <v>0.53025374105400114</v>
      </c>
      <c r="AT27" s="3">
        <v>1.427860696517413</v>
      </c>
      <c r="AU27" s="3">
        <v>1.6978823529411762</v>
      </c>
      <c r="AV27" s="3">
        <v>-0.15443808160343594</v>
      </c>
      <c r="AW27" s="3">
        <v>-2.1206666666666667</v>
      </c>
      <c r="AX27" s="3">
        <v>0.14239338940534166</v>
      </c>
      <c r="AY27" s="3">
        <v>9.4394384259727987E-2</v>
      </c>
      <c r="AZ27" s="3">
        <v>2.3406766325727822E-2</v>
      </c>
      <c r="BA27" s="3">
        <v>0.11257539994754791</v>
      </c>
      <c r="BB27" s="3">
        <v>0.21472448057813923</v>
      </c>
      <c r="BC27" s="3">
        <v>2.1557552417629444</v>
      </c>
      <c r="BD27" s="3">
        <v>8.2636469221835078</v>
      </c>
      <c r="BE27" s="3">
        <v>62.030612244897959</v>
      </c>
      <c r="BF27" s="3">
        <v>4.7911158117398198</v>
      </c>
      <c r="BG27" s="3">
        <v>17.197278911564627</v>
      </c>
      <c r="BH27" s="3">
        <v>6.4730158730158731</v>
      </c>
      <c r="BI27" s="3">
        <v>1.8470066518847006</v>
      </c>
      <c r="BJ27" s="3">
        <v>4.8038183015141538</v>
      </c>
      <c r="BK27" s="3">
        <v>16.53856749311295</v>
      </c>
      <c r="BL27" s="3">
        <v>7.056932966023874</v>
      </c>
      <c r="BM27" s="3">
        <v>1.50304298212248</v>
      </c>
      <c r="BN27" s="3">
        <v>3.6104635402548113</v>
      </c>
      <c r="BO27" s="3">
        <v>4.7429378531073452</v>
      </c>
      <c r="BP27" s="3">
        <v>-2.0579096045197742</v>
      </c>
      <c r="BQ27" s="3">
        <v>-0.95433205292360213</v>
      </c>
      <c r="BR27" s="3">
        <v>0</v>
      </c>
      <c r="BS27" s="3">
        <v>0</v>
      </c>
      <c r="BT27" s="3">
        <v>0</v>
      </c>
      <c r="BU27" s="3">
        <v>0</v>
      </c>
    </row>
    <row r="28" spans="1:73" x14ac:dyDescent="0.2">
      <c r="A28" s="3" t="s">
        <v>173</v>
      </c>
      <c r="B28" s="3">
        <v>2.6754586674074856</v>
      </c>
      <c r="C28" s="3">
        <v>8.1127529644241907</v>
      </c>
      <c r="D28" s="3">
        <v>9.0582534856873167</v>
      </c>
      <c r="E28" s="3">
        <v>8.622296801973615</v>
      </c>
      <c r="F28" s="3">
        <v>8.3921363954317449</v>
      </c>
      <c r="G28" s="3">
        <v>9.4477862982623613</v>
      </c>
      <c r="H28" s="3">
        <v>10.328730327282917</v>
      </c>
      <c r="I28" s="3">
        <v>10.361469984647625</v>
      </c>
      <c r="J28" s="3">
        <v>10.973333742440047</v>
      </c>
      <c r="K28" s="3">
        <v>11.940641119681985</v>
      </c>
      <c r="L28" s="3">
        <v>3.9911352962200408</v>
      </c>
      <c r="M28" s="3">
        <v>3.8635700695837243</v>
      </c>
      <c r="N28" s="3">
        <v>3.9962134251290884</v>
      </c>
      <c r="O28" s="3">
        <v>4.4481037962079721</v>
      </c>
      <c r="P28" s="3">
        <v>4.6189533589013978</v>
      </c>
      <c r="Q28" s="3">
        <v>4.5104470500385627</v>
      </c>
      <c r="R28" s="3">
        <v>4.7782476953005872</v>
      </c>
      <c r="S28" s="3">
        <v>5.7027531886541025</v>
      </c>
      <c r="T28" s="3">
        <v>6.3892387924551075</v>
      </c>
      <c r="U28" s="3">
        <v>6.7797675357259708</v>
      </c>
      <c r="V28" s="3">
        <v>6.9956837864546246</v>
      </c>
      <c r="W28" s="3">
        <v>7.6581528194255064</v>
      </c>
      <c r="X28" s="3">
        <v>8.4657026852394814</v>
      </c>
      <c r="Y28" s="3">
        <v>9.4929737397128449</v>
      </c>
      <c r="Z28" s="3">
        <v>10.855486284289277</v>
      </c>
      <c r="AA28" s="3">
        <v>12.308159934909137</v>
      </c>
      <c r="AB28" s="3">
        <v>13.272718465413682</v>
      </c>
      <c r="AC28" s="3">
        <v>14.18190888479336</v>
      </c>
      <c r="AD28" s="3">
        <v>14.767358088034932</v>
      </c>
      <c r="AE28" s="3">
        <v>0</v>
      </c>
      <c r="AF28" s="3">
        <v>16.751425192930046</v>
      </c>
      <c r="AG28" s="3">
        <v>0</v>
      </c>
      <c r="AH28" s="3">
        <v>20.504076861850479</v>
      </c>
      <c r="AI28" s="3">
        <v>0</v>
      </c>
      <c r="AJ28" s="3">
        <v>12.640617144293614</v>
      </c>
      <c r="AK28" s="3">
        <v>0</v>
      </c>
      <c r="AL28" s="3">
        <v>12.6081957875302</v>
      </c>
      <c r="AM28" s="3">
        <v>0</v>
      </c>
      <c r="AN28" s="3">
        <v>12.023089808014431</v>
      </c>
      <c r="AO28" s="3">
        <v>0</v>
      </c>
      <c r="AP28" s="3">
        <v>13.189556297453018</v>
      </c>
      <c r="AQ28" s="3">
        <v>0</v>
      </c>
      <c r="AR28" s="3">
        <v>3.6859717577108881</v>
      </c>
      <c r="AS28" s="3">
        <v>0</v>
      </c>
      <c r="AT28" s="3">
        <v>3.4438342435213025</v>
      </c>
      <c r="AU28" s="3">
        <v>0</v>
      </c>
      <c r="AV28" s="3">
        <v>2.5029376135675352</v>
      </c>
      <c r="AW28" s="3">
        <v>0</v>
      </c>
      <c r="AX28" s="3">
        <v>2.5475827560470523</v>
      </c>
      <c r="AY28" s="3">
        <v>0</v>
      </c>
      <c r="AZ28" s="3">
        <v>2.1927419354838715</v>
      </c>
      <c r="BA28" s="3">
        <v>0</v>
      </c>
      <c r="BB28" s="3">
        <v>1.9965141471995194</v>
      </c>
      <c r="BC28" s="3">
        <v>0</v>
      </c>
      <c r="BD28" s="3">
        <v>1.6978632478632476</v>
      </c>
      <c r="BE28" s="3">
        <v>0</v>
      </c>
      <c r="BF28" s="3">
        <v>1.5073424456075091</v>
      </c>
      <c r="BG28" s="3">
        <v>0</v>
      </c>
      <c r="BH28" s="3">
        <v>1.246384092098378</v>
      </c>
      <c r="BI28" s="3">
        <v>0</v>
      </c>
      <c r="BJ28" s="3">
        <v>1.0638307037854722</v>
      </c>
      <c r="BK28" s="3">
        <v>0</v>
      </c>
      <c r="BL28" s="3">
        <v>0.70624072896800172</v>
      </c>
      <c r="BM28" s="3">
        <v>0</v>
      </c>
      <c r="BN28" s="3">
        <v>0.42347176337553499</v>
      </c>
      <c r="BO28" s="3">
        <v>0</v>
      </c>
      <c r="BP28" s="3">
        <v>0.20903954802259889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</row>
    <row r="29" spans="1:73" x14ac:dyDescent="0.2">
      <c r="A29" s="3" t="s">
        <v>172</v>
      </c>
      <c r="B29" s="3">
        <v>2.1604627730816821</v>
      </c>
      <c r="C29" s="3">
        <v>1.8642631114340442</v>
      </c>
      <c r="D29" s="3">
        <v>1.9182942489983072</v>
      </c>
      <c r="E29" s="3">
        <v>1.6561174077747474</v>
      </c>
      <c r="F29" s="3">
        <v>1.4731702461800074</v>
      </c>
      <c r="G29" s="3">
        <v>1.4250228000504983</v>
      </c>
      <c r="H29" s="3">
        <v>1.2996748481165217</v>
      </c>
      <c r="I29" s="3">
        <v>1.6059132096824558</v>
      </c>
      <c r="J29" s="3">
        <v>1.693944799116972</v>
      </c>
      <c r="K29" s="3">
        <v>1.6848831236529807</v>
      </c>
      <c r="L29" s="3">
        <v>-0.1023026718856288</v>
      </c>
      <c r="M29" s="3">
        <v>-0.16261762992697976</v>
      </c>
      <c r="N29" s="3">
        <v>-0.30379600542689045</v>
      </c>
      <c r="O29" s="3">
        <v>-0.11725896304829443</v>
      </c>
      <c r="P29" s="3">
        <v>0.11132565323699325</v>
      </c>
      <c r="Q29" s="3">
        <v>5.8161350862946368E-2</v>
      </c>
      <c r="R29" s="3">
        <v>6.465588340057353E-2</v>
      </c>
      <c r="S29" s="3">
        <v>0.16999218016332387</v>
      </c>
      <c r="T29" s="3">
        <v>0.27458757643460979</v>
      </c>
      <c r="U29" s="3">
        <v>0.20263943854630398</v>
      </c>
      <c r="V29" s="3">
        <v>0.16294952078288361</v>
      </c>
      <c r="W29" s="3">
        <v>2.1815348694909975</v>
      </c>
      <c r="X29" s="3">
        <v>2.4466207405712335</v>
      </c>
      <c r="Y29" s="3">
        <v>2.6226925714232721</v>
      </c>
      <c r="Z29" s="3">
        <v>2.7976101361960777</v>
      </c>
      <c r="AA29" s="3">
        <v>3.3083249765918894</v>
      </c>
      <c r="AB29" s="3">
        <v>3.9262313481235691</v>
      </c>
      <c r="AC29" s="3">
        <v>3.3598804221235286</v>
      </c>
      <c r="AD29" s="3">
        <v>3.4445356661965372</v>
      </c>
      <c r="AE29" s="3">
        <v>3.8198154346753439</v>
      </c>
      <c r="AF29" s="3">
        <v>4.5599311036204231</v>
      </c>
      <c r="AG29" s="3">
        <v>4.8080636079782968</v>
      </c>
      <c r="AH29" s="3">
        <v>6.1763642037024074</v>
      </c>
      <c r="AI29" s="3">
        <v>4.2573928850919529</v>
      </c>
      <c r="AJ29" s="3">
        <v>4.0560817547357928</v>
      </c>
      <c r="AK29" s="3">
        <v>4.2075678681183266</v>
      </c>
      <c r="AL29" s="3">
        <v>4.4273383403889381</v>
      </c>
      <c r="AM29" s="3">
        <v>4.7288871689026495</v>
      </c>
      <c r="AN29" s="3">
        <v>4.7973566736975011</v>
      </c>
      <c r="AO29" s="3">
        <v>5.4689110354885759</v>
      </c>
      <c r="AP29" s="3">
        <v>5.8753489670575094</v>
      </c>
      <c r="AQ29" s="3">
        <v>1.7213760573401145</v>
      </c>
      <c r="AR29" s="3">
        <v>1.7463719967258893</v>
      </c>
      <c r="AS29" s="3">
        <v>1.8964571331512123</v>
      </c>
      <c r="AT29" s="3">
        <v>2.1218281653746769</v>
      </c>
      <c r="AU29" s="3">
        <v>2.088940599238776</v>
      </c>
      <c r="AV29" s="3">
        <v>1.8972895215021202</v>
      </c>
      <c r="AW29" s="3">
        <v>2.482184696569921</v>
      </c>
      <c r="AX29" s="3">
        <v>2.5475827560470523</v>
      </c>
      <c r="AY29" s="3">
        <v>0</v>
      </c>
      <c r="AZ29" s="3">
        <v>2.1927419354838715</v>
      </c>
      <c r="BA29" s="3">
        <v>0</v>
      </c>
      <c r="BB29" s="3">
        <v>1.9965141471995194</v>
      </c>
      <c r="BC29" s="3">
        <v>0</v>
      </c>
      <c r="BD29" s="3">
        <v>1.6978632478632476</v>
      </c>
      <c r="BE29" s="3">
        <v>0</v>
      </c>
      <c r="BF29" s="3">
        <v>1.5073424456075091</v>
      </c>
      <c r="BG29" s="3">
        <v>0</v>
      </c>
      <c r="BH29" s="3">
        <v>1.246384092098378</v>
      </c>
      <c r="BI29" s="3">
        <v>0</v>
      </c>
      <c r="BJ29" s="3">
        <v>1.0638307037854722</v>
      </c>
      <c r="BK29" s="3">
        <v>0</v>
      </c>
      <c r="BL29" s="3">
        <v>0.70624072896800172</v>
      </c>
      <c r="BM29" s="3">
        <v>0</v>
      </c>
      <c r="BN29" s="3">
        <v>0.42347176337553499</v>
      </c>
      <c r="BO29" s="3">
        <v>0</v>
      </c>
      <c r="BP29" s="3">
        <v>0.20903954802259889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</row>
    <row r="30" spans="1:73" x14ac:dyDescent="0.2">
      <c r="A30" s="3" t="s">
        <v>171</v>
      </c>
      <c r="B30" s="3">
        <v>2.4835579873569733</v>
      </c>
      <c r="C30" s="3">
        <v>2.0210548632822412</v>
      </c>
      <c r="D30" s="3">
        <v>2.1091872929233246</v>
      </c>
      <c r="E30" s="3">
        <v>2.0193368028141214</v>
      </c>
      <c r="F30" s="3">
        <v>1.880795531434081</v>
      </c>
      <c r="G30" s="3">
        <v>1.6633857255719717</v>
      </c>
      <c r="H30" s="3">
        <v>1.390726662437179</v>
      </c>
      <c r="I30" s="3">
        <v>1.3806897965163334</v>
      </c>
      <c r="J30" s="3">
        <v>1.5740557206131627</v>
      </c>
      <c r="K30" s="3">
        <v>1.6436645110950421</v>
      </c>
      <c r="L30" s="3">
        <v>-1.3334380834258594E-2</v>
      </c>
      <c r="M30" s="3">
        <v>-8.6521114448229908E-2</v>
      </c>
      <c r="N30" s="3">
        <v>-0.11286628365778512</v>
      </c>
      <c r="O30" s="3">
        <v>-9.0232456336476724E-2</v>
      </c>
      <c r="P30" s="3">
        <v>-0.12152753620646489</v>
      </c>
      <c r="Q30" s="3">
        <v>-4.7092908266197032E-2</v>
      </c>
      <c r="R30" s="3">
        <v>-8.113676198835186E-2</v>
      </c>
      <c r="S30" s="3">
        <v>-3.6338162062011389E-2</v>
      </c>
      <c r="T30" s="3">
        <v>-6.4916292878930013E-2</v>
      </c>
      <c r="U30" s="3">
        <v>-7.3666041854392364E-2</v>
      </c>
      <c r="V30" s="3">
        <v>-0.23262282764996026</v>
      </c>
      <c r="W30" s="3">
        <v>-6.8937105653477035E-2</v>
      </c>
      <c r="X30" s="3">
        <v>0.18402028874579632</v>
      </c>
      <c r="Y30" s="3">
        <v>0.2028630589235417</v>
      </c>
      <c r="Z30" s="3">
        <v>0.24013133190190566</v>
      </c>
      <c r="AA30" s="3">
        <v>0.28499429845069391</v>
      </c>
      <c r="AB30" s="3">
        <v>0.32505275912771575</v>
      </c>
      <c r="AC30" s="3">
        <v>9.8697926545375167E-2</v>
      </c>
      <c r="AD30" s="3">
        <v>0.11119458265690273</v>
      </c>
      <c r="AE30" s="3">
        <v>2.1326916062704004</v>
      </c>
      <c r="AF30" s="3">
        <v>2.7882057576893451</v>
      </c>
      <c r="AG30" s="3">
        <v>2.9519021311039042</v>
      </c>
      <c r="AH30" s="3">
        <v>3.8390816766402622</v>
      </c>
      <c r="AI30" s="3">
        <v>2.4170998423516745</v>
      </c>
      <c r="AJ30" s="3">
        <v>2.8940508364924753</v>
      </c>
      <c r="AK30" s="3">
        <v>2.926207444606411</v>
      </c>
      <c r="AL30" s="3">
        <v>2.8359065096745866</v>
      </c>
      <c r="AM30" s="3">
        <v>2.9698318322544335</v>
      </c>
      <c r="AN30" s="3">
        <v>3.0789672548466518</v>
      </c>
      <c r="AO30" s="3">
        <v>3.4736654883390026</v>
      </c>
      <c r="AP30" s="3">
        <v>3.7353543485567338</v>
      </c>
      <c r="AQ30" s="3">
        <v>0.80615238155317803</v>
      </c>
      <c r="AR30" s="3">
        <v>0.73691967575534267</v>
      </c>
      <c r="AS30" s="3">
        <v>0.72909814782759219</v>
      </c>
      <c r="AT30" s="3">
        <v>0.77232840743642306</v>
      </c>
      <c r="AU30" s="3">
        <v>0.70868896578239149</v>
      </c>
      <c r="AV30" s="3">
        <v>0.55936717406834613</v>
      </c>
      <c r="AW30" s="3">
        <v>0.63017754010695204</v>
      </c>
      <c r="AX30" s="3">
        <v>0.71893108748701462</v>
      </c>
      <c r="AY30" s="3">
        <v>0.76878804756739838</v>
      </c>
      <c r="AZ30" s="3">
        <v>0.87121423212946114</v>
      </c>
      <c r="BA30" s="3">
        <v>0.97079713476756269</v>
      </c>
      <c r="BB30" s="3">
        <v>1.1050745257452572</v>
      </c>
      <c r="BC30" s="3">
        <v>1.2223020022288542</v>
      </c>
      <c r="BD30" s="3">
        <v>1.2314102564102563</v>
      </c>
      <c r="BE30" s="3">
        <v>1.6253675084809649</v>
      </c>
      <c r="BF30" s="3">
        <v>1.5073424456075091</v>
      </c>
      <c r="BG30" s="3">
        <v>0</v>
      </c>
      <c r="BH30" s="3">
        <v>1.246384092098378</v>
      </c>
      <c r="BI30" s="3">
        <v>0</v>
      </c>
      <c r="BJ30" s="3">
        <v>1.0638307037854722</v>
      </c>
      <c r="BK30" s="3">
        <v>0</v>
      </c>
      <c r="BL30" s="3">
        <v>0.70624072896800172</v>
      </c>
      <c r="BM30" s="3">
        <v>0</v>
      </c>
      <c r="BN30" s="3">
        <v>0.42347176337553499</v>
      </c>
      <c r="BO30" s="3">
        <v>0</v>
      </c>
      <c r="BP30" s="3">
        <v>0.20903954802259889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</row>
    <row r="31" spans="1:73" x14ac:dyDescent="0.2">
      <c r="A31" s="3" t="s">
        <v>170</v>
      </c>
      <c r="B31" s="3">
        <v>11.516305447816373</v>
      </c>
      <c r="C31" s="3">
        <v>13.779029118156576</v>
      </c>
      <c r="D31" s="3">
        <v>13.063675051738711</v>
      </c>
      <c r="E31" s="3">
        <v>14.05927515420515</v>
      </c>
      <c r="F31" s="3">
        <v>14.419330333288267</v>
      </c>
      <c r="G31" s="3">
        <v>15.928599633844273</v>
      </c>
      <c r="H31" s="3">
        <v>15.647431787418963</v>
      </c>
      <c r="I31" s="3">
        <v>17.008278520207167</v>
      </c>
      <c r="J31" s="3">
        <v>18.392567994939913</v>
      </c>
      <c r="K31" s="3">
        <v>20.635562375107053</v>
      </c>
      <c r="L31" s="3">
        <v>19.058281296461491</v>
      </c>
      <c r="M31" s="3">
        <v>20.952318867573101</v>
      </c>
      <c r="N31" s="3">
        <v>23.139656498333764</v>
      </c>
      <c r="O31" s="3">
        <v>25.987696514012299</v>
      </c>
      <c r="P31" s="3">
        <v>26.348680516563729</v>
      </c>
      <c r="Q31" s="3">
        <v>27.312094713582344</v>
      </c>
      <c r="R31" s="3">
        <v>31.623510931550221</v>
      </c>
      <c r="S31" s="3">
        <v>35.171744224974894</v>
      </c>
      <c r="T31" s="3">
        <v>33.29421704153529</v>
      </c>
      <c r="U31" s="3">
        <v>41.22727682008933</v>
      </c>
      <c r="V31" s="3">
        <v>45.367893087520734</v>
      </c>
      <c r="W31" s="3">
        <v>52.833289602297462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</row>
    <row r="32" spans="1:73" x14ac:dyDescent="0.2">
      <c r="A32" s="3" t="s">
        <v>169</v>
      </c>
      <c r="B32" s="3">
        <v>0.72083400639362039</v>
      </c>
      <c r="C32" s="3">
        <v>0.72124024467411918</v>
      </c>
      <c r="D32" s="3">
        <v>0.72034520552510617</v>
      </c>
      <c r="E32" s="3">
        <v>0.71843595051062192</v>
      </c>
      <c r="F32" s="3">
        <v>0.71803376640118921</v>
      </c>
      <c r="G32" s="3">
        <v>0.71395660044026721</v>
      </c>
      <c r="H32" s="3">
        <v>0.99962446767481827</v>
      </c>
      <c r="I32" s="3">
        <v>0.97999063056234259</v>
      </c>
      <c r="J32" s="3">
        <v>0.97326782026632475</v>
      </c>
      <c r="K32" s="3">
        <v>1.0246058339069926</v>
      </c>
      <c r="L32" s="3">
        <v>1.6270952012565345</v>
      </c>
      <c r="M32" s="3">
        <v>1.6249991971792088</v>
      </c>
      <c r="N32" s="3">
        <v>1.534820220831105</v>
      </c>
      <c r="O32" s="3">
        <v>1.502170537722995</v>
      </c>
      <c r="P32" s="3">
        <v>3.0295961292253462</v>
      </c>
      <c r="Q32" s="3">
        <v>2.9730857729180555</v>
      </c>
      <c r="R32" s="3">
        <v>2.9456127562485617</v>
      </c>
      <c r="S32" s="3">
        <v>2.9636654427499831</v>
      </c>
      <c r="T32" s="3">
        <v>6.4464670908938828</v>
      </c>
      <c r="U32" s="3">
        <v>6.5148922591947196</v>
      </c>
      <c r="V32" s="3">
        <v>6.2733949941209</v>
      </c>
      <c r="W32" s="3">
        <v>7.5862674684060005</v>
      </c>
      <c r="X32" s="3">
        <v>7.1749145500399809</v>
      </c>
      <c r="Y32" s="3">
        <v>7.7633613284978038</v>
      </c>
      <c r="Z32" s="3">
        <v>7.9749867754855277</v>
      </c>
      <c r="AA32" s="3">
        <v>8.8769126531534059</v>
      </c>
      <c r="AB32" s="3">
        <v>7.3252790994184771</v>
      </c>
      <c r="AC32" s="3">
        <v>8.0951332002478154</v>
      </c>
      <c r="AD32" s="3">
        <v>8.8276411320195596</v>
      </c>
      <c r="AE32" s="3">
        <v>9.6863084224921572</v>
      </c>
      <c r="AF32" s="3">
        <v>6.635155850792029</v>
      </c>
      <c r="AG32" s="3">
        <v>7.3627906976744182</v>
      </c>
      <c r="AH32" s="3">
        <v>8.5232223176833291</v>
      </c>
      <c r="AI32" s="3">
        <v>6.3955546813532651</v>
      </c>
      <c r="AJ32" s="3">
        <v>5.7869532428355956</v>
      </c>
      <c r="AK32" s="3">
        <v>6.1259711800252337</v>
      </c>
      <c r="AL32" s="3">
        <v>7.2683002481389583</v>
      </c>
      <c r="AM32" s="3">
        <v>8.1258318209316389</v>
      </c>
      <c r="AN32" s="3">
        <v>3.6054345803089523</v>
      </c>
      <c r="AO32" s="3">
        <v>4.6191460055096414</v>
      </c>
      <c r="AP32" s="3">
        <v>5.3749999999999991</v>
      </c>
      <c r="AQ32" s="3">
        <v>5.2696963261839027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</row>
    <row r="33" spans="1:73" x14ac:dyDescent="0.2">
      <c r="A33" s="3" t="s">
        <v>168</v>
      </c>
      <c r="B33" s="3">
        <v>0.4122982364267242</v>
      </c>
      <c r="C33" s="3">
        <v>0.41268705442437464</v>
      </c>
      <c r="D33" s="3">
        <v>0.36326992096222854</v>
      </c>
      <c r="E33" s="3">
        <v>0.38224138461959573</v>
      </c>
      <c r="F33" s="3">
        <v>0.38289800904428051</v>
      </c>
      <c r="G33" s="3">
        <v>0.37996952419590468</v>
      </c>
      <c r="H33" s="3">
        <v>0.40468833019643297</v>
      </c>
      <c r="I33" s="3">
        <v>0.39243330170730906</v>
      </c>
      <c r="J33" s="3">
        <v>0.38799927848908106</v>
      </c>
      <c r="K33" s="3">
        <v>0.42454461771402685</v>
      </c>
      <c r="L33" s="3">
        <v>0.34179065670372405</v>
      </c>
      <c r="M33" s="3">
        <v>0.33836287468248738</v>
      </c>
      <c r="N33" s="3">
        <v>0.33919719428037992</v>
      </c>
      <c r="O33" s="3">
        <v>0.3366230976327646</v>
      </c>
      <c r="P33" s="3">
        <v>0.6331112619288356</v>
      </c>
      <c r="Q33" s="3">
        <v>0.60996237619838034</v>
      </c>
      <c r="R33" s="3">
        <v>0.60696482030186727</v>
      </c>
      <c r="S33" s="3">
        <v>0.60909363882039291</v>
      </c>
      <c r="T33" s="3">
        <v>1.1536617290204565</v>
      </c>
      <c r="U33" s="3">
        <v>1.1536630583664635</v>
      </c>
      <c r="V33" s="3">
        <v>1.0803413427661568</v>
      </c>
      <c r="W33" s="3">
        <v>1.0536261207816395</v>
      </c>
      <c r="X33" s="3">
        <v>2.1932121407702962</v>
      </c>
      <c r="Y33" s="3">
        <v>2.1957918352085386</v>
      </c>
      <c r="Z33" s="3">
        <v>2.1759445779144819</v>
      </c>
      <c r="AA33" s="3">
        <v>2.1912928913710084</v>
      </c>
      <c r="AB33" s="3">
        <v>4.2309649100930242</v>
      </c>
      <c r="AC33" s="3">
        <v>4.2848665437741476</v>
      </c>
      <c r="AD33" s="3">
        <v>4.1161159677976986</v>
      </c>
      <c r="AE33" s="3">
        <v>5.0414333019909243</v>
      </c>
      <c r="AF33" s="3">
        <v>3.175343153665886</v>
      </c>
      <c r="AG33" s="3">
        <v>3.4680232558139532</v>
      </c>
      <c r="AH33" s="3">
        <v>3.741668466134024</v>
      </c>
      <c r="AI33" s="3">
        <v>3.1810275889644135</v>
      </c>
      <c r="AJ33" s="3">
        <v>2.3740619704671988</v>
      </c>
      <c r="AK33" s="3">
        <v>2.6855036855036856</v>
      </c>
      <c r="AL33" s="3">
        <v>3.0025908626477893</v>
      </c>
      <c r="AM33" s="3">
        <v>3.3382245937424209</v>
      </c>
      <c r="AN33" s="3">
        <v>1.2082341532222518</v>
      </c>
      <c r="AO33" s="3">
        <v>1.3966588966588964</v>
      </c>
      <c r="AP33" s="3">
        <v>1.7238384715588364</v>
      </c>
      <c r="AQ33" s="3">
        <v>1.5796802475502836</v>
      </c>
      <c r="AR33" s="3">
        <v>1.6510590858416945</v>
      </c>
      <c r="AS33" s="3">
        <v>1.5986741458439573</v>
      </c>
      <c r="AT33" s="3">
        <v>1.925872093023256</v>
      </c>
      <c r="AU33" s="3">
        <v>1.9486139283299528</v>
      </c>
      <c r="AV33" s="3">
        <v>1.893700787401575</v>
      </c>
      <c r="AW33" s="3">
        <v>2.2650909090909086</v>
      </c>
      <c r="AX33" s="3">
        <v>2.3187250996015933</v>
      </c>
      <c r="AY33" s="3">
        <v>2.5445310654382234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</row>
    <row r="34" spans="1:73" x14ac:dyDescent="0.2">
      <c r="A34" s="3" t="s">
        <v>167</v>
      </c>
      <c r="B34" s="3">
        <v>-0.22620748785367248</v>
      </c>
      <c r="C34" s="3">
        <v>0.15193415637860083</v>
      </c>
      <c r="D34" s="3">
        <v>0.14073795887710075</v>
      </c>
      <c r="E34" s="3">
        <v>0.21075366602250767</v>
      </c>
      <c r="F34" s="3">
        <v>0.14589032174026312</v>
      </c>
      <c r="G34" s="3">
        <v>0.2124131396083386</v>
      </c>
      <c r="H34" s="3">
        <v>1.7679202828672452E-2</v>
      </c>
      <c r="I34" s="3">
        <v>0.13127272727272726</v>
      </c>
      <c r="J34" s="3">
        <v>0.10686254779633729</v>
      </c>
      <c r="K34" s="3">
        <v>0.36025184779633179</v>
      </c>
      <c r="L34" s="3">
        <v>0.25360329444063145</v>
      </c>
      <c r="M34" s="3">
        <v>-3.8601121741999339E-2</v>
      </c>
      <c r="N34" s="3">
        <v>-6.2770562770562768E-2</v>
      </c>
      <c r="O34" s="3">
        <v>9.330628803245436E-2</v>
      </c>
      <c r="P34" s="3">
        <v>9.2319054652880359E-2</v>
      </c>
      <c r="Q34" s="3">
        <v>-0.12163477132662991</v>
      </c>
      <c r="R34" s="3">
        <v>0.21425758172508863</v>
      </c>
      <c r="S34" s="3">
        <v>0.22597778850796715</v>
      </c>
      <c r="T34" s="3">
        <v>-7.2963294538943596E-2</v>
      </c>
      <c r="U34" s="3">
        <v>-7.8762886597938148E-2</v>
      </c>
      <c r="V34" s="3">
        <v>-3.9223454833597467E-2</v>
      </c>
      <c r="W34" s="3">
        <v>9.8824553765781448E-2</v>
      </c>
      <c r="X34" s="3">
        <v>-0.14418777943368108</v>
      </c>
      <c r="Y34" s="3">
        <v>-0.1641233260666459</v>
      </c>
      <c r="Z34" s="3">
        <v>-0.12051492741714599</v>
      </c>
      <c r="AA34" s="3">
        <v>0.12028229518257134</v>
      </c>
      <c r="AB34" s="3">
        <v>-7.9118395026843744E-2</v>
      </c>
      <c r="AC34" s="3">
        <v>1.5786452353616531E-2</v>
      </c>
      <c r="AD34" s="3">
        <v>-5.2488441664400323E-2</v>
      </c>
      <c r="AE34" s="3">
        <v>0.10586466165413534</v>
      </c>
      <c r="AF34" s="3">
        <v>7.8494972429451831E-2</v>
      </c>
      <c r="AG34" s="3">
        <v>0.12149872680974901</v>
      </c>
      <c r="AH34" s="3">
        <v>0.11793411956079707</v>
      </c>
      <c r="AI34" s="3">
        <v>4.4934640522875813E-3</v>
      </c>
      <c r="AJ34" s="3">
        <v>1.2825817128671908E-2</v>
      </c>
      <c r="AK34" s="3">
        <v>0.16594307766521948</v>
      </c>
      <c r="AL34" s="3">
        <v>6.4714946070878271E-2</v>
      </c>
      <c r="AM34" s="3">
        <v>-0.10729023383768914</v>
      </c>
      <c r="AN34" s="3">
        <v>0</v>
      </c>
      <c r="AO34" s="3">
        <v>0.17447495961227788</v>
      </c>
      <c r="AP34" s="3">
        <v>0.75188679245283019</v>
      </c>
      <c r="AQ34" s="3">
        <v>4.0235525024533855E-2</v>
      </c>
      <c r="AR34" s="3">
        <v>0.25957972805933249</v>
      </c>
      <c r="AS34" s="3">
        <v>6.7282321899736153E-2</v>
      </c>
      <c r="AT34" s="3">
        <v>5.5710306406685235E-2</v>
      </c>
      <c r="AU34" s="3">
        <v>-8.1841432225063945E-2</v>
      </c>
      <c r="AV34" s="3">
        <v>0.3254237288135593</v>
      </c>
      <c r="AW34" s="3">
        <v>0.84952978056426331</v>
      </c>
      <c r="AX34" s="3">
        <v>-1.238390092879257E-2</v>
      </c>
      <c r="AY34" s="3">
        <v>-0.22727272727272727</v>
      </c>
      <c r="AZ34" s="3">
        <v>0.14520547945205478</v>
      </c>
      <c r="BA34" s="3">
        <v>0.34686346863468637</v>
      </c>
      <c r="BB34" s="3">
        <v>1.8796992481203006E-2</v>
      </c>
      <c r="BC34" s="3">
        <v>-0.25905292479108633</v>
      </c>
      <c r="BD34" s="3">
        <v>8.7878787878787876E-2</v>
      </c>
      <c r="BE34" s="3">
        <v>0.20437956204379562</v>
      </c>
      <c r="BF34" s="3">
        <v>-0.11038961038961038</v>
      </c>
      <c r="BG34" s="3">
        <v>-6.097560975609756E-2</v>
      </c>
      <c r="BH34" s="3">
        <v>0.15087719298245614</v>
      </c>
      <c r="BI34" s="3">
        <v>-1.384083044982699E-2</v>
      </c>
      <c r="BJ34" s="3">
        <v>-6.8728522336769758E-3</v>
      </c>
      <c r="BK34" s="3">
        <v>2.1052631578947368E-2</v>
      </c>
      <c r="BL34" s="3">
        <v>2.1505376344086023E-2</v>
      </c>
      <c r="BM34" s="3">
        <v>0.12048192771084337</v>
      </c>
      <c r="BN34" s="3">
        <v>0.22660098522167488</v>
      </c>
      <c r="BO34" s="3">
        <v>9.1397849462365593E-2</v>
      </c>
      <c r="BP34" s="3">
        <v>4.49438202247191E-2</v>
      </c>
      <c r="BQ34" s="3">
        <v>-3.783783783783784E-2</v>
      </c>
      <c r="BR34" s="3">
        <v>0</v>
      </c>
      <c r="BS34" s="3">
        <v>0</v>
      </c>
      <c r="BT34" s="3">
        <v>0</v>
      </c>
      <c r="BU34" s="3">
        <v>0</v>
      </c>
    </row>
    <row r="35" spans="1:73" x14ac:dyDescent="0.2">
      <c r="A35" s="3" t="s">
        <v>165</v>
      </c>
      <c r="B35" s="3">
        <v>5.4472257699981756E-2</v>
      </c>
      <c r="C35" s="3">
        <v>-6.949477474107498E-3</v>
      </c>
      <c r="D35" s="3">
        <v>3.3033250614354463E-2</v>
      </c>
      <c r="E35" s="3">
        <v>6.0195590111158355E-3</v>
      </c>
      <c r="F35" s="3">
        <v>-4.4025689715647262E-3</v>
      </c>
      <c r="G35" s="3">
        <v>-1.7326209665247971E-3</v>
      </c>
      <c r="H35" s="3">
        <v>-1.3818272745674719E-2</v>
      </c>
      <c r="I35" s="3">
        <v>-4.1350143541216022E-2</v>
      </c>
      <c r="J35" s="3">
        <v>-1.4949120143925338E-2</v>
      </c>
      <c r="K35" s="3">
        <v>1.4412236999217689</v>
      </c>
      <c r="L35" s="3">
        <v>1.7682799078147914E-2</v>
      </c>
      <c r="M35" s="3">
        <v>-1.0046464900163256E-3</v>
      </c>
      <c r="N35" s="3">
        <v>-1.7937404078053058E-2</v>
      </c>
      <c r="O35" s="3">
        <v>-3.7270133380660486E-3</v>
      </c>
      <c r="P35" s="3">
        <v>2.696071558758377E-2</v>
      </c>
      <c r="Q35" s="3">
        <v>-5.4797194606729036E-3</v>
      </c>
      <c r="R35" s="3">
        <v>-2.0553370479624168E-2</v>
      </c>
      <c r="S35" s="3">
        <v>-3.1044065105200476E-2</v>
      </c>
      <c r="T35" s="3">
        <v>-4.0853979968371113E-3</v>
      </c>
      <c r="U35" s="3">
        <v>4.713733382765743E-3</v>
      </c>
      <c r="V35" s="3">
        <v>-1.8812035545393131E-2</v>
      </c>
      <c r="W35" s="3">
        <v>1.3683115378030632E-2</v>
      </c>
      <c r="X35" s="3">
        <v>-4.2434865948699843E-2</v>
      </c>
      <c r="Y35" s="3">
        <v>-2.7591111983126502E-2</v>
      </c>
      <c r="Z35" s="3">
        <v>6.6908624052539317E-3</v>
      </c>
      <c r="AA35" s="3">
        <v>0.20021335545908464</v>
      </c>
      <c r="AB35" s="3">
        <v>-3.2594206429974057E-2</v>
      </c>
      <c r="AC35" s="3">
        <v>-1.6202267471374585E-2</v>
      </c>
      <c r="AD35" s="3">
        <v>-1.6558036333379558E-2</v>
      </c>
      <c r="AE35" s="3">
        <v>0.43863219216343469</v>
      </c>
      <c r="AF35" s="3">
        <v>-4.9233701262606207E-3</v>
      </c>
      <c r="AG35" s="3">
        <v>-8.3078491335372068E-2</v>
      </c>
      <c r="AH35" s="3">
        <v>7.1868583162217657E-3</v>
      </c>
      <c r="AI35" s="3">
        <v>2.3154103421661951E-3</v>
      </c>
      <c r="AJ35" s="3">
        <v>8.962396379800569E-2</v>
      </c>
      <c r="AK35" s="3">
        <v>1.8656342153302976E-3</v>
      </c>
      <c r="AL35" s="3">
        <v>4.6758167563536691E-3</v>
      </c>
      <c r="AM35" s="3">
        <v>-6.9847496297482286E-3</v>
      </c>
      <c r="AN35" s="3">
        <v>4.3013346197137807E-3</v>
      </c>
      <c r="AO35" s="3">
        <v>-3.2194059174820551E-2</v>
      </c>
      <c r="AP35" s="3">
        <v>3.7700658810429619</v>
      </c>
      <c r="AQ35" s="3">
        <v>1.7466012084592145E-2</v>
      </c>
      <c r="AR35" s="3">
        <v>6.0472567080496593E-2</v>
      </c>
      <c r="AS35" s="3">
        <v>-5.1652107861754649E-2</v>
      </c>
      <c r="AT35" s="3">
        <v>-1.5424885481910816E-2</v>
      </c>
      <c r="AU35" s="3">
        <v>1.9635878371937851E-2</v>
      </c>
      <c r="AV35" s="3">
        <v>1.8345952242283053E-2</v>
      </c>
      <c r="AW35" s="3">
        <v>1.8063198038681558</v>
      </c>
      <c r="AX35" s="3">
        <v>5.7315668202764979E-2</v>
      </c>
      <c r="AY35" s="3">
        <v>1.6691068814055635E-2</v>
      </c>
      <c r="AZ35" s="3">
        <v>6.7521100343857457E-2</v>
      </c>
      <c r="BA35" s="3">
        <v>5.2648897663705167E-2</v>
      </c>
      <c r="BB35" s="3">
        <v>5.0829875518672199E-2</v>
      </c>
      <c r="BC35" s="3">
        <v>1.0482180293501049E-2</v>
      </c>
      <c r="BD35" s="3">
        <v>5.4143646408839778E-2</v>
      </c>
      <c r="BE35" s="3">
        <v>3.9831482190731522E-2</v>
      </c>
      <c r="BF35" s="3">
        <v>6.8330605564648123E-2</v>
      </c>
      <c r="BG35" s="3">
        <v>-8.1766148814390845E-4</v>
      </c>
      <c r="BH35" s="3">
        <v>7.6110866695996482E-2</v>
      </c>
      <c r="BI35" s="3">
        <v>4.4097381717960495E-2</v>
      </c>
      <c r="BJ35" s="3">
        <v>0.10451547437848807</v>
      </c>
      <c r="BK35" s="3">
        <v>-8.6230876216968011E-2</v>
      </c>
      <c r="BL35" s="3">
        <v>0.12343750000000001</v>
      </c>
      <c r="BM35" s="3">
        <v>7.7441077441077436E-2</v>
      </c>
      <c r="BN35" s="3">
        <v>9.1911764705882359E-2</v>
      </c>
      <c r="BO35" s="3">
        <v>-0.17157360406091371</v>
      </c>
      <c r="BP35" s="3">
        <v>0.10985915492957747</v>
      </c>
      <c r="BQ35" s="3">
        <v>-1.662049861495845E-2</v>
      </c>
      <c r="BR35" s="3">
        <v>0</v>
      </c>
      <c r="BS35" s="3">
        <v>0</v>
      </c>
      <c r="BT35" s="3">
        <v>0</v>
      </c>
      <c r="BU35" s="3">
        <v>0</v>
      </c>
    </row>
    <row r="36" spans="1:73" x14ac:dyDescent="0.2">
      <c r="A36" s="3" t="s">
        <v>166</v>
      </c>
      <c r="B36" s="3">
        <v>0.46117488183659688</v>
      </c>
      <c r="C36" s="3">
        <v>0.30484581497797358</v>
      </c>
      <c r="D36" s="3">
        <v>4.1284403669724773E-2</v>
      </c>
      <c r="E36" s="3">
        <v>8.0813088745661871E-2</v>
      </c>
      <c r="F36" s="3">
        <v>5.7127882599580709E-2</v>
      </c>
      <c r="G36" s="3">
        <v>8.4090909090909091E-2</v>
      </c>
      <c r="H36" s="3">
        <v>-7.0749736008447736E-2</v>
      </c>
      <c r="I36" s="3">
        <v>2.8230184581976112E-2</v>
      </c>
      <c r="J36" s="3">
        <v>-4.0625000000000001E-2</v>
      </c>
      <c r="K36" s="3">
        <v>1.1591148577449948E-2</v>
      </c>
      <c r="L36" s="3">
        <v>3.0401737242128121E-2</v>
      </c>
      <c r="M36" s="3">
        <v>-2.3329798515376459E-2</v>
      </c>
      <c r="N36" s="3">
        <v>-6.8457082675092151E-3</v>
      </c>
      <c r="O36" s="3">
        <v>-1.3506493506493506E-2</v>
      </c>
      <c r="P36" s="3">
        <v>4.7334058759521222E-2</v>
      </c>
      <c r="Q36" s="3">
        <v>0.10191846522781775</v>
      </c>
      <c r="R36" s="3">
        <v>9.7368421052631576E-2</v>
      </c>
      <c r="S36" s="3">
        <v>0.17193523515805706</v>
      </c>
      <c r="T36" s="3">
        <v>0.11810344827586207</v>
      </c>
      <c r="U36" s="3">
        <v>0.15537848605577689</v>
      </c>
      <c r="V36" s="3">
        <v>5.4621848739495799E-2</v>
      </c>
      <c r="W36" s="3">
        <v>-5.0847457627118647E-2</v>
      </c>
      <c r="X36" s="3">
        <v>-7.2155411655874191E-2</v>
      </c>
      <c r="Y36" s="3">
        <v>0.13431269674711438</v>
      </c>
      <c r="Z36" s="3">
        <v>9.5338983050847464E-3</v>
      </c>
      <c r="AA36" s="3">
        <v>8.0091533180778038E-2</v>
      </c>
      <c r="AB36" s="3">
        <v>-0.19890009165902842</v>
      </c>
      <c r="AC36" s="3">
        <v>5.5125725338491298E-2</v>
      </c>
      <c r="AD36" s="3">
        <v>-3.7243947858473E-2</v>
      </c>
      <c r="AE36" s="3">
        <v>-4.4483985765124558E-2</v>
      </c>
      <c r="AF36" s="3">
        <v>-7.5657894736842105E-2</v>
      </c>
      <c r="AG36" s="3">
        <v>-1.5384615384615385E-2</v>
      </c>
      <c r="AH36" s="3">
        <v>-4.3377226955848176E-2</v>
      </c>
      <c r="AI36" s="3">
        <v>-0.1078092605390463</v>
      </c>
      <c r="AJ36" s="3">
        <v>1.1180992313067784E-2</v>
      </c>
      <c r="AK36" s="3">
        <v>9.1533180778032033E-2</v>
      </c>
      <c r="AL36" s="3">
        <v>-1.87125748502994E-2</v>
      </c>
      <c r="AM36" s="3">
        <v>-4.5714285714285714E-2</v>
      </c>
      <c r="AN36" s="3">
        <v>7.1975497702909647E-2</v>
      </c>
      <c r="AO36" s="3">
        <v>-0.10974778459441036</v>
      </c>
      <c r="AP36" s="3">
        <v>1.9938775510204081</v>
      </c>
      <c r="AQ36" s="3">
        <v>-6.4885496183206104E-2</v>
      </c>
      <c r="AR36" s="3">
        <v>3.3530571992110451E-2</v>
      </c>
      <c r="AS36" s="3">
        <v>3.4693877551020408E-2</v>
      </c>
      <c r="AT36" s="3">
        <v>-0.02</v>
      </c>
      <c r="AU36" s="3">
        <v>-3.6608863198458574E-2</v>
      </c>
      <c r="AV36" s="3">
        <v>7.6763485477178428E-2</v>
      </c>
      <c r="AW36" s="3">
        <v>0.6013289036544851</v>
      </c>
      <c r="AX36" s="3">
        <v>5.2447552447552448E-2</v>
      </c>
      <c r="AY36" s="3">
        <v>3.5087719298245615E-3</v>
      </c>
      <c r="AZ36" s="3">
        <v>3.5211267605633804E-3</v>
      </c>
      <c r="BA36" s="3">
        <v>0.24017467248908297</v>
      </c>
      <c r="BB36" s="3">
        <v>0.10096153846153846</v>
      </c>
      <c r="BC36" s="3">
        <v>7.2164948453608241E-2</v>
      </c>
      <c r="BD36" s="3">
        <v>-0.10185185185185185</v>
      </c>
      <c r="BE36" s="3">
        <v>-9.1743119266055051E-3</v>
      </c>
      <c r="BF36" s="3">
        <v>0.12953367875647667</v>
      </c>
      <c r="BG36" s="3">
        <v>-5.1546391752577319E-3</v>
      </c>
      <c r="BH36" s="3">
        <v>-0.03</v>
      </c>
      <c r="BI36" s="3">
        <v>3.0927835051546393E-2</v>
      </c>
      <c r="BJ36" s="3">
        <v>-4.4334975369458129E-2</v>
      </c>
      <c r="BK36" s="3">
        <v>7.407407407407407E-2</v>
      </c>
      <c r="BL36" s="3">
        <v>2.1621621621621623E-2</v>
      </c>
      <c r="BM36" s="3">
        <v>3.9325842696629212E-2</v>
      </c>
      <c r="BN36" s="3">
        <v>7.2289156626506021E-2</v>
      </c>
      <c r="BO36" s="3">
        <v>2.4691358024691357E-2</v>
      </c>
      <c r="BP36" s="3">
        <v>5.8823529411764705E-2</v>
      </c>
      <c r="BQ36" s="3">
        <v>1.3245033112582781E-2</v>
      </c>
      <c r="BR36" s="3">
        <v>0</v>
      </c>
      <c r="BS36" s="3">
        <v>0</v>
      </c>
      <c r="BT36" s="3">
        <v>0</v>
      </c>
      <c r="BU36" s="3">
        <v>0</v>
      </c>
    </row>
    <row r="37" spans="1:73" x14ac:dyDescent="0.2">
      <c r="A37" s="3" t="s">
        <v>164</v>
      </c>
      <c r="B37" s="3">
        <v>9.6506440534474033E-2</v>
      </c>
      <c r="C37" s="3">
        <v>-1.9333067313862085E-2</v>
      </c>
      <c r="D37" s="3">
        <v>0.10515952212318273</v>
      </c>
      <c r="E37" s="3">
        <v>5.1478575617494381E-2</v>
      </c>
      <c r="F37" s="3">
        <v>-5.4507467793684008E-3</v>
      </c>
      <c r="G37" s="3">
        <v>2.7677641362637461E-2</v>
      </c>
      <c r="H37" s="3">
        <v>2.7350272988375203E-2</v>
      </c>
      <c r="I37" s="3">
        <v>-6.4221905588323164E-2</v>
      </c>
      <c r="J37" s="3">
        <v>-3.2424149518114898E-2</v>
      </c>
      <c r="K37" s="3">
        <v>1.6771582694001872</v>
      </c>
      <c r="L37" s="3">
        <v>8.6462249196068569E-2</v>
      </c>
      <c r="M37" s="3">
        <v>8.1301448108465416E-3</v>
      </c>
      <c r="N37" s="3">
        <v>-4.9073927628144533E-2</v>
      </c>
      <c r="O37" s="3">
        <v>9.2756681635193863E-3</v>
      </c>
      <c r="P37" s="3">
        <v>7.3222197235219028E-2</v>
      </c>
      <c r="Q37" s="3">
        <v>3.2318286632792808E-3</v>
      </c>
      <c r="R37" s="3">
        <v>-8.050805567326455E-2</v>
      </c>
      <c r="S37" s="3">
        <v>-7.7528908409020228E-2</v>
      </c>
      <c r="T37" s="3">
        <v>2.3037200688751983E-2</v>
      </c>
      <c r="U37" s="3">
        <v>1.1784467119395736E-2</v>
      </c>
      <c r="V37" s="3">
        <v>-6.2585214347119543E-3</v>
      </c>
      <c r="W37" s="3">
        <v>-8.3387646328409891E-4</v>
      </c>
      <c r="X37" s="3">
        <v>5.8730184891335781E-3</v>
      </c>
      <c r="Y37" s="3">
        <v>-2.0944812115226738E-2</v>
      </c>
      <c r="Z37" s="3">
        <v>-2.4812538255934071E-2</v>
      </c>
      <c r="AA37" s="3">
        <v>-2.5442390164680147E-2</v>
      </c>
      <c r="AB37" s="3">
        <v>0.16415833722926149</v>
      </c>
      <c r="AC37" s="3">
        <v>-3.260994218793771E-2</v>
      </c>
      <c r="AD37" s="3">
        <v>-3.5678803565494223E-2</v>
      </c>
      <c r="AE37" s="3">
        <v>-0.10488549605466399</v>
      </c>
      <c r="AF37" s="3">
        <v>1.3464454815395306E-2</v>
      </c>
      <c r="AG37" s="3">
        <v>-0.16183543032357398</v>
      </c>
      <c r="AH37" s="3">
        <v>7.3867641866223313E-2</v>
      </c>
      <c r="AI37" s="3">
        <v>0.24223649825783966</v>
      </c>
      <c r="AJ37" s="3">
        <v>2.3559811521507878E-2</v>
      </c>
      <c r="AK37" s="3">
        <v>6.1703828879230817E-3</v>
      </c>
      <c r="AL37" s="3">
        <v>5.0537596828871415E-3</v>
      </c>
      <c r="AM37" s="3">
        <v>3.6038166361231005E-3</v>
      </c>
      <c r="AN37" s="3">
        <v>-3.2791043736278287E-2</v>
      </c>
      <c r="AO37" s="3">
        <v>-2.1321198985727471E-2</v>
      </c>
      <c r="AP37" s="3">
        <v>2.1408655436398343</v>
      </c>
      <c r="AQ37" s="3">
        <v>8.2416766096534103E-2</v>
      </c>
      <c r="AR37" s="3">
        <v>5.7258394862367883E-2</v>
      </c>
      <c r="AS37" s="3">
        <v>2.6327747139146922E-2</v>
      </c>
      <c r="AT37" s="3">
        <v>0.10633381195353954</v>
      </c>
      <c r="AU37" s="3">
        <v>0.11433011070601541</v>
      </c>
      <c r="AV37" s="3">
        <v>3.0319281426167726E-2</v>
      </c>
      <c r="AW37" s="3">
        <v>-1.3826252377932752E-2</v>
      </c>
      <c r="AX37" s="3">
        <v>4.5744828173935367E-2</v>
      </c>
      <c r="AY37" s="3">
        <v>3.256546630040591E-2</v>
      </c>
      <c r="AZ37" s="3">
        <v>5.8694057226705947E-2</v>
      </c>
      <c r="BA37" s="3">
        <v>3.5624714298068995E-2</v>
      </c>
      <c r="BB37" s="3">
        <v>3.6934074662430316E-2</v>
      </c>
      <c r="BC37" s="3">
        <v>4.0926002480363939E-2</v>
      </c>
      <c r="BD37" s="3">
        <v>5.2497451580020345E-2</v>
      </c>
      <c r="BE37" s="3">
        <v>5.1987606302327162E-2</v>
      </c>
      <c r="BF37" s="3">
        <v>6.6608405657344855E-2</v>
      </c>
      <c r="BG37" s="3">
        <v>1.6949152542372812E-2</v>
      </c>
      <c r="BH37" s="3">
        <v>7.7105751391465777E-2</v>
      </c>
      <c r="BI37" s="3">
        <v>3.9865088768140586E-2</v>
      </c>
      <c r="BJ37" s="3">
        <v>7.6076269924027953E-2</v>
      </c>
      <c r="BK37" s="3">
        <v>9.2358803986711036E-2</v>
      </c>
      <c r="BL37" s="3">
        <v>0.11503599040255923</v>
      </c>
      <c r="BM37" s="3">
        <v>0.10618549511854961</v>
      </c>
      <c r="BN37" s="3">
        <v>9.4678901919553485E-2</v>
      </c>
      <c r="BO37" s="3">
        <v>4.5192307692307671E-2</v>
      </c>
      <c r="BP37" s="3">
        <v>0.23831671213273103</v>
      </c>
      <c r="BQ37" s="3">
        <v>4.694835680751271E-3</v>
      </c>
      <c r="BR37" s="3">
        <v>0</v>
      </c>
      <c r="BS37" s="3">
        <v>-1</v>
      </c>
      <c r="BT37" s="3">
        <v>0</v>
      </c>
      <c r="BU37" s="3">
        <v>0</v>
      </c>
    </row>
    <row r="38" spans="1:73" x14ac:dyDescent="0.2">
      <c r="A38" s="3" t="s">
        <v>163</v>
      </c>
      <c r="B38" s="3">
        <v>-1.7409207199842559E-2</v>
      </c>
      <c r="C38" s="3">
        <v>1.4139646278555637E-2</v>
      </c>
      <c r="D38" s="3">
        <v>1.4121347055068583E-2</v>
      </c>
      <c r="E38" s="3">
        <v>-4.5376177878184355E-2</v>
      </c>
      <c r="F38" s="3">
        <v>1.05588849336878E-2</v>
      </c>
      <c r="G38" s="3">
        <v>-1.4607938904182577E-2</v>
      </c>
      <c r="H38" s="3">
        <v>-3.4205749081604939E-2</v>
      </c>
      <c r="I38" s="3">
        <v>-5.4812472978815391E-2</v>
      </c>
      <c r="J38" s="3">
        <v>-2.4834982411298927E-2</v>
      </c>
      <c r="K38" s="3">
        <v>0.91437146892655363</v>
      </c>
      <c r="L38" s="3">
        <v>7.8035637121578001E-3</v>
      </c>
      <c r="M38" s="3">
        <v>7.6314517565058122E-4</v>
      </c>
      <c r="N38" s="3">
        <v>7.3825161651647068E-4</v>
      </c>
      <c r="O38" s="3">
        <v>-1.7409575266396519E-2</v>
      </c>
      <c r="P38" s="3">
        <v>1.2229396126091911E-2</v>
      </c>
      <c r="Q38" s="3">
        <v>7.3480970962347338E-4</v>
      </c>
      <c r="R38" s="3">
        <v>-9.8721680799898756E-4</v>
      </c>
      <c r="S38" s="3">
        <v>-1.9069848285451791E-2</v>
      </c>
      <c r="T38" s="3">
        <v>-4.5480386583285955E-3</v>
      </c>
      <c r="U38" s="3">
        <v>4.6985508679954496E-4</v>
      </c>
      <c r="V38" s="3">
        <v>-3.5629113803300583E-2</v>
      </c>
      <c r="W38" s="3">
        <v>5.8288757226126796E-3</v>
      </c>
      <c r="X38" s="3">
        <v>-6.6712932906489955E-2</v>
      </c>
      <c r="Y38" s="3">
        <v>-3.9603534647717743E-2</v>
      </c>
      <c r="Z38" s="3">
        <v>2.4900288667063307E-2</v>
      </c>
      <c r="AA38" s="3">
        <v>0.38365144216110736</v>
      </c>
      <c r="AB38" s="3">
        <v>-0.12690003993078663</v>
      </c>
      <c r="AC38" s="3">
        <v>4.5275380845850643E-4</v>
      </c>
      <c r="AD38" s="3">
        <v>-2.4707101299115326E-3</v>
      </c>
      <c r="AE38" s="3">
        <v>1.1517749957125707</v>
      </c>
      <c r="AF38" s="3">
        <v>-6.3053851397409681E-3</v>
      </c>
      <c r="AG38" s="3">
        <v>3.4094783498124785E-4</v>
      </c>
      <c r="AH38" s="3">
        <v>3.4106412005457026E-4</v>
      </c>
      <c r="AI38" s="3">
        <v>2.5074082516526098E-3</v>
      </c>
      <c r="AJ38" s="3">
        <v>0.29295608605953433</v>
      </c>
      <c r="AK38" s="3">
        <v>3.6854131348124124E-4</v>
      </c>
      <c r="AL38" s="3">
        <v>3.686771862557145E-4</v>
      </c>
      <c r="AM38" s="3">
        <v>-5.8642427796510776E-3</v>
      </c>
      <c r="AN38" s="3">
        <v>-5.3226394458621949E-3</v>
      </c>
      <c r="AO38" s="3">
        <v>-8.6154051172707885E-2</v>
      </c>
      <c r="AP38" s="3">
        <v>2.8110716099542916</v>
      </c>
      <c r="AQ38" s="3">
        <v>-2.7855153203342618E-3</v>
      </c>
      <c r="AR38" s="3">
        <v>-3.0295379954556928E-3</v>
      </c>
      <c r="AS38" s="3">
        <v>-0.19130257247856267</v>
      </c>
      <c r="AT38" s="3">
        <v>-0.10945454545454546</v>
      </c>
      <c r="AU38" s="3">
        <v>-1.6336903249228535E-3</v>
      </c>
      <c r="AV38" s="3">
        <v>-1.6310257339615802E-3</v>
      </c>
      <c r="AW38" s="3">
        <v>0</v>
      </c>
      <c r="AX38" s="3">
        <v>-1</v>
      </c>
      <c r="AY38" s="3">
        <v>0</v>
      </c>
      <c r="AZ38" s="3">
        <v>-0.33333333333333331</v>
      </c>
      <c r="BA38" s="3">
        <v>0</v>
      </c>
      <c r="BB38" s="3">
        <v>0</v>
      </c>
      <c r="BC38" s="3">
        <v>0</v>
      </c>
      <c r="BD38" s="3">
        <v>0</v>
      </c>
      <c r="BE38" s="3">
        <v>-0.25</v>
      </c>
      <c r="BF38" s="3">
        <v>-0.2</v>
      </c>
      <c r="BG38" s="3">
        <v>-0.16666666666666666</v>
      </c>
      <c r="BH38" s="3">
        <v>0</v>
      </c>
      <c r="BI38" s="3">
        <v>0</v>
      </c>
      <c r="BJ38" s="3">
        <v>-0.14285714285714285</v>
      </c>
      <c r="BK38" s="3">
        <v>-0.97033898305084743</v>
      </c>
      <c r="BL38" s="3">
        <v>0</v>
      </c>
      <c r="BM38" s="3">
        <v>0</v>
      </c>
      <c r="BN38" s="3">
        <v>4.2553191489361703E-3</v>
      </c>
      <c r="BO38" s="3">
        <v>-0.60767946577629384</v>
      </c>
      <c r="BP38" s="3">
        <v>-0.15035460992907801</v>
      </c>
      <c r="BQ38" s="3">
        <v>-1.4164305949008499E-3</v>
      </c>
      <c r="BR38" s="3">
        <v>0</v>
      </c>
      <c r="BS38" s="3">
        <v>0</v>
      </c>
      <c r="BT38" s="3">
        <v>0</v>
      </c>
      <c r="BU38" s="3">
        <v>0</v>
      </c>
    </row>
    <row r="39" spans="1:73" x14ac:dyDescent="0.2">
      <c r="A39" s="3" t="s">
        <v>162</v>
      </c>
      <c r="B39" s="3">
        <v>1.0118043844856661E-2</v>
      </c>
      <c r="C39" s="3">
        <v>-5.3673264005367326E-3</v>
      </c>
      <c r="D39" s="3">
        <v>-2.2622950819672132E-2</v>
      </c>
      <c r="E39" s="3">
        <v>0.13256591162272557</v>
      </c>
      <c r="F39" s="3">
        <v>0.19529516200621394</v>
      </c>
      <c r="G39" s="3">
        <v>8.5049239033124432E-3</v>
      </c>
      <c r="H39" s="3">
        <v>-5.0573735656608582E-2</v>
      </c>
      <c r="I39" s="3">
        <v>-2.5672877846790891E-2</v>
      </c>
      <c r="J39" s="3">
        <v>4.6360485268630847E-2</v>
      </c>
      <c r="K39" s="3">
        <v>0.66282420749279536</v>
      </c>
      <c r="L39" s="3">
        <v>2.2091310751104567E-2</v>
      </c>
      <c r="M39" s="3">
        <v>3.5060975609756101E-2</v>
      </c>
      <c r="N39" s="3">
        <v>9.7907949790794979E-2</v>
      </c>
      <c r="O39" s="3">
        <v>-1.6708437761069339E-3</v>
      </c>
      <c r="P39" s="3">
        <v>-4.6215139442231074E-2</v>
      </c>
      <c r="Q39" s="3">
        <v>-4.7581284694686752E-3</v>
      </c>
      <c r="R39" s="3">
        <v>4.5605306799336651E-2</v>
      </c>
      <c r="S39" s="3">
        <v>5.0000000000000001E-3</v>
      </c>
      <c r="T39" s="3">
        <v>-4.1493775933609959E-3</v>
      </c>
      <c r="U39" s="3">
        <v>-2.665589660743134E-2</v>
      </c>
      <c r="V39" s="3">
        <v>2.2295623451692816E-2</v>
      </c>
      <c r="W39" s="3">
        <v>2.4534686971235193E-2</v>
      </c>
      <c r="X39" s="3">
        <v>-3.7459283387622153E-2</v>
      </c>
      <c r="Y39" s="3">
        <v>-3.2308904649330179E-2</v>
      </c>
      <c r="Z39" s="3">
        <v>-1.5515903801396431E-2</v>
      </c>
      <c r="AA39" s="3">
        <v>9.5157179269328804E-2</v>
      </c>
      <c r="AB39" s="3">
        <v>-4.6963562753036439E-2</v>
      </c>
      <c r="AC39" s="3">
        <v>7.2980017376194611E-2</v>
      </c>
      <c r="AD39" s="3">
        <v>1.5887025595763458E-2</v>
      </c>
      <c r="AE39" s="3">
        <v>0.19514767932489452</v>
      </c>
      <c r="AF39" s="3">
        <v>-1.1470281543274244E-2</v>
      </c>
      <c r="AG39" s="3">
        <v>2.4572649572649572E-2</v>
      </c>
      <c r="AH39" s="3">
        <v>1.1891891891891892E-2</v>
      </c>
      <c r="AI39" s="3">
        <v>0.11714975845410629</v>
      </c>
      <c r="AJ39" s="3">
        <v>1.2091898428053204E-3</v>
      </c>
      <c r="AK39" s="3">
        <v>-2.4125452352231603E-3</v>
      </c>
      <c r="AL39" s="3">
        <v>2.5990099009900989E-2</v>
      </c>
      <c r="AM39" s="3">
        <v>2.4813895781637717E-3</v>
      </c>
      <c r="AN39" s="3">
        <v>-9.8280098280098278E-3</v>
      </c>
      <c r="AO39" s="3">
        <v>3.4307496823379927E-2</v>
      </c>
      <c r="AP39" s="3">
        <v>1.9475655430711611</v>
      </c>
      <c r="AQ39" s="3">
        <v>-6.968641114982578E-2</v>
      </c>
      <c r="AR39" s="3">
        <v>3.9855072463768113E-2</v>
      </c>
      <c r="AS39" s="3">
        <v>9.9601593625498003E-2</v>
      </c>
      <c r="AT39" s="3">
        <v>6.8085106382978725E-2</v>
      </c>
      <c r="AU39" s="3">
        <v>4.2735042735042739E-3</v>
      </c>
      <c r="AV39" s="3">
        <v>-2.5000000000000001E-2</v>
      </c>
      <c r="AW39" s="3">
        <v>1.1052631578947369</v>
      </c>
      <c r="AX39" s="3">
        <v>6.5420560747663545E-2</v>
      </c>
      <c r="AY39" s="3">
        <v>-1.834862385321101E-2</v>
      </c>
      <c r="AZ39" s="3">
        <v>7.9207920792079209E-2</v>
      </c>
      <c r="BA39" s="3">
        <v>6.3157894736842107E-2</v>
      </c>
      <c r="BB39" s="3">
        <v>2.1505376344086023E-2</v>
      </c>
      <c r="BC39" s="3">
        <v>0.16250000000000001</v>
      </c>
      <c r="BD39" s="3">
        <v>-0.10112359550561797</v>
      </c>
      <c r="BE39" s="3">
        <v>5.9523809523809521E-2</v>
      </c>
      <c r="BF39" s="3">
        <v>2.4390243902439025E-2</v>
      </c>
      <c r="BG39" s="3">
        <v>-1.2048192771084338E-2</v>
      </c>
      <c r="BH39" s="3">
        <v>-2.3529411764705882E-2</v>
      </c>
      <c r="BI39" s="3">
        <v>0.11842105263157894</v>
      </c>
      <c r="BJ39" s="3">
        <v>4.1095890410958902E-2</v>
      </c>
      <c r="BK39" s="3">
        <v>-2.6666666666666668E-2</v>
      </c>
      <c r="BL39" s="3">
        <v>5.6338028169014086E-2</v>
      </c>
      <c r="BM39" s="3">
        <v>1.4285714285714285E-2</v>
      </c>
      <c r="BN39" s="3">
        <v>9.375E-2</v>
      </c>
      <c r="BO39" s="3">
        <v>-1.5384615384615385E-2</v>
      </c>
      <c r="BP39" s="3">
        <v>0.10169491525423729</v>
      </c>
      <c r="BQ39" s="3">
        <v>0</v>
      </c>
      <c r="BR39" s="3">
        <v>-4.8387096774193547E-2</v>
      </c>
      <c r="BS39" s="3">
        <v>-0.10144927536231885</v>
      </c>
      <c r="BT39" s="3">
        <v>1.4705882352941176E-2</v>
      </c>
      <c r="BU39" s="3">
        <v>0</v>
      </c>
    </row>
    <row r="40" spans="1:73" x14ac:dyDescent="0.2">
      <c r="A40" s="3" t="s">
        <v>161</v>
      </c>
      <c r="B40" s="3">
        <v>3.7364798426745331E-2</v>
      </c>
      <c r="C40" s="3">
        <v>-8.1300813008130079E-2</v>
      </c>
      <c r="D40" s="3">
        <v>3.2649253731343281E-2</v>
      </c>
      <c r="E40" s="3">
        <v>-1.0156971375807941E-2</v>
      </c>
      <c r="F40" s="3">
        <v>0.14120126448893572</v>
      </c>
      <c r="G40" s="3">
        <v>-6.0396039603960394E-2</v>
      </c>
      <c r="H40" s="3">
        <v>-8.1818181818181818E-2</v>
      </c>
      <c r="I40" s="3">
        <v>-0.13860610806577917</v>
      </c>
      <c r="J40" s="3">
        <v>-0.18765903307888041</v>
      </c>
      <c r="K40" s="3">
        <v>2.7607655502392343</v>
      </c>
      <c r="L40" s="3">
        <v>7.7319587628865982E-2</v>
      </c>
      <c r="M40" s="3">
        <v>-0.11415525114155251</v>
      </c>
      <c r="N40" s="3">
        <v>0.25862068965517243</v>
      </c>
      <c r="O40" s="3">
        <v>-5.9459459459459463E-2</v>
      </c>
      <c r="P40" s="3">
        <v>0.14551083591331268</v>
      </c>
      <c r="Q40" s="3">
        <v>-0.12228260869565218</v>
      </c>
      <c r="R40" s="3">
        <v>0.14641744548286603</v>
      </c>
      <c r="S40" s="3">
        <v>-4.7477744807121663E-2</v>
      </c>
      <c r="T40" s="3">
        <v>-2.6011560693641619E-2</v>
      </c>
      <c r="U40" s="3">
        <v>6.4615384615384616E-2</v>
      </c>
      <c r="V40" s="3">
        <v>-4.1297935103244837E-2</v>
      </c>
      <c r="W40" s="3">
        <v>-0.16296296296296298</v>
      </c>
      <c r="X40" s="3">
        <v>-5.3738317757009345E-2</v>
      </c>
      <c r="Y40" s="3">
        <v>-0.14570858283433133</v>
      </c>
      <c r="Z40" s="3">
        <v>-0.16638935108153077</v>
      </c>
      <c r="AA40" s="3">
        <v>0.46943765281173594</v>
      </c>
      <c r="AB40" s="3">
        <v>-2.4390243902439024E-3</v>
      </c>
      <c r="AC40" s="3">
        <v>-2.1479713603818614E-2</v>
      </c>
      <c r="AD40" s="3">
        <v>-0.11040339702760085</v>
      </c>
      <c r="AE40" s="3">
        <v>0.98734177215189878</v>
      </c>
      <c r="AF40" s="3">
        <v>1.282051282051282E-2</v>
      </c>
      <c r="AG40" s="3">
        <v>-0.20408163265306123</v>
      </c>
      <c r="AH40" s="3">
        <v>1.0309278350515464E-2</v>
      </c>
      <c r="AI40" s="3">
        <v>0.59890109890109888</v>
      </c>
      <c r="AJ40" s="3">
        <v>-0.09</v>
      </c>
      <c r="AK40" s="3">
        <v>-1.9607843137254902E-2</v>
      </c>
      <c r="AL40" s="3">
        <v>1.4925373134328358E-2</v>
      </c>
      <c r="AM40" s="3">
        <v>-0.10267857142857142</v>
      </c>
      <c r="AN40" s="3">
        <v>-2.6086956521739129E-2</v>
      </c>
      <c r="AO40" s="3">
        <v>-3.3613445378151259E-2</v>
      </c>
      <c r="AP40" s="3">
        <v>1.0877192982456141</v>
      </c>
      <c r="AQ40" s="3">
        <v>-3.3898305084745763E-2</v>
      </c>
      <c r="AR40" s="3">
        <v>-0.17482517482517482</v>
      </c>
      <c r="AS40" s="3">
        <v>0.32407407407407407</v>
      </c>
      <c r="AT40" s="3">
        <v>-7.6923076923076927E-2</v>
      </c>
      <c r="AU40" s="3">
        <v>-9.3023255813953487E-2</v>
      </c>
      <c r="AV40" s="3">
        <v>-5.8394160583941604E-2</v>
      </c>
      <c r="AW40" s="3">
        <v>1.044776119402985</v>
      </c>
      <c r="AX40" s="3">
        <v>-9.45945945945946E-2</v>
      </c>
      <c r="AY40" s="3">
        <v>0.23333333333333334</v>
      </c>
      <c r="AZ40" s="3">
        <v>5.2631578947368418E-2</v>
      </c>
      <c r="BA40" s="3">
        <v>9.6153846153846159E-2</v>
      </c>
      <c r="BB40" s="3">
        <v>-1.8867924528301886E-2</v>
      </c>
      <c r="BC40" s="3">
        <v>8.1632653061224483E-2</v>
      </c>
      <c r="BD40" s="3">
        <v>0</v>
      </c>
      <c r="BE40" s="3">
        <v>-3.9215686274509803E-2</v>
      </c>
      <c r="BF40" s="3">
        <v>0.02</v>
      </c>
      <c r="BG40" s="3">
        <v>-9.0909090909090912E-2</v>
      </c>
      <c r="BH40" s="3">
        <v>-8.3333333333333329E-2</v>
      </c>
      <c r="BI40" s="3">
        <v>9.0909090909090912E-2</v>
      </c>
      <c r="BJ40" s="3">
        <v>0.1</v>
      </c>
      <c r="BK40" s="3">
        <v>-1.9607843137254902E-2</v>
      </c>
      <c r="BL40" s="3">
        <v>0</v>
      </c>
      <c r="BM40" s="3">
        <v>6.25E-2</v>
      </c>
      <c r="BN40" s="3">
        <v>4.3478260869565216E-2</v>
      </c>
      <c r="BO40" s="3">
        <v>-2.1276595744680851E-2</v>
      </c>
      <c r="BP40" s="3">
        <v>0.17499999999999999</v>
      </c>
      <c r="BQ40" s="3">
        <v>-4.7619047619047616E-2</v>
      </c>
      <c r="BR40" s="3">
        <v>0.05</v>
      </c>
      <c r="BS40" s="3">
        <v>-0.16666666666666666</v>
      </c>
      <c r="BT40" s="3">
        <v>-0.04</v>
      </c>
      <c r="BU4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AVGO - Income Statement FY</vt:lpstr>
      <vt:lpstr>AVGO - Balance Sheet FY</vt:lpstr>
      <vt:lpstr>AVGO - Cash Flow FY</vt:lpstr>
      <vt:lpstr>AVGO - Key Metrics FY</vt:lpstr>
      <vt:lpstr>AVGO - Financial Growth FY</vt:lpstr>
      <vt:lpstr>AVGO - Income Statement Q</vt:lpstr>
      <vt:lpstr>AVGO - Balance Sheet Q</vt:lpstr>
      <vt:lpstr>AVGO - Cash Flow Q</vt:lpstr>
      <vt:lpstr>AVGO - Key Metrics Q</vt:lpstr>
      <vt:lpstr>AVGO - Financial Growth 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 Bobis</dc:creator>
  <cp:lastModifiedBy>Arvin Bobis</cp:lastModifiedBy>
  <dcterms:created xsi:type="dcterms:W3CDTF">2026-06-06T09:36:10Z</dcterms:created>
  <dcterms:modified xsi:type="dcterms:W3CDTF">2026-06-07T08:07:08Z</dcterms:modified>
</cp:coreProperties>
</file>