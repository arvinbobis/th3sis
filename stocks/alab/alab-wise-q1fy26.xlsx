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vinbobis/Programs/thesis-builder/stocks/ALAB/"/>
    </mc:Choice>
  </mc:AlternateContent>
  <xr:revisionPtr revIDLastSave="0" documentId="8_{19FCBB9D-1D3F-6A42-B1FD-4C7F9DC84E3F}" xr6:coauthVersionLast="47" xr6:coauthVersionMax="47" xr10:uidLastSave="{00000000-0000-0000-0000-000000000000}"/>
  <bookViews>
    <workbookView xWindow="3080" yWindow="2160" windowWidth="28040" windowHeight="17180" xr2:uid="{14B04B9E-364A-9245-A49E-E2942FE958E7}"/>
  </bookViews>
  <sheets>
    <sheet name="ALAB - Income Statement FY" sheetId="2" r:id="rId1"/>
    <sheet name="ALAB - Balance Sheet FY" sheetId="3" r:id="rId2"/>
    <sheet name="ALAB - Cash Flow FY" sheetId="4" r:id="rId3"/>
    <sheet name="ALAB - Key Metrics FY" sheetId="5" r:id="rId4"/>
    <sheet name="ALAB - Financial Growth FY" sheetId="6" r:id="rId5"/>
    <sheet name="ALAB - Income Statement Q" sheetId="7" r:id="rId6"/>
    <sheet name="ALAB - Balance Sheet Q" sheetId="8" r:id="rId7"/>
    <sheet name="ALAB - Cash Flow Q" sheetId="9" r:id="rId8"/>
    <sheet name="ALAB - Key Metrics Q" sheetId="10" r:id="rId9"/>
    <sheet name="ALAB - Financial Growth Q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3" i="10"/>
  <c r="B3" i="9"/>
  <c r="B3" i="8"/>
  <c r="B3" i="6"/>
  <c r="B3" i="5"/>
  <c r="B3" i="4"/>
  <c r="B3" i="3"/>
</calcChain>
</file>

<file path=xl/sharedStrings.xml><?xml version="1.0" encoding="utf-8"?>
<sst xmlns="http://schemas.openxmlformats.org/spreadsheetml/2006/main" count="513" uniqueCount="199">
  <si>
    <t>Income Statement</t>
  </si>
  <si>
    <t>Company</t>
  </si>
  <si>
    <t>ALAB (NASDAQ)</t>
  </si>
  <si>
    <t>Currency</t>
  </si>
  <si>
    <t>USD</t>
  </si>
  <si>
    <t>Weighted Average Shs Out Dil</t>
  </si>
  <si>
    <t>Weighted Average Shs Out</t>
  </si>
  <si>
    <t>Epsdiluted</t>
  </si>
  <si>
    <t>Eps</t>
  </si>
  <si>
    <t>Net Income Ratio</t>
  </si>
  <si>
    <t>Net Income</t>
  </si>
  <si>
    <t>Income Tax Expense</t>
  </si>
  <si>
    <t>Income Before Tax Ratio</t>
  </si>
  <si>
    <t>Income Before Tax</t>
  </si>
  <si>
    <t>Total Other Income Expenses Net</t>
  </si>
  <si>
    <t>Operating Income Ratio</t>
  </si>
  <si>
    <t>Operating Income</t>
  </si>
  <si>
    <t>Ebitdaratio</t>
  </si>
  <si>
    <t>Ebitda</t>
  </si>
  <si>
    <t>Depreciation And Amortization</t>
  </si>
  <si>
    <t>Interest Expense</t>
  </si>
  <si>
    <t>Cost And Expenses</t>
  </si>
  <si>
    <t>Operating Expenses</t>
  </si>
  <si>
    <t>Other Expenses</t>
  </si>
  <si>
    <t>Selling General And Administrative Expenses</t>
  </si>
  <si>
    <t xml:space="preserve">    Selling And Marketing Expenses</t>
  </si>
  <si>
    <t xml:space="preserve">    General And Administrative Expenses</t>
  </si>
  <si>
    <t>Research And Development Expenses</t>
  </si>
  <si>
    <t>Gross Profit Ratio</t>
  </si>
  <si>
    <t>Gross Profit</t>
  </si>
  <si>
    <t>Cost Of Revenue</t>
  </si>
  <si>
    <t>Revenue</t>
  </si>
  <si>
    <t>Period</t>
  </si>
  <si>
    <t>FY</t>
  </si>
  <si>
    <t>Date</t>
  </si>
  <si>
    <t>Balance Sheet</t>
  </si>
  <si>
    <t>Net Debt</t>
  </si>
  <si>
    <t>Total Debt</t>
  </si>
  <si>
    <t>Total Investments</t>
  </si>
  <si>
    <t>Total Liabilities And Stockholders Equity</t>
  </si>
  <si>
    <t>Total Stockholders Equity</t>
  </si>
  <si>
    <t>Othertotal Stockholders Equity</t>
  </si>
  <si>
    <t>Accumulated Other Comprehensive Income Loss</t>
  </si>
  <si>
    <t>Retained Earnings</t>
  </si>
  <si>
    <t>Common Stock</t>
  </si>
  <si>
    <t>Total Liabilities</t>
  </si>
  <si>
    <t>Other Liabilities</t>
  </si>
  <si>
    <t>Total Non Current Liabilities</t>
  </si>
  <si>
    <t>Other Non Current Liabilities</t>
  </si>
  <si>
    <t>Deferred Tax Liabilities Non Current</t>
  </si>
  <si>
    <t>Deferred Revenue Non Current</t>
  </si>
  <si>
    <t>Long Term Debt</t>
  </si>
  <si>
    <t>Total Current Liabilities</t>
  </si>
  <si>
    <t>Other Current Liabilities</t>
  </si>
  <si>
    <t>Deferred Revenue</t>
  </si>
  <si>
    <t>Tax Payables</t>
  </si>
  <si>
    <t>Short Term Debt</t>
  </si>
  <si>
    <t>Account Payables</t>
  </si>
  <si>
    <t>Total Assets</t>
  </si>
  <si>
    <t>Other Assets</t>
  </si>
  <si>
    <t>Total Non Current Assets</t>
  </si>
  <si>
    <t>Other Non Current Assets</t>
  </si>
  <si>
    <t>Tax Assets</t>
  </si>
  <si>
    <t>Long Term Investments</t>
  </si>
  <si>
    <t>Goodwill And Intangible Assets</t>
  </si>
  <si>
    <t>Intangible Assets</t>
  </si>
  <si>
    <t>Goodwill</t>
  </si>
  <si>
    <t>Property Plant Equipment Net</t>
  </si>
  <si>
    <t>Total Current Assets</t>
  </si>
  <si>
    <t>Other Current Assets</t>
  </si>
  <si>
    <t>Inventory</t>
  </si>
  <si>
    <t>Net Receivables</t>
  </si>
  <si>
    <t>Cash And Short Term Investments</t>
  </si>
  <si>
    <t>Short Term Investments</t>
  </si>
  <si>
    <t>Cash And Cash Equivalents</t>
  </si>
  <si>
    <t>Cash Flow</t>
  </si>
  <si>
    <t>Free Cash Flow</t>
  </si>
  <si>
    <t>Capital Expenditure</t>
  </si>
  <si>
    <t>Operating Cash Flow</t>
  </si>
  <si>
    <t>Cash At Beginning Of Period</t>
  </si>
  <si>
    <t>Cash At End Of Period</t>
  </si>
  <si>
    <t>Net Change In Cash</t>
  </si>
  <si>
    <t>Effect Of Forex Changes On Cash</t>
  </si>
  <si>
    <t>Net Cash Used Provided By Financing Activities</t>
  </si>
  <si>
    <t>Other Financing Activities</t>
  </si>
  <si>
    <t>Dividends Paid</t>
  </si>
  <si>
    <t>Common Stock Repurchased</t>
  </si>
  <si>
    <t>Common Stock Issued</t>
  </si>
  <si>
    <t>Debt Repayment</t>
  </si>
  <si>
    <t>Net Cash Used For Investing Activities</t>
  </si>
  <si>
    <t>Other Investing Activities</t>
  </si>
  <si>
    <t>Sales Maturities Of Investments</t>
  </si>
  <si>
    <t>Purchases Of Investments</t>
  </si>
  <si>
    <t>Acquisitions Net</t>
  </si>
  <si>
    <t>Investments In Property Plant And Equipment</t>
  </si>
  <si>
    <t>Net Cash Provided By Operating Activities</t>
  </si>
  <si>
    <t>Other Non Cash Items</t>
  </si>
  <si>
    <t>Other Working Capital</t>
  </si>
  <si>
    <t>Accounts Payables</t>
  </si>
  <si>
    <t>Accounts Receivables</t>
  </si>
  <si>
    <t>Change In Working Capital</t>
  </si>
  <si>
    <t>Stock Based Compensation</t>
  </si>
  <si>
    <t>Deferred Income Tax</t>
  </si>
  <si>
    <t>Key Metrics</t>
  </si>
  <si>
    <t>Capex Per Share</t>
  </si>
  <si>
    <t>Roe</t>
  </si>
  <si>
    <t>Inventory Turnover</t>
  </si>
  <si>
    <t>Payables Turnover</t>
  </si>
  <si>
    <t>Receivables Turnover</t>
  </si>
  <si>
    <t>Days Of Inventory On Hand</t>
  </si>
  <si>
    <t>Days Payables Outstanding</t>
  </si>
  <si>
    <t>Days Sales Outstanding</t>
  </si>
  <si>
    <t>Average Inventory</t>
  </si>
  <si>
    <t>Average Payables</t>
  </si>
  <si>
    <t>Average Receivables</t>
  </si>
  <si>
    <t>Net Current Asset Value</t>
  </si>
  <si>
    <t>Tangible Asset Value</t>
  </si>
  <si>
    <t>Working Capital</t>
  </si>
  <si>
    <t>Graham Net Net</t>
  </si>
  <si>
    <t>Return On Tangible Assets</t>
  </si>
  <si>
    <t>Roic</t>
  </si>
  <si>
    <t>Graham Number</t>
  </si>
  <si>
    <t>Stock Based Compensation To Revenue</t>
  </si>
  <si>
    <t>Capex To Depreciation</t>
  </si>
  <si>
    <t>Capex To Revenue</t>
  </si>
  <si>
    <t>Capex To Operating Cash Flow</t>
  </si>
  <si>
    <t>Intangibles To Total Assets</t>
  </si>
  <si>
    <t>Research And Development To Revenue</t>
  </si>
  <si>
    <t>Sales General And Administrative To Revenue</t>
  </si>
  <si>
    <t>Payout Ratio</t>
  </si>
  <si>
    <t>Dividend Yield</t>
  </si>
  <si>
    <t>Income Quality</t>
  </si>
  <si>
    <t>Interest Coverage</t>
  </si>
  <si>
    <t>Current Ratio</t>
  </si>
  <si>
    <t>Net Debt To EBITDA</t>
  </si>
  <si>
    <t>Debt To Assets</t>
  </si>
  <si>
    <t>Debt To Equity</t>
  </si>
  <si>
    <t>Free Cash Flow Yield</t>
  </si>
  <si>
    <t>Earnings Yield</t>
  </si>
  <si>
    <t>Ev To Free Cash Flow</t>
  </si>
  <si>
    <t>Ev To Operating Cash Flow</t>
  </si>
  <si>
    <t>Enterprise Value Over EBITDA</t>
  </si>
  <si>
    <t>Ev To Sales</t>
  </si>
  <si>
    <t>Ptb Ratio</t>
  </si>
  <si>
    <t>Pb Ratio</t>
  </si>
  <si>
    <t>Pfcf Ratio</t>
  </si>
  <si>
    <t>Pocfratio</t>
  </si>
  <si>
    <t>Price To Sales Ratio</t>
  </si>
  <si>
    <t>Pe Ratio</t>
  </si>
  <si>
    <t>Enterprise Value</t>
  </si>
  <si>
    <t>Market Cap</t>
  </si>
  <si>
    <t>Interest Debt Per Share</t>
  </si>
  <si>
    <t>Shareholders Equity Per Share</t>
  </si>
  <si>
    <t>Tangible Book Value Per Share</t>
  </si>
  <si>
    <t>Book Value Per Share</t>
  </si>
  <si>
    <t>Cash Per Share</t>
  </si>
  <si>
    <t>Free Cash Flow Per Share</t>
  </si>
  <si>
    <t>Operating Cash Flow Per Share</t>
  </si>
  <si>
    <t>Net Income Per Share</t>
  </si>
  <si>
    <t>Revenue Per Share</t>
  </si>
  <si>
    <t>Financial Growth</t>
  </si>
  <si>
    <t>Sgaexpenses Growth</t>
  </si>
  <si>
    <t>Rdexpense Growth</t>
  </si>
  <si>
    <t>Debt Growth</t>
  </si>
  <si>
    <t>Book Valueper Share Growth</t>
  </si>
  <si>
    <t>Asset Growth</t>
  </si>
  <si>
    <t>Inventory Growth</t>
  </si>
  <si>
    <t>Receivables Growth</t>
  </si>
  <si>
    <t>Three YDividendper Share Growth Per Share</t>
  </si>
  <si>
    <t>Five YDividendper Share Growth Per Share</t>
  </si>
  <si>
    <t>Ten YDividendper Share Growth Per Share</t>
  </si>
  <si>
    <t>Three YShareholders Equity Growth Per Share</t>
  </si>
  <si>
    <t>Five YShareholders Equity Growth Per Share</t>
  </si>
  <si>
    <t>Ten YShareholders Equity Growth Per Share</t>
  </si>
  <si>
    <t>Three YNet Income Growth Per Share</t>
  </si>
  <si>
    <t>Five YNet Income Growth Per Share</t>
  </si>
  <si>
    <t>Ten YNet Income Growth Per Share</t>
  </si>
  <si>
    <t>Three YOperating CFGrowth Per Share</t>
  </si>
  <si>
    <t>Five YOperating CFGrowth Per Share</t>
  </si>
  <si>
    <t>Ten YOperating CFGrowth Per Share</t>
  </si>
  <si>
    <t>Three YRevenue Growth Per Share</t>
  </si>
  <si>
    <t>Five YRevenue Growth Per Share</t>
  </si>
  <si>
    <t>Ten YRevenue Growth Per Share</t>
  </si>
  <si>
    <t>Free Cash Flow Growth</t>
  </si>
  <si>
    <t>Operating Cash Flow Growth</t>
  </si>
  <si>
    <t>Dividendsper Share Growth</t>
  </si>
  <si>
    <t>Weighted Average Shares Diluted Growth</t>
  </si>
  <si>
    <t>Weighted Average Shares Growth</t>
  </si>
  <si>
    <t>Epsdiluted Growth</t>
  </si>
  <si>
    <t>Epsgrowth</t>
  </si>
  <si>
    <t>Net Income Growth</t>
  </si>
  <si>
    <t>Operating Income Growth</t>
  </si>
  <si>
    <t>Ebitgrowth</t>
  </si>
  <si>
    <t>Gross Profit Growth</t>
  </si>
  <si>
    <t>Revenue Growth</t>
  </si>
  <si>
    <t>Q1</t>
  </si>
  <si>
    <t>Q4</t>
  </si>
  <si>
    <t>Q3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</si>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</sst>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36416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8F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39" fontId="0" fillId="0" borderId="0" xfId="0" applyNumberFormat="1"/>
    <xf numFmtId="164" fontId="0" fillId="0" borderId="0" xfId="0" applyNumberFormat="1"/>
    <xf numFmtId="10" fontId="0" fillId="0" borderId="0" xfId="0" applyNumberFormat="1"/>
    <xf numFmtId="39" fontId="0" fillId="0" borderId="1" xfId="0" applyNumberFormat="1" applyBorder="1"/>
    <xf numFmtId="39" fontId="0" fillId="0" borderId="2" xfId="0" applyNumberFormat="1" applyBorder="1"/>
    <xf numFmtId="39" fontId="1" fillId="0" borderId="0" xfId="0" applyNumberFormat="1" applyFont="1"/>
    <xf numFmtId="10" fontId="0" fillId="0" borderId="1" xfId="0" applyNumberFormat="1" applyBorder="1"/>
    <xf numFmtId="0" fontId="0" fillId="0" borderId="0" xfId="0" applyAlignment="1">
      <alignment horizontal="center"/>
    </xf>
    <xf numFmtId="14" fontId="0" fillId="0" borderId="1" xfId="0" applyNumberForma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DF83AD-CD29-DA41-8955-4A744CE87E1F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90C6-FE04-194F-B895-F7051CFB8506}">
  <dimension ref="A1:E38"/>
  <sheetViews>
    <sheetView tabSelected="1" workbookViewId="0"/>
  </sheetViews>
  <sheetFormatPr baseColWidth="10" defaultRowHeight="16" x14ac:dyDescent="0.2"/>
  <cols>
    <col min="1" max="1" width="37.33203125" bestFit="1" customWidth="1"/>
    <col min="2" max="2" width="14.33203125" bestFit="1" customWidth="1"/>
    <col min="3" max="3" width="15" bestFit="1" customWidth="1"/>
    <col min="4" max="5" width="14.33203125" bestFit="1" customWidth="1"/>
  </cols>
  <sheetData>
    <row r="1" spans="1:5" x14ac:dyDescent="0.2">
      <c r="A1" s="10" t="s">
        <v>0</v>
      </c>
      <c r="B1" s="10"/>
      <c r="C1" s="10"/>
      <c r="D1" s="10"/>
      <c r="E1" s="10"/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t="s">
        <v>4</v>
      </c>
    </row>
    <row r="4" spans="1:5" x14ac:dyDescent="0.2">
      <c r="A4" t="s">
        <v>32</v>
      </c>
      <c r="B4" s="8" t="s">
        <v>33</v>
      </c>
      <c r="C4" s="8"/>
      <c r="D4" s="8"/>
      <c r="E4" s="8"/>
    </row>
    <row r="5" spans="1:5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</row>
    <row r="7" spans="1:5" x14ac:dyDescent="0.2">
      <c r="A7" s="1" t="s">
        <v>31</v>
      </c>
      <c r="B7" s="1">
        <v>852525000</v>
      </c>
      <c r="C7" s="1">
        <v>396290000</v>
      </c>
      <c r="D7" s="1">
        <v>115794000</v>
      </c>
      <c r="E7" s="1">
        <v>79872000</v>
      </c>
    </row>
    <row r="9" spans="1:5" x14ac:dyDescent="0.2">
      <c r="A9" s="1" t="s">
        <v>30</v>
      </c>
      <c r="B9" s="1">
        <v>207264000</v>
      </c>
      <c r="C9" s="1">
        <v>93591000</v>
      </c>
      <c r="D9" s="1">
        <v>35967000</v>
      </c>
      <c r="E9" s="1">
        <v>21191000</v>
      </c>
    </row>
    <row r="10" spans="1:5" x14ac:dyDescent="0.2">
      <c r="A10" s="6" t="s">
        <v>29</v>
      </c>
      <c r="B10" s="4">
        <v>645261000</v>
      </c>
      <c r="C10" s="4">
        <v>302699000</v>
      </c>
      <c r="D10" s="4">
        <v>79827000</v>
      </c>
      <c r="E10" s="4">
        <v>58681000</v>
      </c>
    </row>
    <row r="11" spans="1:5" x14ac:dyDescent="0.2">
      <c r="A11" s="3" t="s">
        <v>28</v>
      </c>
      <c r="B11" s="3">
        <v>0.75688220289999997</v>
      </c>
      <c r="C11" s="3">
        <v>0.76383204220000001</v>
      </c>
      <c r="D11" s="3">
        <v>0.68938805120000002</v>
      </c>
      <c r="E11" s="3">
        <v>0.73468800079999996</v>
      </c>
    </row>
    <row r="13" spans="1:5" x14ac:dyDescent="0.2">
      <c r="A13" s="1" t="s">
        <v>27</v>
      </c>
      <c r="B13" s="1">
        <v>303998000</v>
      </c>
      <c r="C13" s="1">
        <v>200830000</v>
      </c>
      <c r="D13" s="1">
        <v>73407000</v>
      </c>
      <c r="E13" s="1">
        <v>73711000</v>
      </c>
    </row>
    <row r="14" spans="1:5" x14ac:dyDescent="0.2">
      <c r="A14" s="1" t="s">
        <v>24</v>
      </c>
      <c r="B14" s="1">
        <v>167840000</v>
      </c>
      <c r="C14" s="1">
        <v>217935000</v>
      </c>
      <c r="D14" s="1">
        <v>35917000</v>
      </c>
      <c r="E14" s="1">
        <v>45164000</v>
      </c>
    </row>
    <row r="15" spans="1:5" x14ac:dyDescent="0.2">
      <c r="A15" s="1" t="s">
        <v>26</v>
      </c>
      <c r="B15" s="1">
        <v>88066000</v>
      </c>
      <c r="C15" s="1">
        <v>94283000</v>
      </c>
      <c r="D15" s="1">
        <v>15925000</v>
      </c>
      <c r="E15" s="1">
        <v>20757000</v>
      </c>
    </row>
    <row r="16" spans="1:5" x14ac:dyDescent="0.2">
      <c r="A16" s="1" t="s">
        <v>25</v>
      </c>
      <c r="B16" s="1">
        <v>79774000</v>
      </c>
      <c r="C16" s="1">
        <v>123652000</v>
      </c>
      <c r="D16" s="1">
        <v>19992000</v>
      </c>
      <c r="E16" s="1">
        <v>24407000</v>
      </c>
    </row>
    <row r="17" spans="1:5" x14ac:dyDescent="0.2">
      <c r="A17" s="1" t="s">
        <v>23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">
      <c r="A18" s="6" t="s">
        <v>22</v>
      </c>
      <c r="B18" s="4">
        <v>471838000</v>
      </c>
      <c r="C18" s="4">
        <v>418765000</v>
      </c>
      <c r="D18" s="4">
        <v>109324000</v>
      </c>
      <c r="E18" s="4">
        <v>118875000</v>
      </c>
    </row>
    <row r="20" spans="1:5" x14ac:dyDescent="0.2">
      <c r="A20" s="1" t="s">
        <v>21</v>
      </c>
      <c r="B20" s="1">
        <v>679102000</v>
      </c>
      <c r="C20" s="1">
        <v>512356000</v>
      </c>
      <c r="D20" s="1">
        <v>145291000</v>
      </c>
      <c r="E20" s="1">
        <v>140066000</v>
      </c>
    </row>
    <row r="21" spans="1:5" x14ac:dyDescent="0.2">
      <c r="A21" s="1" t="s">
        <v>18</v>
      </c>
      <c r="B21" s="1">
        <v>224982000</v>
      </c>
      <c r="C21" s="1">
        <v>-78624000</v>
      </c>
      <c r="D21" s="1">
        <v>-21167000</v>
      </c>
      <c r="E21" s="1">
        <v>-56774000</v>
      </c>
    </row>
    <row r="22" spans="1:5" x14ac:dyDescent="0.2">
      <c r="A22" s="3" t="s">
        <v>17</v>
      </c>
      <c r="B22" s="3">
        <v>0.26390076540000001</v>
      </c>
      <c r="C22" s="3">
        <v>-0.19840016150000001</v>
      </c>
      <c r="D22" s="3">
        <v>-0.1827987633</v>
      </c>
      <c r="E22" s="3">
        <v>-0.71081229970000004</v>
      </c>
    </row>
    <row r="23" spans="1:5" x14ac:dyDescent="0.2">
      <c r="A23" s="1" t="s">
        <v>20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">
      <c r="A24" s="1" t="s">
        <v>19</v>
      </c>
      <c r="B24" s="1">
        <v>6829000</v>
      </c>
      <c r="C24" s="1">
        <v>3154000</v>
      </c>
      <c r="D24" s="1">
        <v>1781000</v>
      </c>
      <c r="E24" s="1">
        <v>807000</v>
      </c>
    </row>
    <row r="25" spans="1:5" x14ac:dyDescent="0.2">
      <c r="A25" s="6" t="s">
        <v>16</v>
      </c>
      <c r="B25" s="5">
        <v>173423000</v>
      </c>
      <c r="C25" s="5">
        <v>-116066000</v>
      </c>
      <c r="D25" s="5">
        <v>-29497000</v>
      </c>
      <c r="E25" s="5">
        <v>-60194000</v>
      </c>
    </row>
    <row r="26" spans="1:5" x14ac:dyDescent="0.2">
      <c r="A26" s="3" t="s">
        <v>15</v>
      </c>
      <c r="B26" s="7">
        <v>0.20342277349999999</v>
      </c>
      <c r="C26" s="7">
        <v>-0.2928814757</v>
      </c>
      <c r="D26" s="7">
        <v>-0.25473686029999998</v>
      </c>
      <c r="E26" s="7">
        <v>-0.75363080930000004</v>
      </c>
    </row>
    <row r="28" spans="1:5" x14ac:dyDescent="0.2">
      <c r="A28" s="1" t="s">
        <v>14</v>
      </c>
      <c r="B28" s="1">
        <v>44730000</v>
      </c>
      <c r="C28" s="1">
        <v>34288000</v>
      </c>
      <c r="D28" s="1">
        <v>6549000</v>
      </c>
      <c r="E28" s="1">
        <v>2613000</v>
      </c>
    </row>
    <row r="29" spans="1:5" x14ac:dyDescent="0.2">
      <c r="A29" s="1" t="s">
        <v>13</v>
      </c>
      <c r="B29" s="1">
        <v>218153000</v>
      </c>
      <c r="C29" s="1">
        <v>-81778000</v>
      </c>
      <c r="D29" s="1">
        <v>-22948000</v>
      </c>
      <c r="E29" s="1">
        <v>-57581000</v>
      </c>
    </row>
    <row r="30" spans="1:5" x14ac:dyDescent="0.2">
      <c r="A30" s="2" t="s">
        <v>12</v>
      </c>
      <c r="B30" s="2">
        <v>0.25589044309999998</v>
      </c>
      <c r="C30" s="2">
        <v>-0.20635897950000001</v>
      </c>
      <c r="D30" s="2">
        <v>-0.1981795257</v>
      </c>
      <c r="E30" s="2">
        <v>-0.72091596550000003</v>
      </c>
    </row>
    <row r="31" spans="1:5" x14ac:dyDescent="0.2">
      <c r="A31" s="1" t="s">
        <v>11</v>
      </c>
      <c r="B31" s="1">
        <v>-981000</v>
      </c>
      <c r="C31" s="1">
        <v>1643000</v>
      </c>
      <c r="D31" s="1">
        <v>3309000</v>
      </c>
      <c r="E31" s="1">
        <v>764000</v>
      </c>
    </row>
    <row r="32" spans="1:5" x14ac:dyDescent="0.2">
      <c r="A32" s="6" t="s">
        <v>10</v>
      </c>
      <c r="B32" s="5">
        <v>219134000</v>
      </c>
      <c r="C32" s="5">
        <v>-83421000</v>
      </c>
      <c r="D32" s="5">
        <v>-26257000</v>
      </c>
      <c r="E32" s="5">
        <v>-58345000</v>
      </c>
    </row>
    <row r="34" spans="1:5" x14ac:dyDescent="0.2">
      <c r="A34" s="3" t="s">
        <v>9</v>
      </c>
      <c r="B34" s="3">
        <v>0.25704114249999999</v>
      </c>
      <c r="C34" s="3">
        <v>-0.2105049333</v>
      </c>
      <c r="D34" s="3">
        <v>-0.22675613589999999</v>
      </c>
      <c r="E34" s="3">
        <v>-0.73048126999999996</v>
      </c>
    </row>
    <row r="35" spans="1:5" x14ac:dyDescent="0.2">
      <c r="A35" s="2" t="s">
        <v>8</v>
      </c>
      <c r="B35" s="2">
        <v>1.32</v>
      </c>
      <c r="C35" s="2">
        <v>-0.64</v>
      </c>
      <c r="D35" s="2">
        <v>-0.17</v>
      </c>
      <c r="E35" s="2">
        <v>-0.45</v>
      </c>
    </row>
    <row r="36" spans="1:5" x14ac:dyDescent="0.2">
      <c r="A36" s="2" t="s">
        <v>7</v>
      </c>
      <c r="B36" s="2">
        <v>1.22</v>
      </c>
      <c r="C36" s="2">
        <v>-0.64</v>
      </c>
      <c r="D36" s="2">
        <v>-0.17</v>
      </c>
      <c r="E36" s="2">
        <v>-0.45</v>
      </c>
    </row>
    <row r="37" spans="1:5" x14ac:dyDescent="0.2">
      <c r="A37" s="1" t="s">
        <v>6</v>
      </c>
      <c r="B37" s="1">
        <v>166408000</v>
      </c>
      <c r="C37" s="1">
        <v>131262000</v>
      </c>
      <c r="D37" s="1">
        <v>152503000</v>
      </c>
      <c r="E37" s="1">
        <v>130452000</v>
      </c>
    </row>
    <row r="38" spans="1:5" x14ac:dyDescent="0.2">
      <c r="A38" s="1" t="s">
        <v>5</v>
      </c>
      <c r="B38" s="1">
        <v>179551000</v>
      </c>
      <c r="C38" s="1">
        <v>131262000</v>
      </c>
      <c r="D38" s="1">
        <v>152503000</v>
      </c>
      <c r="E38" s="1">
        <v>130452000</v>
      </c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224B-5686-4C44-8528-46074D4EA3D9}">
  <dimension ref="A1:E52"/>
  <sheetViews>
    <sheetView workbookViewId="0"/>
  </sheetViews>
  <sheetFormatPr baseColWidth="10" defaultRowHeight="16" x14ac:dyDescent="0.2"/>
  <cols>
    <col min="1" max="1" width="40.83203125" bestFit="1" customWidth="1"/>
    <col min="2" max="3" width="15.83203125" bestFit="1" customWidth="1"/>
    <col min="4" max="4" width="15" bestFit="1" customWidth="1"/>
    <col min="5" max="5" width="14.33203125" bestFit="1" customWidth="1"/>
  </cols>
  <sheetData>
    <row r="1" spans="1:5" x14ac:dyDescent="0.2">
      <c r="A1" s="10" t="s">
        <v>35</v>
      </c>
      <c r="B1" s="10"/>
      <c r="C1" s="10"/>
      <c r="D1" s="10"/>
      <c r="E1" s="10"/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t="str">
        <f>'ALAB - Income Statement FY'!B3</f>
        <v>USD</v>
      </c>
    </row>
    <row r="4" spans="1:5" x14ac:dyDescent="0.2">
      <c r="A4" t="s">
        <v>32</v>
      </c>
      <c r="B4" s="8" t="s">
        <v>33</v>
      </c>
      <c r="C4" s="8"/>
      <c r="D4" s="8"/>
      <c r="E4" s="8"/>
    </row>
    <row r="5" spans="1:5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</row>
    <row r="7" spans="1:5" x14ac:dyDescent="0.2">
      <c r="A7" s="1" t="s">
        <v>74</v>
      </c>
      <c r="B7" s="1">
        <v>167611000</v>
      </c>
      <c r="C7" s="1">
        <v>79551000</v>
      </c>
      <c r="D7" s="1">
        <v>45098000</v>
      </c>
      <c r="E7" s="1">
        <v>76088000</v>
      </c>
    </row>
    <row r="8" spans="1:5" x14ac:dyDescent="0.2">
      <c r="A8" s="1" t="s">
        <v>73</v>
      </c>
      <c r="B8" s="1">
        <v>1021205000</v>
      </c>
      <c r="C8" s="1">
        <v>834750000</v>
      </c>
      <c r="D8" s="1">
        <v>104215000</v>
      </c>
      <c r="E8" s="1">
        <v>87056000</v>
      </c>
    </row>
    <row r="9" spans="1:5" x14ac:dyDescent="0.2">
      <c r="A9" s="1" t="s">
        <v>72</v>
      </c>
      <c r="B9" s="1">
        <v>1188816000</v>
      </c>
      <c r="C9" s="1">
        <v>914301000</v>
      </c>
      <c r="D9" s="1">
        <v>149313000</v>
      </c>
      <c r="E9" s="1">
        <v>163144000</v>
      </c>
    </row>
    <row r="10" spans="1:5" x14ac:dyDescent="0.2">
      <c r="A10" s="1" t="s">
        <v>71</v>
      </c>
      <c r="B10" s="1">
        <v>83202000</v>
      </c>
      <c r="C10" s="1">
        <v>38811000</v>
      </c>
      <c r="D10" s="1">
        <v>8335000</v>
      </c>
      <c r="E10" s="1">
        <v>10721000</v>
      </c>
    </row>
    <row r="11" spans="1:5" x14ac:dyDescent="0.2">
      <c r="A11" s="1" t="s">
        <v>70</v>
      </c>
      <c r="B11" s="1">
        <v>58979000</v>
      </c>
      <c r="C11" s="1">
        <v>43215000</v>
      </c>
      <c r="D11" s="1">
        <v>24095000</v>
      </c>
      <c r="E11" s="1">
        <v>28874000</v>
      </c>
    </row>
    <row r="12" spans="1:5" x14ac:dyDescent="0.2">
      <c r="A12" s="1" t="s">
        <v>69</v>
      </c>
      <c r="B12" s="1">
        <v>31033000</v>
      </c>
      <c r="C12" s="1">
        <v>16652000</v>
      </c>
      <c r="D12" s="1">
        <v>4064000</v>
      </c>
      <c r="E12" s="1">
        <v>3266000</v>
      </c>
    </row>
    <row r="13" spans="1:5" x14ac:dyDescent="0.2">
      <c r="A13" s="6" t="s">
        <v>68</v>
      </c>
      <c r="B13" s="4">
        <v>1362030000</v>
      </c>
      <c r="C13" s="4">
        <v>1012979000</v>
      </c>
      <c r="D13" s="4">
        <v>185807000</v>
      </c>
      <c r="E13" s="4">
        <v>206005000</v>
      </c>
    </row>
    <row r="15" spans="1:5" x14ac:dyDescent="0.2">
      <c r="A15" s="1" t="s">
        <v>67</v>
      </c>
      <c r="B15" s="1">
        <v>92038000</v>
      </c>
      <c r="C15" s="1">
        <v>35651000</v>
      </c>
      <c r="D15" s="1">
        <v>7581000</v>
      </c>
      <c r="E15" s="1">
        <v>3524000</v>
      </c>
    </row>
    <row r="16" spans="1:5" x14ac:dyDescent="0.2">
      <c r="A16" s="1" t="s">
        <v>66</v>
      </c>
      <c r="B16" s="1">
        <v>0</v>
      </c>
      <c r="C16" s="1">
        <v>0</v>
      </c>
      <c r="D16" s="1">
        <v>0</v>
      </c>
      <c r="E16" s="1">
        <v>0</v>
      </c>
    </row>
    <row r="17" spans="1:5" x14ac:dyDescent="0.2">
      <c r="A17" s="1" t="s">
        <v>65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">
      <c r="A18" s="1" t="s">
        <v>64</v>
      </c>
      <c r="B18" s="1">
        <v>0</v>
      </c>
      <c r="C18" s="1">
        <v>0</v>
      </c>
      <c r="D18" s="1">
        <v>0</v>
      </c>
      <c r="E18" s="1">
        <v>0</v>
      </c>
    </row>
    <row r="19" spans="1:5" x14ac:dyDescent="0.2">
      <c r="A19" s="1" t="s">
        <v>63</v>
      </c>
      <c r="B19" s="1">
        <v>0</v>
      </c>
      <c r="C19" s="1">
        <v>0</v>
      </c>
      <c r="D19" s="1">
        <v>0</v>
      </c>
      <c r="E19" s="1">
        <v>0</v>
      </c>
    </row>
    <row r="20" spans="1:5" x14ac:dyDescent="0.2">
      <c r="A20" s="1" t="s">
        <v>62</v>
      </c>
      <c r="B20" s="1">
        <v>0</v>
      </c>
      <c r="C20" s="1">
        <v>0</v>
      </c>
      <c r="D20" s="1">
        <v>0</v>
      </c>
      <c r="E20" s="1">
        <v>0</v>
      </c>
    </row>
    <row r="21" spans="1:5" x14ac:dyDescent="0.2">
      <c r="A21" s="1" t="s">
        <v>61</v>
      </c>
      <c r="B21" s="1">
        <v>77755000</v>
      </c>
      <c r="C21" s="1">
        <v>5878000</v>
      </c>
      <c r="D21" s="1">
        <v>2904000</v>
      </c>
      <c r="E21" s="1">
        <v>2202000</v>
      </c>
    </row>
    <row r="22" spans="1:5" x14ac:dyDescent="0.2">
      <c r="A22" s="6" t="s">
        <v>60</v>
      </c>
      <c r="B22" s="4">
        <v>169793000</v>
      </c>
      <c r="C22" s="4">
        <v>41529000</v>
      </c>
      <c r="D22" s="4">
        <v>10485000</v>
      </c>
      <c r="E22" s="4">
        <v>5726000</v>
      </c>
    </row>
    <row r="24" spans="1:5" x14ac:dyDescent="0.2">
      <c r="A24" s="1" t="s">
        <v>59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">
      <c r="A25" s="6" t="s">
        <v>58</v>
      </c>
      <c r="B25" s="5">
        <v>1531823000</v>
      </c>
      <c r="C25" s="5">
        <v>1054508000</v>
      </c>
      <c r="D25" s="5">
        <v>196292000</v>
      </c>
      <c r="E25" s="5">
        <v>211731000</v>
      </c>
    </row>
    <row r="27" spans="1:5" x14ac:dyDescent="0.2">
      <c r="A27" s="1" t="s">
        <v>57</v>
      </c>
      <c r="B27" s="1">
        <v>42362000</v>
      </c>
      <c r="C27" s="1">
        <v>26918000</v>
      </c>
      <c r="D27" s="1">
        <v>6337000</v>
      </c>
      <c r="E27" s="1">
        <v>10295000</v>
      </c>
    </row>
    <row r="28" spans="1:5" x14ac:dyDescent="0.2">
      <c r="A28" s="1" t="s">
        <v>56</v>
      </c>
      <c r="B28" s="1">
        <v>0</v>
      </c>
      <c r="C28" s="1">
        <v>1286000</v>
      </c>
      <c r="D28" s="1">
        <v>2156000</v>
      </c>
      <c r="E28" s="1">
        <v>1597000</v>
      </c>
    </row>
    <row r="29" spans="1:5" x14ac:dyDescent="0.2">
      <c r="A29" s="1" t="s">
        <v>55</v>
      </c>
      <c r="B29" s="1">
        <v>0</v>
      </c>
      <c r="C29" s="1">
        <v>0</v>
      </c>
      <c r="D29" s="1">
        <v>0</v>
      </c>
      <c r="E29" s="1">
        <v>0</v>
      </c>
    </row>
    <row r="30" spans="1:5" x14ac:dyDescent="0.2">
      <c r="A30" s="1" t="s">
        <v>54</v>
      </c>
      <c r="B30" s="1">
        <v>0</v>
      </c>
      <c r="C30" s="1">
        <v>15000000</v>
      </c>
      <c r="D30" s="1">
        <v>0</v>
      </c>
      <c r="E30" s="1">
        <v>0</v>
      </c>
    </row>
    <row r="31" spans="1:5" x14ac:dyDescent="0.2">
      <c r="A31" s="1" t="s">
        <v>53</v>
      </c>
      <c r="B31" s="1">
        <v>90680000</v>
      </c>
      <c r="C31" s="1">
        <v>43338000</v>
      </c>
      <c r="D31" s="1">
        <v>26586000</v>
      </c>
      <c r="E31" s="1">
        <v>28198000</v>
      </c>
    </row>
    <row r="32" spans="1:5" x14ac:dyDescent="0.2">
      <c r="A32" s="6" t="s">
        <v>52</v>
      </c>
      <c r="B32" s="4">
        <v>133042000</v>
      </c>
      <c r="C32" s="4">
        <v>86542000</v>
      </c>
      <c r="D32" s="4">
        <v>35079000</v>
      </c>
      <c r="E32" s="4">
        <v>40090000</v>
      </c>
    </row>
    <row r="34" spans="1:5" x14ac:dyDescent="0.2">
      <c r="A34" s="1" t="s">
        <v>51</v>
      </c>
      <c r="B34" s="1">
        <v>35147000</v>
      </c>
      <c r="C34" s="1">
        <v>0</v>
      </c>
      <c r="D34" s="1">
        <v>778000</v>
      </c>
      <c r="E34" s="1">
        <v>0</v>
      </c>
    </row>
    <row r="35" spans="1:5" x14ac:dyDescent="0.2">
      <c r="A35" s="1" t="s">
        <v>50</v>
      </c>
      <c r="B35" s="1">
        <v>0</v>
      </c>
      <c r="C35" s="1">
        <v>0</v>
      </c>
      <c r="D35" s="1">
        <v>0</v>
      </c>
      <c r="E35" s="1">
        <v>0</v>
      </c>
    </row>
    <row r="36" spans="1:5" x14ac:dyDescent="0.2">
      <c r="A36" s="1" t="s">
        <v>49</v>
      </c>
      <c r="B36" s="1">
        <v>0</v>
      </c>
      <c r="C36" s="1">
        <v>0</v>
      </c>
      <c r="D36" s="1">
        <v>0</v>
      </c>
      <c r="E36" s="1">
        <v>0</v>
      </c>
    </row>
    <row r="37" spans="1:5" x14ac:dyDescent="0.2">
      <c r="A37" s="1" t="s">
        <v>48</v>
      </c>
      <c r="B37" s="1">
        <v>0</v>
      </c>
      <c r="C37" s="1">
        <v>3167000</v>
      </c>
      <c r="D37" s="1">
        <v>3009000</v>
      </c>
      <c r="E37" s="1">
        <v>256933000</v>
      </c>
    </row>
    <row r="38" spans="1:5" x14ac:dyDescent="0.2">
      <c r="A38" s="6" t="s">
        <v>47</v>
      </c>
      <c r="B38" s="4">
        <v>35146999</v>
      </c>
      <c r="C38" s="4">
        <v>3167000</v>
      </c>
      <c r="D38" s="4">
        <v>3787000</v>
      </c>
      <c r="E38" s="4">
        <v>256933000</v>
      </c>
    </row>
    <row r="40" spans="1:5" x14ac:dyDescent="0.2">
      <c r="A40" s="1" t="s">
        <v>46</v>
      </c>
      <c r="B40" s="1">
        <v>0</v>
      </c>
      <c r="C40" s="1">
        <v>0</v>
      </c>
      <c r="D40" s="1">
        <v>0</v>
      </c>
      <c r="E40" s="1">
        <v>0</v>
      </c>
    </row>
    <row r="41" spans="1:5" x14ac:dyDescent="0.2">
      <c r="A41" s="6" t="s">
        <v>45</v>
      </c>
      <c r="B41" s="5">
        <v>168189000</v>
      </c>
      <c r="C41" s="5">
        <v>89709000</v>
      </c>
      <c r="D41" s="5">
        <v>38866000</v>
      </c>
      <c r="E41" s="5">
        <v>297023000</v>
      </c>
    </row>
    <row r="43" spans="1:5" x14ac:dyDescent="0.2">
      <c r="A43" s="1" t="s">
        <v>44</v>
      </c>
      <c r="B43" s="1">
        <v>17000</v>
      </c>
      <c r="C43" s="1">
        <v>16000</v>
      </c>
      <c r="D43" s="1">
        <v>4000</v>
      </c>
      <c r="E43" s="1">
        <v>4000</v>
      </c>
    </row>
    <row r="44" spans="1:5" x14ac:dyDescent="0.2">
      <c r="A44" s="1" t="s">
        <v>43</v>
      </c>
      <c r="B44" s="1">
        <v>10338000</v>
      </c>
      <c r="C44" s="1">
        <v>-208796000</v>
      </c>
      <c r="D44" s="1">
        <v>-125375000</v>
      </c>
      <c r="E44" s="1">
        <v>-99118000</v>
      </c>
    </row>
    <row r="45" spans="1:5" x14ac:dyDescent="0.2">
      <c r="A45" s="1" t="s">
        <v>42</v>
      </c>
      <c r="B45" s="1">
        <v>4310000</v>
      </c>
      <c r="C45" s="1">
        <v>426000</v>
      </c>
      <c r="D45" s="1">
        <v>259000</v>
      </c>
      <c r="E45" s="1">
        <v>-229000</v>
      </c>
    </row>
    <row r="46" spans="1:5" x14ac:dyDescent="0.2">
      <c r="A46" s="1" t="s">
        <v>41</v>
      </c>
      <c r="B46" s="1">
        <v>1348969000</v>
      </c>
      <c r="C46" s="1">
        <v>1173153000</v>
      </c>
      <c r="D46" s="1">
        <v>27411000</v>
      </c>
      <c r="E46" s="1">
        <v>14051000</v>
      </c>
    </row>
    <row r="47" spans="1:5" x14ac:dyDescent="0.2">
      <c r="A47" s="6" t="s">
        <v>40</v>
      </c>
      <c r="B47" s="5">
        <v>1363634000</v>
      </c>
      <c r="C47" s="5">
        <v>964799000</v>
      </c>
      <c r="D47" s="5">
        <v>157426000</v>
      </c>
      <c r="E47" s="5">
        <v>-85292000</v>
      </c>
    </row>
    <row r="49" spans="1:5" x14ac:dyDescent="0.2">
      <c r="A49" s="1" t="s">
        <v>39</v>
      </c>
      <c r="B49" s="1">
        <v>1531823000</v>
      </c>
      <c r="C49" s="1">
        <v>1054508000</v>
      </c>
      <c r="D49" s="1">
        <v>196292000</v>
      </c>
      <c r="E49" s="1">
        <v>211731000</v>
      </c>
    </row>
    <row r="50" spans="1:5" x14ac:dyDescent="0.2">
      <c r="A50" s="1" t="s">
        <v>38</v>
      </c>
      <c r="B50" s="1">
        <v>1021205000</v>
      </c>
      <c r="C50" s="1">
        <v>834750000</v>
      </c>
      <c r="D50" s="1">
        <v>104215000</v>
      </c>
      <c r="E50" s="1">
        <v>87056000</v>
      </c>
    </row>
    <row r="51" spans="1:5" x14ac:dyDescent="0.2">
      <c r="A51" s="1" t="s">
        <v>37</v>
      </c>
      <c r="B51" s="1">
        <v>35147000</v>
      </c>
      <c r="C51" s="1">
        <v>1286000</v>
      </c>
      <c r="D51" s="1">
        <v>2934000</v>
      </c>
      <c r="E51" s="1">
        <v>1597000</v>
      </c>
    </row>
    <row r="52" spans="1:5" x14ac:dyDescent="0.2">
      <c r="A52" s="1" t="s">
        <v>36</v>
      </c>
      <c r="B52" s="1">
        <v>-132464000</v>
      </c>
      <c r="C52" s="1">
        <v>-78265000</v>
      </c>
      <c r="D52" s="1">
        <v>-42164000</v>
      </c>
      <c r="E52" s="1">
        <v>-74491000</v>
      </c>
    </row>
  </sheetData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847A-D16C-374D-B52A-E4DB538CF87F}">
  <dimension ref="A1:E39"/>
  <sheetViews>
    <sheetView workbookViewId="0"/>
  </sheetViews>
  <sheetFormatPr baseColWidth="10" defaultRowHeight="16" x14ac:dyDescent="0.2"/>
  <cols>
    <col min="1" max="1" width="40.5" bestFit="1" customWidth="1"/>
    <col min="2" max="4" width="15" bestFit="1" customWidth="1"/>
    <col min="5" max="5" width="14.33203125" bestFit="1" customWidth="1"/>
  </cols>
  <sheetData>
    <row r="1" spans="1:5" x14ac:dyDescent="0.2">
      <c r="A1" s="10" t="s">
        <v>75</v>
      </c>
      <c r="B1" s="10"/>
      <c r="C1" s="10"/>
      <c r="D1" s="10"/>
      <c r="E1" s="10"/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t="str">
        <f>'ALAB - Income Statement FY'!B3</f>
        <v>USD</v>
      </c>
    </row>
    <row r="4" spans="1:5" x14ac:dyDescent="0.2">
      <c r="A4" t="s">
        <v>32</v>
      </c>
      <c r="B4" s="8" t="s">
        <v>33</v>
      </c>
      <c r="C4" s="8"/>
      <c r="D4" s="8"/>
      <c r="E4" s="8"/>
    </row>
    <row r="5" spans="1:5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</row>
    <row r="7" spans="1:5" x14ac:dyDescent="0.2">
      <c r="A7" s="6" t="s">
        <v>10</v>
      </c>
      <c r="B7" s="5">
        <v>219134000</v>
      </c>
      <c r="C7" s="5">
        <v>-83421000</v>
      </c>
      <c r="D7" s="5">
        <v>-26257000</v>
      </c>
      <c r="E7" s="5">
        <v>-58345000</v>
      </c>
    </row>
    <row r="8" spans="1:5" x14ac:dyDescent="0.2">
      <c r="A8" s="1" t="s">
        <v>19</v>
      </c>
      <c r="B8" s="1">
        <v>6829000</v>
      </c>
      <c r="C8" s="1">
        <v>3154000</v>
      </c>
      <c r="D8" s="1">
        <v>1781000</v>
      </c>
      <c r="E8" s="1">
        <v>807000</v>
      </c>
    </row>
    <row r="9" spans="1:5" x14ac:dyDescent="0.2">
      <c r="A9" s="1" t="s">
        <v>102</v>
      </c>
      <c r="B9" s="1">
        <v>0</v>
      </c>
      <c r="C9" s="1">
        <v>0</v>
      </c>
      <c r="D9" s="1">
        <v>0</v>
      </c>
      <c r="E9" s="1">
        <v>0</v>
      </c>
    </row>
    <row r="10" spans="1:5" x14ac:dyDescent="0.2">
      <c r="A10" s="1" t="s">
        <v>101</v>
      </c>
      <c r="B10" s="1">
        <v>160033000</v>
      </c>
      <c r="C10" s="1">
        <v>234588000</v>
      </c>
      <c r="D10" s="1">
        <v>10679000</v>
      </c>
      <c r="E10" s="1">
        <v>30235000</v>
      </c>
    </row>
    <row r="11" spans="1:5" x14ac:dyDescent="0.2">
      <c r="A11" s="1" t="s">
        <v>100</v>
      </c>
      <c r="B11" s="1">
        <v>-65964000</v>
      </c>
      <c r="C11" s="1">
        <v>-13295000</v>
      </c>
      <c r="D11" s="1">
        <v>-9675000</v>
      </c>
      <c r="E11" s="1">
        <v>-9971000</v>
      </c>
    </row>
    <row r="12" spans="1:5" x14ac:dyDescent="0.2">
      <c r="A12" s="1" t="s">
        <v>99</v>
      </c>
      <c r="B12" s="1">
        <v>-44343000</v>
      </c>
      <c r="C12" s="1">
        <v>-30480000</v>
      </c>
      <c r="D12" s="1">
        <v>2386000</v>
      </c>
      <c r="E12" s="1">
        <v>-6037000</v>
      </c>
    </row>
    <row r="13" spans="1:5" x14ac:dyDescent="0.2">
      <c r="A13" s="1" t="s">
        <v>70</v>
      </c>
      <c r="B13" s="1">
        <v>-12950000</v>
      </c>
      <c r="C13" s="1">
        <v>-19287000</v>
      </c>
      <c r="D13" s="1">
        <v>-5564000</v>
      </c>
      <c r="E13" s="1">
        <v>-19358000</v>
      </c>
    </row>
    <row r="14" spans="1:5" x14ac:dyDescent="0.2">
      <c r="A14" s="1" t="s">
        <v>98</v>
      </c>
      <c r="B14" s="1">
        <v>14194000</v>
      </c>
      <c r="C14" s="1">
        <v>20887000</v>
      </c>
      <c r="D14" s="1">
        <v>-4264000</v>
      </c>
      <c r="E14" s="1">
        <v>2126000</v>
      </c>
    </row>
    <row r="15" spans="1:5" x14ac:dyDescent="0.2">
      <c r="A15" s="1" t="s">
        <v>97</v>
      </c>
      <c r="B15" s="1">
        <v>-22865000</v>
      </c>
      <c r="C15" s="1">
        <v>15585000</v>
      </c>
      <c r="D15" s="1">
        <v>-2233000</v>
      </c>
      <c r="E15" s="1">
        <v>13298000</v>
      </c>
    </row>
    <row r="16" spans="1:5" x14ac:dyDescent="0.2">
      <c r="A16" s="1" t="s">
        <v>96</v>
      </c>
      <c r="B16" s="1">
        <v>-726000</v>
      </c>
      <c r="C16" s="1">
        <v>-4350000</v>
      </c>
      <c r="D16" s="1">
        <v>10756000</v>
      </c>
      <c r="E16" s="1">
        <v>1376000</v>
      </c>
    </row>
    <row r="17" spans="1:5" x14ac:dyDescent="0.2">
      <c r="A17" s="6" t="s">
        <v>95</v>
      </c>
      <c r="B17" s="4">
        <v>319306000</v>
      </c>
      <c r="C17" s="4">
        <v>136676000</v>
      </c>
      <c r="D17" s="4">
        <v>-12716000</v>
      </c>
      <c r="E17" s="4">
        <v>-35898000</v>
      </c>
    </row>
    <row r="19" spans="1:5" x14ac:dyDescent="0.2">
      <c r="A19" s="1" t="s">
        <v>94</v>
      </c>
      <c r="B19" s="1">
        <v>-37544000</v>
      </c>
      <c r="C19" s="1">
        <v>-34245000</v>
      </c>
      <c r="D19" s="1">
        <v>-2761000</v>
      </c>
      <c r="E19" s="1">
        <v>-3873000</v>
      </c>
    </row>
    <row r="20" spans="1:5" x14ac:dyDescent="0.2">
      <c r="A20" s="1" t="s">
        <v>93</v>
      </c>
      <c r="B20" s="1">
        <v>-28786000</v>
      </c>
      <c r="C20" s="1">
        <v>0</v>
      </c>
      <c r="D20" s="1">
        <v>0</v>
      </c>
      <c r="E20" s="1">
        <v>0</v>
      </c>
    </row>
    <row r="21" spans="1:5" x14ac:dyDescent="0.2">
      <c r="A21" s="1" t="s">
        <v>92</v>
      </c>
      <c r="B21" s="1">
        <v>-857753000</v>
      </c>
      <c r="C21" s="1">
        <v>-930575000</v>
      </c>
      <c r="D21" s="1">
        <v>-126225000</v>
      </c>
      <c r="E21" s="1">
        <v>-88713000</v>
      </c>
    </row>
    <row r="22" spans="1:5" x14ac:dyDescent="0.2">
      <c r="A22" s="1" t="s">
        <v>91</v>
      </c>
      <c r="B22" s="1">
        <v>683114000</v>
      </c>
      <c r="C22" s="1">
        <v>208665000</v>
      </c>
      <c r="D22" s="1">
        <v>111214000</v>
      </c>
      <c r="E22" s="1">
        <v>1996000</v>
      </c>
    </row>
    <row r="23" spans="1:5" x14ac:dyDescent="0.2">
      <c r="A23" s="1" t="s">
        <v>90</v>
      </c>
      <c r="B23" s="1">
        <v>-500000</v>
      </c>
      <c r="C23" s="1">
        <v>-1413000</v>
      </c>
      <c r="D23" s="1">
        <v>0</v>
      </c>
      <c r="E23" s="1">
        <v>0</v>
      </c>
    </row>
    <row r="24" spans="1:5" x14ac:dyDescent="0.2">
      <c r="A24" s="6" t="s">
        <v>89</v>
      </c>
      <c r="B24" s="4">
        <v>-241469000</v>
      </c>
      <c r="C24" s="4">
        <v>-757568000</v>
      </c>
      <c r="D24" s="4">
        <v>-17772000</v>
      </c>
      <c r="E24" s="4">
        <v>-90590000</v>
      </c>
    </row>
    <row r="26" spans="1:5" x14ac:dyDescent="0.2">
      <c r="A26" s="1" t="s">
        <v>88</v>
      </c>
      <c r="B26" s="1">
        <v>0</v>
      </c>
      <c r="C26" s="1">
        <v>0</v>
      </c>
      <c r="D26" s="1">
        <v>0</v>
      </c>
      <c r="E26" s="1">
        <v>0</v>
      </c>
    </row>
    <row r="27" spans="1:5" x14ac:dyDescent="0.2">
      <c r="A27" s="1" t="s">
        <v>87</v>
      </c>
      <c r="B27" s="1">
        <v>9803000</v>
      </c>
      <c r="C27" s="1">
        <v>672198000</v>
      </c>
      <c r="D27" s="1">
        <v>0</v>
      </c>
      <c r="E27" s="1">
        <v>0</v>
      </c>
    </row>
    <row r="28" spans="1:5" x14ac:dyDescent="0.2">
      <c r="A28" s="1" t="s">
        <v>86</v>
      </c>
      <c r="B28" s="1">
        <v>0</v>
      </c>
      <c r="C28" s="1">
        <v>-1066000</v>
      </c>
      <c r="D28" s="1">
        <v>-210000</v>
      </c>
      <c r="E28" s="1">
        <v>-313000</v>
      </c>
    </row>
    <row r="29" spans="1:5" x14ac:dyDescent="0.2">
      <c r="A29" s="1" t="s">
        <v>85</v>
      </c>
      <c r="B29" s="1">
        <v>0</v>
      </c>
      <c r="C29" s="1">
        <v>0</v>
      </c>
      <c r="D29" s="1">
        <v>0</v>
      </c>
      <c r="E29" s="1">
        <v>0</v>
      </c>
    </row>
    <row r="30" spans="1:5" x14ac:dyDescent="0.2">
      <c r="A30" s="1" t="s">
        <v>84</v>
      </c>
      <c r="B30" s="1">
        <v>0</v>
      </c>
      <c r="C30" s="1">
        <v>-15294000</v>
      </c>
      <c r="D30" s="1">
        <v>-292000</v>
      </c>
      <c r="E30" s="1">
        <v>151981000</v>
      </c>
    </row>
    <row r="31" spans="1:5" x14ac:dyDescent="0.2">
      <c r="A31" s="6" t="s">
        <v>83</v>
      </c>
      <c r="B31" s="4">
        <v>9803000</v>
      </c>
      <c r="C31" s="4">
        <v>655838000</v>
      </c>
      <c r="D31" s="4">
        <v>-502000</v>
      </c>
      <c r="E31" s="4">
        <v>151668000</v>
      </c>
    </row>
    <row r="33" spans="1:5" x14ac:dyDescent="0.2">
      <c r="A33" s="1" t="s">
        <v>82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2">
      <c r="A34" s="1" t="s">
        <v>81</v>
      </c>
      <c r="B34" s="1">
        <v>87640000</v>
      </c>
      <c r="C34" s="1">
        <v>34946000</v>
      </c>
      <c r="D34" s="1">
        <v>-30990000</v>
      </c>
      <c r="E34" s="1">
        <v>25180000</v>
      </c>
    </row>
    <row r="35" spans="1:5" x14ac:dyDescent="0.2">
      <c r="A35" s="1" t="s">
        <v>80</v>
      </c>
      <c r="B35" s="1">
        <v>167684000</v>
      </c>
      <c r="C35" s="1">
        <v>80044000</v>
      </c>
      <c r="D35" s="1">
        <v>45098000</v>
      </c>
      <c r="E35" s="1">
        <v>76088000</v>
      </c>
    </row>
    <row r="36" spans="1:5" x14ac:dyDescent="0.2">
      <c r="A36" s="1" t="s">
        <v>79</v>
      </c>
      <c r="B36" s="1">
        <v>80044000</v>
      </c>
      <c r="C36" s="1">
        <v>45098000</v>
      </c>
      <c r="D36" s="1">
        <v>76088000</v>
      </c>
      <c r="E36" s="1">
        <v>50908000</v>
      </c>
    </row>
    <row r="37" spans="1:5" x14ac:dyDescent="0.2">
      <c r="A37" s="1" t="s">
        <v>78</v>
      </c>
      <c r="B37" s="1">
        <v>319306000</v>
      </c>
      <c r="C37" s="1">
        <v>136676000</v>
      </c>
      <c r="D37" s="1">
        <v>-12716000</v>
      </c>
      <c r="E37" s="1">
        <v>-35898000</v>
      </c>
    </row>
    <row r="38" spans="1:5" x14ac:dyDescent="0.2">
      <c r="A38" s="1" t="s">
        <v>77</v>
      </c>
      <c r="B38" s="1">
        <v>-37544000</v>
      </c>
      <c r="C38" s="1">
        <v>-34245000</v>
      </c>
      <c r="D38" s="1">
        <v>-2761000</v>
      </c>
      <c r="E38" s="1">
        <v>-3873000</v>
      </c>
    </row>
    <row r="39" spans="1:5" x14ac:dyDescent="0.2">
      <c r="A39" s="6" t="s">
        <v>76</v>
      </c>
      <c r="B39" s="5">
        <v>281762000</v>
      </c>
      <c r="C39" s="5">
        <v>102431000</v>
      </c>
      <c r="D39" s="5">
        <v>-15477000</v>
      </c>
      <c r="E39" s="5">
        <v>-39771000</v>
      </c>
    </row>
  </sheetData>
  <mergeCells count="1"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FC1F-7250-3F42-9F7C-BCF63B2FA183}">
  <dimension ref="A1:E61"/>
  <sheetViews>
    <sheetView workbookViewId="0"/>
  </sheetViews>
  <sheetFormatPr baseColWidth="10" defaultRowHeight="16" x14ac:dyDescent="0.2"/>
  <cols>
    <col min="1" max="1" width="38" bestFit="1" customWidth="1"/>
    <col min="2" max="3" width="17" bestFit="1" customWidth="1"/>
    <col min="4" max="5" width="15.83203125" bestFit="1" customWidth="1"/>
  </cols>
  <sheetData>
    <row r="1" spans="1:5" x14ac:dyDescent="0.2">
      <c r="A1" s="10" t="s">
        <v>103</v>
      </c>
      <c r="B1" s="10"/>
      <c r="C1" s="10"/>
      <c r="D1" s="10"/>
      <c r="E1" s="10"/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t="str">
        <f>'ALAB - Income Statement FY'!B3</f>
        <v>USD</v>
      </c>
    </row>
    <row r="4" spans="1:5" x14ac:dyDescent="0.2">
      <c r="A4" t="s">
        <v>32</v>
      </c>
      <c r="B4" s="8" t="s">
        <v>33</v>
      </c>
      <c r="C4" s="8"/>
      <c r="D4" s="8"/>
      <c r="E4" s="8"/>
    </row>
    <row r="5" spans="1:5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</row>
    <row r="6" spans="1:5" x14ac:dyDescent="0.2">
      <c r="A6" s="2" t="s">
        <v>159</v>
      </c>
      <c r="B6" s="2">
        <v>5.1231010528339986</v>
      </c>
      <c r="C6" s="2">
        <v>3.0190763511145646</v>
      </c>
      <c r="D6" s="2">
        <v>0.75928998118069813</v>
      </c>
      <c r="E6" s="2">
        <v>0.61227118020421301</v>
      </c>
    </row>
    <row r="7" spans="1:5" x14ac:dyDescent="0.2">
      <c r="A7" s="2" t="s">
        <v>158</v>
      </c>
      <c r="B7" s="2">
        <v>1.3168477477044374</v>
      </c>
      <c r="C7" s="2">
        <v>-0.63553046578598527</v>
      </c>
      <c r="D7" s="2">
        <v>-0.17217366215746577</v>
      </c>
      <c r="E7" s="2">
        <v>-0.44725262931959647</v>
      </c>
    </row>
    <row r="8" spans="1:5" x14ac:dyDescent="0.2">
      <c r="A8" s="2" t="s">
        <v>157</v>
      </c>
      <c r="B8" s="2">
        <v>1.9188139993269555</v>
      </c>
      <c r="C8" s="2">
        <v>1.0412457527692707</v>
      </c>
      <c r="D8" s="2">
        <v>-8.3381966256401513E-2</v>
      </c>
      <c r="E8" s="2">
        <v>-0.27518167601876553</v>
      </c>
    </row>
    <row r="9" spans="1:5" x14ac:dyDescent="0.2">
      <c r="A9" s="2" t="s">
        <v>156</v>
      </c>
      <c r="B9" s="2">
        <v>1.6931998461612423</v>
      </c>
      <c r="C9" s="2">
        <v>0.78035531989456197</v>
      </c>
      <c r="D9" s="2">
        <v>-0.10148652813387278</v>
      </c>
      <c r="E9" s="2">
        <v>-0.30487075706006805</v>
      </c>
    </row>
    <row r="10" spans="1:5" x14ac:dyDescent="0.2">
      <c r="A10" s="2" t="s">
        <v>155</v>
      </c>
      <c r="B10" s="2">
        <v>7.1439834623335416</v>
      </c>
      <c r="C10" s="2">
        <v>6.9654660145358136</v>
      </c>
      <c r="D10" s="2">
        <v>0.97908237870730408</v>
      </c>
      <c r="E10" s="2">
        <v>1.2506055867292185</v>
      </c>
    </row>
    <row r="11" spans="1:5" x14ac:dyDescent="0.2">
      <c r="A11" s="2" t="s">
        <v>154</v>
      </c>
      <c r="B11" s="2">
        <v>8.1945218979856733</v>
      </c>
      <c r="C11" s="2">
        <v>7.3501775075802591</v>
      </c>
      <c r="D11" s="2">
        <v>1.0322813321705147</v>
      </c>
      <c r="E11" s="2">
        <v>-0.65381902922147606</v>
      </c>
    </row>
    <row r="12" spans="1:5" x14ac:dyDescent="0.2">
      <c r="A12" s="2" t="s">
        <v>153</v>
      </c>
      <c r="B12" s="2">
        <v>8.1945218979856733</v>
      </c>
      <c r="C12" s="2">
        <v>7.3501775075802591</v>
      </c>
      <c r="D12" s="2">
        <v>1.0322813321705147</v>
      </c>
      <c r="E12" s="2">
        <v>-0.65381902922147606</v>
      </c>
    </row>
    <row r="13" spans="1:5" x14ac:dyDescent="0.2">
      <c r="A13" s="2" t="s">
        <v>152</v>
      </c>
      <c r="B13" s="2">
        <v>8.1945218979856733</v>
      </c>
      <c r="C13" s="2">
        <v>7.3501775075802591</v>
      </c>
      <c r="D13" s="2">
        <v>1.0322813321705147</v>
      </c>
      <c r="E13" s="2">
        <v>-0.65381902922147606</v>
      </c>
    </row>
    <row r="14" spans="1:5" x14ac:dyDescent="0.2">
      <c r="A14" s="2" t="s">
        <v>151</v>
      </c>
      <c r="B14" s="2">
        <v>0.21120979760588432</v>
      </c>
      <c r="C14" s="2">
        <v>9.7971994941414876E-3</v>
      </c>
      <c r="D14" s="2">
        <v>1.9238965790836903E-2</v>
      </c>
      <c r="E14" s="2">
        <v>1.2242050715972159E-2</v>
      </c>
    </row>
    <row r="15" spans="1:5" x14ac:dyDescent="0.2">
      <c r="A15" s="1" t="s">
        <v>150</v>
      </c>
      <c r="B15" s="1">
        <v>27683634880.000004</v>
      </c>
      <c r="C15" s="1">
        <v>17385651900</v>
      </c>
      <c r="D15" s="1">
        <v>9459761090</v>
      </c>
      <c r="E15" s="1">
        <v>8091937560</v>
      </c>
    </row>
    <row r="16" spans="1:5" x14ac:dyDescent="0.2">
      <c r="A16" s="1" t="s">
        <v>149</v>
      </c>
      <c r="B16" s="1">
        <v>27551170880.000004</v>
      </c>
      <c r="C16" s="1">
        <v>17307386900</v>
      </c>
      <c r="D16" s="1">
        <v>9417597090</v>
      </c>
      <c r="E16" s="1">
        <v>8017446560</v>
      </c>
    </row>
    <row r="17" spans="1:5" x14ac:dyDescent="0.2">
      <c r="A17" s="2" t="s">
        <v>148</v>
      </c>
      <c r="B17" s="2">
        <v>126.03030303030303</v>
      </c>
      <c r="C17" s="2">
        <v>-206.95312499999997</v>
      </c>
      <c r="D17" s="2">
        <v>-364.88235294117646</v>
      </c>
      <c r="E17" s="2">
        <v>-137.84444444444443</v>
      </c>
    </row>
    <row r="18" spans="1:5" x14ac:dyDescent="0.2">
      <c r="A18" s="2" t="s">
        <v>147</v>
      </c>
      <c r="B18" s="2">
        <v>32.472519726694237</v>
      </c>
      <c r="C18" s="2">
        <v>43.871033586514926</v>
      </c>
      <c r="D18" s="2">
        <v>81.69474316458539</v>
      </c>
      <c r="E18" s="2">
        <v>101.31131760817307</v>
      </c>
    </row>
    <row r="19" spans="1:5" x14ac:dyDescent="0.2">
      <c r="A19" s="2" t="s">
        <v>146</v>
      </c>
      <c r="B19" s="2">
        <v>86.699388298372099</v>
      </c>
      <c r="C19" s="2">
        <v>127.20340001170651</v>
      </c>
      <c r="D19" s="2">
        <v>-743.9258485372759</v>
      </c>
      <c r="E19" s="2">
        <v>-225.41471836871133</v>
      </c>
    </row>
    <row r="20" spans="1:5" x14ac:dyDescent="0.2">
      <c r="A20" s="2" t="s">
        <v>145</v>
      </c>
      <c r="B20" s="2">
        <v>98.251839779672224</v>
      </c>
      <c r="C20" s="2">
        <v>169.73037361736192</v>
      </c>
      <c r="D20" s="2">
        <v>-611.21412999935387</v>
      </c>
      <c r="E20" s="2">
        <v>-203.4632661989892</v>
      </c>
    </row>
    <row r="21" spans="1:5" x14ac:dyDescent="0.2">
      <c r="A21" s="2" t="s">
        <v>144</v>
      </c>
      <c r="B21" s="2">
        <v>20.301367434370221</v>
      </c>
      <c r="C21" s="2">
        <v>18.019972968462859</v>
      </c>
      <c r="D21" s="2">
        <v>60.090208034251013</v>
      </c>
      <c r="E21" s="2">
        <v>-94.87334755897389</v>
      </c>
    </row>
    <row r="22" spans="1:5" x14ac:dyDescent="0.2">
      <c r="A22" s="2" t="s">
        <v>143</v>
      </c>
      <c r="B22" s="2">
        <v>20.301367434370221</v>
      </c>
      <c r="C22" s="2">
        <v>18.019972968462859</v>
      </c>
      <c r="D22" s="2">
        <v>60.090208034251013</v>
      </c>
      <c r="E22" s="2">
        <v>-94.87334755897389</v>
      </c>
    </row>
    <row r="23" spans="1:5" x14ac:dyDescent="0.2">
      <c r="A23" s="2" t="s">
        <v>142</v>
      </c>
      <c r="B23" s="2">
        <v>32.317141292044226</v>
      </c>
      <c r="C23" s="2">
        <v>43.673539327260343</v>
      </c>
      <c r="D23" s="2">
        <v>81.330613762371101</v>
      </c>
      <c r="E23" s="2">
        <v>100.37868790064103</v>
      </c>
    </row>
    <row r="24" spans="1:5" x14ac:dyDescent="0.2">
      <c r="A24" s="2" t="s">
        <v>141</v>
      </c>
      <c r="B24" s="2">
        <v>122.45944511116447</v>
      </c>
      <c r="C24" s="2">
        <v>-220.12854726292227</v>
      </c>
      <c r="D24" s="2">
        <v>-444.91884017574529</v>
      </c>
      <c r="E24" s="2">
        <v>-141.21686969387395</v>
      </c>
    </row>
    <row r="25" spans="1:5" x14ac:dyDescent="0.2">
      <c r="A25" s="2" t="s">
        <v>140</v>
      </c>
      <c r="B25" s="2">
        <v>86.284538593073734</v>
      </c>
      <c r="C25" s="2">
        <v>126.63076838654921</v>
      </c>
      <c r="D25" s="2">
        <v>-740.61002595155708</v>
      </c>
      <c r="E25" s="2">
        <v>-223.33964454844281</v>
      </c>
    </row>
    <row r="26" spans="1:5" x14ac:dyDescent="0.2">
      <c r="A26" s="2" t="s">
        <v>139</v>
      </c>
      <c r="B26" s="2">
        <v>97.781712509138927</v>
      </c>
      <c r="C26" s="2">
        <v>168.96629828860404</v>
      </c>
      <c r="D26" s="2">
        <v>-608.489829424307</v>
      </c>
      <c r="E26" s="2">
        <v>-201.59026828593699</v>
      </c>
    </row>
    <row r="27" spans="1:5" x14ac:dyDescent="0.2">
      <c r="A27" s="3" t="s">
        <v>138</v>
      </c>
      <c r="B27" s="3">
        <v>7.915651284590269E-3</v>
      </c>
      <c r="C27" s="3">
        <v>-4.7982670123517196E-3</v>
      </c>
      <c r="D27" s="3">
        <v>-2.7756514937524708E-3</v>
      </c>
      <c r="E27" s="3">
        <v>-7.2102632487440988E-3</v>
      </c>
    </row>
    <row r="28" spans="1:5" x14ac:dyDescent="0.2">
      <c r="A28" s="3" t="s">
        <v>137</v>
      </c>
      <c r="B28" s="3">
        <v>1.0177926461656901E-2</v>
      </c>
      <c r="C28" s="3">
        <v>5.8916973944474291E-3</v>
      </c>
      <c r="D28" s="3">
        <v>-1.6360878306282891E-3</v>
      </c>
      <c r="E28" s="3">
        <v>-4.9148921015648569E-3</v>
      </c>
    </row>
    <row r="29" spans="1:5" x14ac:dyDescent="0.2">
      <c r="A29" s="2" t="s">
        <v>136</v>
      </c>
      <c r="B29" s="2">
        <v>2.5774511342486327E-2</v>
      </c>
      <c r="C29" s="2">
        <v>1.3329201211858637E-3</v>
      </c>
      <c r="D29" s="2">
        <v>1.8637328014432179E-2</v>
      </c>
      <c r="E29" s="2">
        <v>-1.8723913145429819E-2</v>
      </c>
    </row>
    <row r="30" spans="1:5" x14ac:dyDescent="0.2">
      <c r="A30" s="3" t="s">
        <v>135</v>
      </c>
      <c r="B30" s="3">
        <v>2.2944556910295771E-2</v>
      </c>
      <c r="C30" s="3">
        <v>1.2195260728225864E-3</v>
      </c>
      <c r="D30" s="3">
        <v>1.4947119597334583E-2</v>
      </c>
      <c r="E30" s="3">
        <v>7.5425894177045399E-3</v>
      </c>
    </row>
    <row r="31" spans="1:5" x14ac:dyDescent="0.2">
      <c r="A31" s="3" t="s">
        <v>134</v>
      </c>
      <c r="B31" s="3">
        <v>-0.58877599096816635</v>
      </c>
      <c r="C31" s="3">
        <v>0.99543396418396424</v>
      </c>
      <c r="D31" s="3">
        <v>1.9919686304152691</v>
      </c>
      <c r="E31" s="3">
        <v>1.312061859301793</v>
      </c>
    </row>
    <row r="32" spans="1:5" x14ac:dyDescent="0.2">
      <c r="A32" s="2" t="s">
        <v>133</v>
      </c>
      <c r="B32" s="2">
        <v>10.237594143202898</v>
      </c>
      <c r="C32" s="2">
        <v>11.705056504356266</v>
      </c>
      <c r="D32" s="2">
        <v>5.2968157587160407</v>
      </c>
      <c r="E32" s="2">
        <v>5.1385632327263657</v>
      </c>
    </row>
    <row r="33" spans="1:5" x14ac:dyDescent="0.2">
      <c r="A33" s="2" t="s">
        <v>132</v>
      </c>
      <c r="B33" s="2">
        <v>0</v>
      </c>
      <c r="C33" s="2">
        <v>0</v>
      </c>
      <c r="D33" s="2">
        <v>0</v>
      </c>
      <c r="E33" s="2">
        <v>0</v>
      </c>
    </row>
    <row r="34" spans="1:5" x14ac:dyDescent="0.2">
      <c r="A34" s="2" t="s">
        <v>131</v>
      </c>
      <c r="B34" s="2">
        <v>1.4571266896054469</v>
      </c>
      <c r="C34" s="2">
        <v>-1.638388415387013</v>
      </c>
      <c r="D34" s="2">
        <v>0.48428990364474234</v>
      </c>
      <c r="E34" s="2">
        <v>0.61527123146799212</v>
      </c>
    </row>
    <row r="35" spans="1:5" x14ac:dyDescent="0.2">
      <c r="A35" s="3" t="s">
        <v>130</v>
      </c>
      <c r="B35" s="3">
        <v>0</v>
      </c>
      <c r="C35" s="3">
        <v>0</v>
      </c>
      <c r="D35" s="3">
        <v>0</v>
      </c>
      <c r="E35" s="3">
        <v>0</v>
      </c>
    </row>
    <row r="36" spans="1:5" x14ac:dyDescent="0.2">
      <c r="A36" s="3" t="s">
        <v>129</v>
      </c>
      <c r="B36" s="3">
        <v>0</v>
      </c>
      <c r="C36" s="3">
        <v>0</v>
      </c>
      <c r="D36" s="3">
        <v>0</v>
      </c>
      <c r="E36" s="3">
        <v>0</v>
      </c>
    </row>
    <row r="37" spans="1:5" x14ac:dyDescent="0.2">
      <c r="A37" s="3" t="s">
        <v>128</v>
      </c>
      <c r="B37" s="3">
        <v>0.19687399196504501</v>
      </c>
      <c r="C37" s="3">
        <v>0.54993817658785238</v>
      </c>
      <c r="D37" s="3">
        <v>0.31018014750332484</v>
      </c>
      <c r="E37" s="3">
        <v>0.56545472756410253</v>
      </c>
    </row>
    <row r="38" spans="1:5" x14ac:dyDescent="0.2">
      <c r="A38" s="3" t="s">
        <v>127</v>
      </c>
      <c r="B38" s="3">
        <v>0.356585437377203</v>
      </c>
      <c r="C38" s="3">
        <v>0.50677534129046908</v>
      </c>
      <c r="D38" s="3">
        <v>0.63394476397740818</v>
      </c>
      <c r="E38" s="3">
        <v>0.92286408253205132</v>
      </c>
    </row>
    <row r="39" spans="1:5" x14ac:dyDescent="0.2">
      <c r="A39" s="3" t="s">
        <v>126</v>
      </c>
      <c r="B39" s="3">
        <v>0</v>
      </c>
      <c r="C39" s="3">
        <v>0</v>
      </c>
      <c r="D39" s="3">
        <v>0</v>
      </c>
      <c r="E39" s="3">
        <v>0</v>
      </c>
    </row>
    <row r="40" spans="1:5" x14ac:dyDescent="0.2">
      <c r="A40" s="2" t="s">
        <v>125</v>
      </c>
      <c r="B40" s="2">
        <v>0.11758000162853188</v>
      </c>
      <c r="C40" s="2">
        <v>0.25055605958617461</v>
      </c>
      <c r="D40" s="2">
        <v>-0.2171280276816609</v>
      </c>
      <c r="E40" s="2">
        <v>-0.10788901888684606</v>
      </c>
    </row>
    <row r="41" spans="1:5" x14ac:dyDescent="0.2">
      <c r="A41" s="2" t="s">
        <v>124</v>
      </c>
      <c r="B41" s="2">
        <v>4.4038591243658547E-2</v>
      </c>
      <c r="C41" s="2">
        <v>8.6413989754977411E-2</v>
      </c>
      <c r="D41" s="2">
        <v>2.3844067913708827E-2</v>
      </c>
      <c r="E41" s="2">
        <v>4.8490084134615384E-2</v>
      </c>
    </row>
    <row r="42" spans="1:5" x14ac:dyDescent="0.2">
      <c r="A42" s="2" t="s">
        <v>123</v>
      </c>
      <c r="B42" s="2">
        <v>5.4977302679748137</v>
      </c>
      <c r="C42" s="2">
        <v>10.857641090678504</v>
      </c>
      <c r="D42" s="2">
        <v>1.5502526670409882</v>
      </c>
      <c r="E42" s="2">
        <v>4.7992565055762082</v>
      </c>
    </row>
    <row r="43" spans="1:5" x14ac:dyDescent="0.2">
      <c r="A43" s="3" t="s">
        <v>122</v>
      </c>
      <c r="B43" s="3">
        <v>0.18771648925251458</v>
      </c>
      <c r="C43" s="3">
        <v>0.59196043301622547</v>
      </c>
      <c r="D43" s="3">
        <v>9.2224122147952392E-2</v>
      </c>
      <c r="E43" s="3">
        <v>0.37854316907051283</v>
      </c>
    </row>
    <row r="44" spans="1:5" x14ac:dyDescent="0.2">
      <c r="A44" s="2" t="s">
        <v>121</v>
      </c>
      <c r="B44" s="2">
        <v>15.581915747421281</v>
      </c>
      <c r="C44" s="2"/>
      <c r="D44" s="2"/>
      <c r="E44" s="2"/>
    </row>
    <row r="45" spans="1:5" x14ac:dyDescent="0.2">
      <c r="A45" s="3" t="s">
        <v>120</v>
      </c>
      <c r="B45" s="3">
        <v>0.12398152391260676</v>
      </c>
      <c r="C45" s="3">
        <v>-0.11974801186894636</v>
      </c>
      <c r="D45" s="3">
        <v>-0.18055445035471845</v>
      </c>
      <c r="E45" s="3">
        <v>-0.34746418222329972</v>
      </c>
    </row>
    <row r="46" spans="1:5" x14ac:dyDescent="0.2">
      <c r="A46" s="3" t="s">
        <v>119</v>
      </c>
      <c r="B46" s="3">
        <v>0.14305438683189897</v>
      </c>
      <c r="C46" s="3">
        <v>-7.9108930420632176E-2</v>
      </c>
      <c r="D46" s="3">
        <v>-0.13376500315855969</v>
      </c>
      <c r="E46" s="3">
        <v>-0.27556191582715805</v>
      </c>
    </row>
    <row r="47" spans="1:5" x14ac:dyDescent="0.2">
      <c r="A47" s="2" t="s">
        <v>118</v>
      </c>
      <c r="B47" s="2">
        <v>6.685483870967742</v>
      </c>
      <c r="C47" s="2">
        <v>6.6684017461260687</v>
      </c>
      <c r="D47" s="2">
        <v>0.84421781866586232</v>
      </c>
      <c r="E47" s="2">
        <v>-0.85396352681446053</v>
      </c>
    </row>
    <row r="48" spans="1:5" x14ac:dyDescent="0.2">
      <c r="A48" s="1" t="s">
        <v>117</v>
      </c>
      <c r="B48" s="1">
        <v>1228988000</v>
      </c>
      <c r="C48" s="1">
        <v>926437000</v>
      </c>
      <c r="D48" s="1">
        <v>150728000</v>
      </c>
      <c r="E48" s="1">
        <v>165915000</v>
      </c>
    </row>
    <row r="49" spans="1:5" x14ac:dyDescent="0.2">
      <c r="A49" s="1" t="s">
        <v>116</v>
      </c>
      <c r="B49" s="1">
        <v>1363634000</v>
      </c>
      <c r="C49" s="1">
        <v>964799000</v>
      </c>
      <c r="D49" s="1">
        <v>157426000</v>
      </c>
      <c r="E49" s="1">
        <v>-85292000</v>
      </c>
    </row>
    <row r="50" spans="1:5" x14ac:dyDescent="0.2">
      <c r="A50" s="1" t="s">
        <v>115</v>
      </c>
      <c r="B50" s="1">
        <v>1193841000</v>
      </c>
      <c r="C50" s="1">
        <v>923270000</v>
      </c>
      <c r="D50" s="1">
        <v>146941000</v>
      </c>
      <c r="E50" s="1">
        <v>-91018000</v>
      </c>
    </row>
    <row r="51" spans="1:5" x14ac:dyDescent="0.2">
      <c r="A51" s="1" t="s">
        <v>114</v>
      </c>
      <c r="B51" s="1">
        <v>61006500</v>
      </c>
      <c r="C51" s="1">
        <v>23573000</v>
      </c>
      <c r="D51" s="1">
        <v>9528000</v>
      </c>
      <c r="E51" s="1">
        <v>0</v>
      </c>
    </row>
    <row r="52" spans="1:5" x14ac:dyDescent="0.2">
      <c r="A52" s="1" t="s">
        <v>113</v>
      </c>
      <c r="B52" s="1">
        <v>34640000</v>
      </c>
      <c r="C52" s="1">
        <v>16627500</v>
      </c>
      <c r="D52" s="1">
        <v>8316000</v>
      </c>
      <c r="E52" s="1">
        <v>0</v>
      </c>
    </row>
    <row r="53" spans="1:5" x14ac:dyDescent="0.2">
      <c r="A53" s="1" t="s">
        <v>112</v>
      </c>
      <c r="B53" s="1">
        <v>51097000</v>
      </c>
      <c r="C53" s="1">
        <v>33655000</v>
      </c>
      <c r="D53" s="1">
        <v>26484500</v>
      </c>
      <c r="E53" s="1">
        <v>0</v>
      </c>
    </row>
    <row r="54" spans="1:5" x14ac:dyDescent="0.2">
      <c r="A54" s="2" t="s">
        <v>111</v>
      </c>
      <c r="B54" s="2">
        <v>35.622099058678629</v>
      </c>
      <c r="C54" s="2">
        <v>35.746587095308989</v>
      </c>
      <c r="D54" s="2">
        <v>26.273166139869076</v>
      </c>
      <c r="E54" s="2">
        <v>48.992951221955124</v>
      </c>
    </row>
    <row r="55" spans="1:5" x14ac:dyDescent="0.2">
      <c r="A55" s="2" t="s">
        <v>110</v>
      </c>
      <c r="B55" s="2">
        <v>74.601136714528323</v>
      </c>
      <c r="C55" s="2">
        <v>104.97879069568656</v>
      </c>
      <c r="D55" s="2">
        <v>64.30908888703533</v>
      </c>
      <c r="E55" s="2">
        <v>177.32409985371149</v>
      </c>
    </row>
    <row r="56" spans="1:5" x14ac:dyDescent="0.2">
      <c r="A56" s="2" t="s">
        <v>109</v>
      </c>
      <c r="B56" s="2">
        <v>103.86432279604755</v>
      </c>
      <c r="C56" s="2">
        <v>168.53623745873</v>
      </c>
      <c r="D56" s="2">
        <v>244.52067172686071</v>
      </c>
      <c r="E56" s="2">
        <v>497.33424567033177</v>
      </c>
    </row>
    <row r="57" spans="1:5" x14ac:dyDescent="0.2">
      <c r="A57" s="2" t="s">
        <v>108</v>
      </c>
      <c r="B57" s="2">
        <v>10.246448402682628</v>
      </c>
      <c r="C57" s="2">
        <v>10.210764989307155</v>
      </c>
      <c r="D57" s="2">
        <v>13.89250149970006</v>
      </c>
      <c r="E57" s="2">
        <v>7.4500513011845912</v>
      </c>
    </row>
    <row r="58" spans="1:5" x14ac:dyDescent="0.2">
      <c r="A58" s="2" t="s">
        <v>107</v>
      </c>
      <c r="B58" s="2">
        <v>4.8926868419810203</v>
      </c>
      <c r="C58" s="2">
        <v>3.4768927854966938</v>
      </c>
      <c r="D58" s="2">
        <v>5.6757140602808898</v>
      </c>
      <c r="E58" s="2">
        <v>2.0583778533268577</v>
      </c>
    </row>
    <row r="59" spans="1:5" x14ac:dyDescent="0.2">
      <c r="A59" s="2" t="s">
        <v>106</v>
      </c>
      <c r="B59" s="2">
        <v>3.5141999694806625</v>
      </c>
      <c r="C59" s="2">
        <v>2.1657063519611248</v>
      </c>
      <c r="D59" s="2">
        <v>1.4927163311890435</v>
      </c>
      <c r="E59" s="2">
        <v>0.73391286278312673</v>
      </c>
    </row>
    <row r="60" spans="1:5" x14ac:dyDescent="0.2">
      <c r="A60" s="3" t="s">
        <v>105</v>
      </c>
      <c r="B60" s="3">
        <v>0.1606985452108117</v>
      </c>
      <c r="C60" s="3">
        <v>-8.6464641858045047E-2</v>
      </c>
      <c r="D60" s="3">
        <v>-0.16678947569016553</v>
      </c>
      <c r="E60" s="3">
        <v>0.68406181118979503</v>
      </c>
    </row>
    <row r="61" spans="1:5" x14ac:dyDescent="0.2">
      <c r="A61" s="2" t="s">
        <v>104</v>
      </c>
      <c r="B61" s="2">
        <v>0.22561415316571318</v>
      </c>
      <c r="C61" s="2">
        <v>0.26089043287470859</v>
      </c>
      <c r="D61" s="2">
        <v>1.8104561877471264E-2</v>
      </c>
      <c r="E61" s="2">
        <v>2.9689081041302547E-2</v>
      </c>
    </row>
  </sheetData>
  <mergeCells count="1">
    <mergeCell ref="B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4CAB-BF93-6940-9ACD-BF1DDF3607B4}">
  <dimension ref="A1:E40"/>
  <sheetViews>
    <sheetView workbookViewId="0"/>
  </sheetViews>
  <sheetFormatPr baseColWidth="10" defaultRowHeight="16" x14ac:dyDescent="0.2"/>
  <cols>
    <col min="1" max="1" width="38.1640625" bestFit="1" customWidth="1"/>
    <col min="2" max="2" width="13.83203125" bestFit="1" customWidth="1"/>
    <col min="3" max="3" width="9.1640625" bestFit="1" customWidth="1"/>
    <col min="4" max="5" width="8.5" bestFit="1" customWidth="1"/>
  </cols>
  <sheetData>
    <row r="1" spans="1:5" x14ac:dyDescent="0.2">
      <c r="A1" s="10" t="s">
        <v>160</v>
      </c>
      <c r="B1" s="10"/>
      <c r="C1" s="10"/>
      <c r="D1" s="10"/>
      <c r="E1" s="10"/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t="str">
        <f>'ALAB - Income Statement FY'!B3</f>
        <v>USD</v>
      </c>
    </row>
    <row r="4" spans="1:5" x14ac:dyDescent="0.2">
      <c r="A4" t="s">
        <v>32</v>
      </c>
      <c r="B4" s="8" t="s">
        <v>33</v>
      </c>
      <c r="C4" s="8"/>
      <c r="D4" s="8"/>
      <c r="E4" s="8"/>
    </row>
    <row r="5" spans="1:5" x14ac:dyDescent="0.2">
      <c r="A5" t="s">
        <v>34</v>
      </c>
      <c r="B5" s="9">
        <v>46022</v>
      </c>
      <c r="C5" s="9">
        <v>45657</v>
      </c>
      <c r="D5" s="9">
        <v>45291</v>
      </c>
      <c r="E5" s="9">
        <v>44926</v>
      </c>
    </row>
    <row r="7" spans="1:5" x14ac:dyDescent="0.2">
      <c r="A7" s="3" t="s">
        <v>194</v>
      </c>
      <c r="B7" s="3">
        <v>1.1512654873955941</v>
      </c>
      <c r="C7" s="3">
        <v>2.4223707618702179</v>
      </c>
      <c r="D7" s="3">
        <v>0.44974459134615385</v>
      </c>
      <c r="E7" s="3">
        <v>0</v>
      </c>
    </row>
    <row r="8" spans="1:5" x14ac:dyDescent="0.2">
      <c r="A8" s="3" t="s">
        <v>193</v>
      </c>
      <c r="B8" s="3">
        <v>1.1316918787310166</v>
      </c>
      <c r="C8" s="3">
        <v>2.7919375649842784</v>
      </c>
      <c r="D8" s="3">
        <v>0.3603551405054447</v>
      </c>
      <c r="E8" s="3">
        <v>0</v>
      </c>
    </row>
    <row r="9" spans="1:5" x14ac:dyDescent="0.2">
      <c r="A9" s="3" t="s">
        <v>192</v>
      </c>
      <c r="B9" s="3">
        <v>3.6676245444985205</v>
      </c>
      <c r="C9" s="3">
        <v>-2.5636221021439778</v>
      </c>
      <c r="D9" s="3">
        <v>0.60146576127542073</v>
      </c>
      <c r="E9" s="3">
        <v>0</v>
      </c>
    </row>
    <row r="10" spans="1:5" x14ac:dyDescent="0.2">
      <c r="A10" s="3" t="s">
        <v>191</v>
      </c>
      <c r="B10" s="3">
        <v>2.4941757276032601</v>
      </c>
      <c r="C10" s="3">
        <v>-2.9348408312709768</v>
      </c>
      <c r="D10" s="3">
        <v>0.50996777087417355</v>
      </c>
      <c r="E10" s="3">
        <v>0</v>
      </c>
    </row>
    <row r="11" spans="1:5" x14ac:dyDescent="0.2">
      <c r="A11" s="3" t="s">
        <v>190</v>
      </c>
      <c r="B11" s="3">
        <v>3.6268445595233816</v>
      </c>
      <c r="C11" s="3">
        <v>-2.1770956316410861</v>
      </c>
      <c r="D11" s="3">
        <v>0.54997000599880019</v>
      </c>
      <c r="E11" s="3">
        <v>0</v>
      </c>
    </row>
    <row r="12" spans="1:5" x14ac:dyDescent="0.2">
      <c r="A12" s="3" t="s">
        <v>189</v>
      </c>
      <c r="B12" s="3">
        <v>3.0625</v>
      </c>
      <c r="C12" s="3">
        <v>-2.7647058823529407</v>
      </c>
      <c r="D12" s="3">
        <v>0.62222222222222223</v>
      </c>
      <c r="E12" s="3">
        <v>0</v>
      </c>
    </row>
    <row r="13" spans="1:5" x14ac:dyDescent="0.2">
      <c r="A13" s="3" t="s">
        <v>188</v>
      </c>
      <c r="B13" s="3">
        <v>2.9062499999999996</v>
      </c>
      <c r="C13" s="3">
        <v>-2.7647058823529407</v>
      </c>
      <c r="D13" s="3">
        <v>0.62222222222222223</v>
      </c>
      <c r="E13" s="3">
        <v>0</v>
      </c>
    </row>
    <row r="14" spans="1:5" x14ac:dyDescent="0.2">
      <c r="A14" s="3" t="s">
        <v>187</v>
      </c>
      <c r="B14" s="3">
        <v>0.26775456720147489</v>
      </c>
      <c r="C14" s="3">
        <v>-0.13928250591791638</v>
      </c>
      <c r="D14" s="3">
        <v>0.16903535399993869</v>
      </c>
      <c r="E14" s="3">
        <v>0</v>
      </c>
    </row>
    <row r="15" spans="1:5" x14ac:dyDescent="0.2">
      <c r="A15" s="3" t="s">
        <v>186</v>
      </c>
      <c r="B15" s="3">
        <v>0.36788255549968762</v>
      </c>
      <c r="C15" s="3">
        <v>-0.13928250591791638</v>
      </c>
      <c r="D15" s="3">
        <v>0.16903535399993869</v>
      </c>
      <c r="E15" s="3">
        <v>0</v>
      </c>
    </row>
    <row r="16" spans="1:5" x14ac:dyDescent="0.2">
      <c r="A16" s="3" t="s">
        <v>185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2">
      <c r="A17" s="3" t="s">
        <v>184</v>
      </c>
      <c r="B17" s="3">
        <v>1.3362258187245748</v>
      </c>
      <c r="C17" s="3">
        <v>11.748348537275874</v>
      </c>
      <c r="D17" s="3">
        <v>0.64577413783497684</v>
      </c>
      <c r="E17" s="3">
        <v>0</v>
      </c>
    </row>
    <row r="18" spans="1:5" x14ac:dyDescent="0.2">
      <c r="A18" s="3" t="s">
        <v>183</v>
      </c>
      <c r="B18" s="3">
        <v>1.7507492848844588</v>
      </c>
      <c r="C18" s="3">
        <v>7.6182722749886933</v>
      </c>
      <c r="D18" s="3">
        <v>0.61084709964547035</v>
      </c>
      <c r="E18" s="3">
        <v>0</v>
      </c>
    </row>
    <row r="19" spans="1:5" x14ac:dyDescent="0.2">
      <c r="A19" s="3" t="s">
        <v>182</v>
      </c>
      <c r="B19" s="3">
        <v>7.3673725278483175</v>
      </c>
      <c r="C19" s="3">
        <v>3.9309463661307742</v>
      </c>
      <c r="D19" s="3">
        <v>0.24012040045303032</v>
      </c>
      <c r="E19" s="3">
        <v>0</v>
      </c>
    </row>
    <row r="20" spans="1:5" x14ac:dyDescent="0.2">
      <c r="A20" s="3" t="s">
        <v>181</v>
      </c>
      <c r="B20" s="3">
        <v>7.3673725278483175</v>
      </c>
      <c r="C20" s="3">
        <v>3.9309463661307742</v>
      </c>
      <c r="D20" s="3">
        <v>0.24012040045303032</v>
      </c>
      <c r="E20" s="3">
        <v>0</v>
      </c>
    </row>
    <row r="21" spans="1:5" x14ac:dyDescent="0.2">
      <c r="A21" s="3" t="s">
        <v>180</v>
      </c>
      <c r="B21" s="3">
        <v>7.3673725278483175</v>
      </c>
      <c r="C21" s="3">
        <v>3.9309463661307742</v>
      </c>
      <c r="D21" s="3">
        <v>0.24012040045303032</v>
      </c>
      <c r="E21" s="3">
        <v>0</v>
      </c>
    </row>
    <row r="22" spans="1:5" x14ac:dyDescent="0.2">
      <c r="A22" s="3" t="s">
        <v>179</v>
      </c>
      <c r="B22" s="3">
        <v>7.9728988757089523</v>
      </c>
      <c r="C22" s="3">
        <v>4.783848430003256</v>
      </c>
      <c r="D22" s="3">
        <v>0.69699302852303502</v>
      </c>
      <c r="E22" s="3">
        <v>0</v>
      </c>
    </row>
    <row r="23" spans="1:5" x14ac:dyDescent="0.2">
      <c r="A23" s="3" t="s">
        <v>178</v>
      </c>
      <c r="B23" s="3">
        <v>7.9728988757089523</v>
      </c>
      <c r="C23" s="3">
        <v>4.783848430003256</v>
      </c>
      <c r="D23" s="3">
        <v>0.69699302852303502</v>
      </c>
      <c r="E23" s="3">
        <v>0</v>
      </c>
    </row>
    <row r="24" spans="1:5" x14ac:dyDescent="0.2">
      <c r="A24" s="3" t="s">
        <v>177</v>
      </c>
      <c r="B24" s="3">
        <v>7.9728988757089523</v>
      </c>
      <c r="C24" s="3">
        <v>4.783848430003256</v>
      </c>
      <c r="D24" s="3">
        <v>0.69699302852303502</v>
      </c>
      <c r="E24" s="3">
        <v>0</v>
      </c>
    </row>
    <row r="25" spans="1:5" x14ac:dyDescent="0.2">
      <c r="A25" s="3" t="s">
        <v>176</v>
      </c>
      <c r="B25" s="3">
        <v>3.9443040943275216</v>
      </c>
      <c r="C25" s="3">
        <v>-0.42096529818687722</v>
      </c>
      <c r="D25" s="3">
        <v>0.61504158752651084</v>
      </c>
      <c r="E25" s="3">
        <v>0</v>
      </c>
    </row>
    <row r="26" spans="1:5" x14ac:dyDescent="0.2">
      <c r="A26" s="3" t="s">
        <v>175</v>
      </c>
      <c r="B26" s="3">
        <v>3.9443040943275216</v>
      </c>
      <c r="C26" s="3">
        <v>-0.42096529818687722</v>
      </c>
      <c r="D26" s="3">
        <v>0.61504158752651084</v>
      </c>
      <c r="E26" s="3">
        <v>0</v>
      </c>
    </row>
    <row r="27" spans="1:5" x14ac:dyDescent="0.2">
      <c r="A27" s="3" t="s">
        <v>174</v>
      </c>
      <c r="B27" s="3">
        <v>3.9443040943275216</v>
      </c>
      <c r="C27" s="3">
        <v>-0.42096529818687722</v>
      </c>
      <c r="D27" s="3">
        <v>0.61504158752651084</v>
      </c>
      <c r="E27" s="3">
        <v>0</v>
      </c>
    </row>
    <row r="28" spans="1:5" x14ac:dyDescent="0.2">
      <c r="A28" s="3" t="s">
        <v>173</v>
      </c>
      <c r="B28" s="3">
        <v>13.53331813811409</v>
      </c>
      <c r="C28" s="3">
        <v>12.241914320438728</v>
      </c>
      <c r="D28" s="3">
        <v>2.5788487120047363</v>
      </c>
      <c r="E28" s="3">
        <v>0</v>
      </c>
    </row>
    <row r="29" spans="1:5" x14ac:dyDescent="0.2">
      <c r="A29" s="3" t="s">
        <v>172</v>
      </c>
      <c r="B29" s="3">
        <v>13.53331813811409</v>
      </c>
      <c r="C29" s="3">
        <v>12.241914320438728</v>
      </c>
      <c r="D29" s="3">
        <v>2.5788487120047363</v>
      </c>
      <c r="E29" s="3">
        <v>0</v>
      </c>
    </row>
    <row r="30" spans="1:5" x14ac:dyDescent="0.2">
      <c r="A30" s="3" t="s">
        <v>171</v>
      </c>
      <c r="B30" s="3">
        <v>13.53331813811409</v>
      </c>
      <c r="C30" s="3">
        <v>12.241914320438728</v>
      </c>
      <c r="D30" s="3">
        <v>2.5788487120047363</v>
      </c>
      <c r="E30" s="3">
        <v>0</v>
      </c>
    </row>
    <row r="31" spans="1:5" x14ac:dyDescent="0.2">
      <c r="A31" s="3" t="s">
        <v>170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2">
      <c r="A32" s="3" t="s">
        <v>169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2">
      <c r="A33" s="3" t="s">
        <v>168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2">
      <c r="A34" s="3" t="s">
        <v>167</v>
      </c>
      <c r="B34" s="3">
        <v>1.1437736724124603</v>
      </c>
      <c r="C34" s="3">
        <v>3.6563887222555489</v>
      </c>
      <c r="D34" s="3">
        <v>-0.22255386624382054</v>
      </c>
      <c r="E34" s="3">
        <v>0</v>
      </c>
    </row>
    <row r="35" spans="1:5" x14ac:dyDescent="0.2">
      <c r="A35" s="3" t="s">
        <v>165</v>
      </c>
      <c r="B35" s="3">
        <v>0.45264236971175181</v>
      </c>
      <c r="C35" s="3">
        <v>4.3721394656939658</v>
      </c>
      <c r="D35" s="3">
        <v>-7.2917995003093553E-2</v>
      </c>
      <c r="E35" s="3">
        <v>0</v>
      </c>
    </row>
    <row r="36" spans="1:5" x14ac:dyDescent="0.2">
      <c r="A36" s="3" t="s">
        <v>166</v>
      </c>
      <c r="B36" s="3">
        <v>0.36478074742566241</v>
      </c>
      <c r="C36" s="3">
        <v>0.79352562772359414</v>
      </c>
      <c r="D36" s="3">
        <v>-0.16551222553162015</v>
      </c>
      <c r="E36" s="3">
        <v>0</v>
      </c>
    </row>
    <row r="37" spans="1:5" x14ac:dyDescent="0.2">
      <c r="A37" s="3" t="s">
        <v>164</v>
      </c>
      <c r="B37" s="3">
        <v>0.11487401352343388</v>
      </c>
      <c r="C37" s="3">
        <v>6.1203239645199163</v>
      </c>
      <c r="D37" s="3">
        <v>2.5788487120047363</v>
      </c>
      <c r="E37" s="3">
        <v>0</v>
      </c>
    </row>
    <row r="38" spans="1:5" x14ac:dyDescent="0.2">
      <c r="A38" s="3" t="s">
        <v>163</v>
      </c>
      <c r="B38" s="3">
        <v>26.330482115085537</v>
      </c>
      <c r="C38" s="3">
        <v>-0.56169052488070892</v>
      </c>
      <c r="D38" s="3">
        <v>0.8371947401377583</v>
      </c>
      <c r="E38" s="3">
        <v>0</v>
      </c>
    </row>
    <row r="39" spans="1:5" x14ac:dyDescent="0.2">
      <c r="A39" s="3" t="s">
        <v>162</v>
      </c>
      <c r="B39" s="3">
        <v>0.51370811133794747</v>
      </c>
      <c r="C39" s="3">
        <v>1.7358426308117754</v>
      </c>
      <c r="D39" s="3">
        <v>-4.1242148390335225E-3</v>
      </c>
      <c r="E39" s="3">
        <v>0</v>
      </c>
    </row>
    <row r="40" spans="1:5" x14ac:dyDescent="0.2">
      <c r="A40" s="3" t="s">
        <v>161</v>
      </c>
      <c r="B40" s="3">
        <v>-0.22986211485075825</v>
      </c>
      <c r="C40" s="3">
        <v>5.0677395105381855</v>
      </c>
      <c r="D40" s="3">
        <v>-0.20474271543707379</v>
      </c>
      <c r="E40" s="3">
        <v>0</v>
      </c>
    </row>
  </sheetData>
  <mergeCells count="1"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3381-9161-1447-903B-52BE681CDDB9}">
  <dimension ref="A1:R38"/>
  <sheetViews>
    <sheetView workbookViewId="0"/>
  </sheetViews>
  <sheetFormatPr baseColWidth="10" defaultRowHeight="16" x14ac:dyDescent="0.2"/>
  <cols>
    <col min="1" max="1" width="37.33203125" bestFit="1" customWidth="1"/>
    <col min="2" max="14" width="14.33203125" bestFit="1" customWidth="1"/>
    <col min="15" max="15" width="14" bestFit="1" customWidth="1"/>
    <col min="16" max="16" width="13.33203125" bestFit="1" customWidth="1"/>
    <col min="17" max="17" width="14" bestFit="1" customWidth="1"/>
    <col min="18" max="18" width="13.33203125" bestFit="1" customWidth="1"/>
  </cols>
  <sheetData>
    <row r="1" spans="1:18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">
      <c r="A2" t="s">
        <v>1</v>
      </c>
      <c r="B2" t="s">
        <v>2</v>
      </c>
    </row>
    <row r="3" spans="1:18" x14ac:dyDescent="0.2">
      <c r="A3" t="s">
        <v>3</v>
      </c>
      <c r="B3" t="s">
        <v>4</v>
      </c>
    </row>
    <row r="4" spans="1:18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</row>
    <row r="5" spans="1:18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</row>
    <row r="7" spans="1:18" x14ac:dyDescent="0.2">
      <c r="A7" s="1" t="s">
        <v>31</v>
      </c>
      <c r="B7" s="1">
        <v>308361000</v>
      </c>
      <c r="C7" s="1">
        <v>270583000</v>
      </c>
      <c r="D7" s="1">
        <v>230575000</v>
      </c>
      <c r="E7" s="1">
        <v>191925000</v>
      </c>
      <c r="F7" s="1">
        <v>159442000</v>
      </c>
      <c r="G7" s="1">
        <v>141096000</v>
      </c>
      <c r="H7" s="1">
        <v>113086000</v>
      </c>
      <c r="I7" s="1">
        <v>76850000</v>
      </c>
      <c r="J7" s="1">
        <v>65258000</v>
      </c>
      <c r="K7" s="1">
        <v>50514000</v>
      </c>
      <c r="L7" s="1">
        <v>36928000</v>
      </c>
      <c r="M7" s="1">
        <v>10688000</v>
      </c>
      <c r="N7" s="1">
        <v>17664000</v>
      </c>
      <c r="O7" s="1">
        <v>20355000</v>
      </c>
      <c r="P7" s="1">
        <v>23103000</v>
      </c>
      <c r="Q7" s="1">
        <v>21396000</v>
      </c>
      <c r="R7" s="1">
        <v>15018000</v>
      </c>
    </row>
    <row r="9" spans="1:18" x14ac:dyDescent="0.2">
      <c r="A9" s="1" t="s">
        <v>30</v>
      </c>
      <c r="B9" s="1">
        <v>73220000</v>
      </c>
      <c r="C9" s="1">
        <v>66108000</v>
      </c>
      <c r="D9" s="1">
        <v>54763000</v>
      </c>
      <c r="E9" s="1">
        <v>46362000</v>
      </c>
      <c r="F9" s="1">
        <v>40031000</v>
      </c>
      <c r="G9" s="1">
        <v>36648000</v>
      </c>
      <c r="H9" s="1">
        <v>25209000</v>
      </c>
      <c r="I9" s="1">
        <v>16996000</v>
      </c>
      <c r="J9" s="1">
        <v>14738000</v>
      </c>
      <c r="K9" s="1">
        <v>11489000</v>
      </c>
      <c r="L9" s="1">
        <v>8823000</v>
      </c>
      <c r="M9" s="1">
        <v>2249000</v>
      </c>
      <c r="N9" s="1">
        <v>13406000</v>
      </c>
      <c r="O9" s="1">
        <v>5718000</v>
      </c>
      <c r="P9" s="1">
        <v>5906000</v>
      </c>
      <c r="Q9" s="1">
        <v>5359000</v>
      </c>
      <c r="R9" s="1">
        <v>4208000</v>
      </c>
    </row>
    <row r="10" spans="1:18" x14ac:dyDescent="0.2">
      <c r="A10" s="6" t="s">
        <v>29</v>
      </c>
      <c r="B10" s="4">
        <v>235141000</v>
      </c>
      <c r="C10" s="4">
        <v>204475000</v>
      </c>
      <c r="D10" s="4">
        <v>175812000</v>
      </c>
      <c r="E10" s="4">
        <v>145563000</v>
      </c>
      <c r="F10" s="4">
        <v>119411000</v>
      </c>
      <c r="G10" s="4">
        <v>104448000</v>
      </c>
      <c r="H10" s="4">
        <v>87877000</v>
      </c>
      <c r="I10" s="4">
        <v>59854000</v>
      </c>
      <c r="J10" s="4">
        <v>50520000</v>
      </c>
      <c r="K10" s="4">
        <v>39025000</v>
      </c>
      <c r="L10" s="4">
        <v>28105000</v>
      </c>
      <c r="M10" s="4">
        <v>8439000</v>
      </c>
      <c r="N10" s="4">
        <v>4258000</v>
      </c>
      <c r="O10" s="4">
        <v>14637000</v>
      </c>
      <c r="P10" s="4">
        <v>17197000</v>
      </c>
      <c r="Q10" s="4">
        <v>16037000</v>
      </c>
      <c r="R10" s="4">
        <v>10810000</v>
      </c>
    </row>
    <row r="11" spans="1:18" x14ac:dyDescent="0.2">
      <c r="A11" s="3" t="s">
        <v>28</v>
      </c>
      <c r="B11" s="3">
        <v>0.76255103599999996</v>
      </c>
      <c r="C11" s="3">
        <v>0.75568309909999998</v>
      </c>
      <c r="D11" s="3">
        <v>0.76249376560000004</v>
      </c>
      <c r="E11" s="3">
        <v>0.75843688939999998</v>
      </c>
      <c r="F11" s="3">
        <v>0.7489306456</v>
      </c>
      <c r="G11" s="3">
        <v>0.7402619493</v>
      </c>
      <c r="H11" s="3">
        <v>0.77708115950000001</v>
      </c>
      <c r="I11" s="3">
        <v>0.77884189979999996</v>
      </c>
      <c r="J11" s="3">
        <v>0.77415795759999995</v>
      </c>
      <c r="K11" s="3">
        <v>0.77255810270000003</v>
      </c>
      <c r="L11" s="3">
        <v>0.76107560659999995</v>
      </c>
      <c r="M11" s="3">
        <v>0.78957709580000002</v>
      </c>
      <c r="N11" s="3">
        <v>0.24105525359999999</v>
      </c>
      <c r="O11" s="3">
        <v>0.71908621959999997</v>
      </c>
      <c r="P11" s="3">
        <v>0.74436220399999997</v>
      </c>
      <c r="Q11" s="3">
        <v>0.7495326229</v>
      </c>
      <c r="R11" s="3">
        <v>0.71980290319999995</v>
      </c>
    </row>
    <row r="13" spans="1:18" x14ac:dyDescent="0.2">
      <c r="A13" s="1" t="s">
        <v>27</v>
      </c>
      <c r="B13" s="1">
        <v>125634000</v>
      </c>
      <c r="C13" s="1">
        <v>93792000</v>
      </c>
      <c r="D13" s="1">
        <v>78928000</v>
      </c>
      <c r="E13" s="1">
        <v>66724000</v>
      </c>
      <c r="F13" s="1">
        <v>64554000</v>
      </c>
      <c r="G13" s="1">
        <v>56524000</v>
      </c>
      <c r="H13" s="1">
        <v>50659000</v>
      </c>
      <c r="I13" s="1">
        <v>40089000</v>
      </c>
      <c r="J13" s="1">
        <v>53558000</v>
      </c>
      <c r="K13" s="1">
        <v>19654000</v>
      </c>
      <c r="L13" s="1">
        <v>20626000</v>
      </c>
      <c r="M13" s="1">
        <v>17860000</v>
      </c>
      <c r="N13" s="1">
        <v>15267000</v>
      </c>
      <c r="O13" s="1">
        <v>27765000</v>
      </c>
      <c r="P13" s="1">
        <v>14240000</v>
      </c>
      <c r="Q13" s="1">
        <v>22431000</v>
      </c>
      <c r="R13" s="1">
        <v>9275000</v>
      </c>
    </row>
    <row r="14" spans="1:18" x14ac:dyDescent="0.2">
      <c r="A14" s="1" t="s">
        <v>24</v>
      </c>
      <c r="B14" s="1">
        <v>47674000</v>
      </c>
      <c r="C14" s="1">
        <v>43725000</v>
      </c>
      <c r="D14" s="1">
        <v>41478000</v>
      </c>
      <c r="E14" s="1">
        <v>39065000</v>
      </c>
      <c r="F14" s="1">
        <v>43572000</v>
      </c>
      <c r="G14" s="1">
        <v>47780000</v>
      </c>
      <c r="H14" s="1">
        <v>46114000</v>
      </c>
      <c r="I14" s="1">
        <v>44112000</v>
      </c>
      <c r="J14" s="1">
        <v>79929000</v>
      </c>
      <c r="K14" s="1">
        <v>10351000</v>
      </c>
      <c r="L14" s="1">
        <v>9456000</v>
      </c>
      <c r="M14" s="1">
        <v>8192000</v>
      </c>
      <c r="N14" s="1">
        <v>7918000</v>
      </c>
      <c r="O14" s="1">
        <v>8710000</v>
      </c>
      <c r="P14" s="1">
        <v>9056000</v>
      </c>
      <c r="Q14" s="1">
        <v>21678000</v>
      </c>
      <c r="R14" s="1">
        <v>5720000</v>
      </c>
    </row>
    <row r="15" spans="1:18" x14ac:dyDescent="0.2">
      <c r="A15" s="1" t="s">
        <v>26</v>
      </c>
      <c r="B15" s="1">
        <v>25775000</v>
      </c>
      <c r="C15" s="1">
        <v>23621000</v>
      </c>
      <c r="D15" s="1">
        <v>22119000</v>
      </c>
      <c r="E15" s="1">
        <v>20456000</v>
      </c>
      <c r="F15" s="1">
        <v>21870000</v>
      </c>
      <c r="G15" s="1">
        <v>24962000</v>
      </c>
      <c r="H15" s="1">
        <v>22866000</v>
      </c>
      <c r="I15" s="1">
        <v>22036000</v>
      </c>
      <c r="J15" s="1">
        <v>24419000</v>
      </c>
      <c r="K15" s="1">
        <v>5356000</v>
      </c>
      <c r="L15" s="1">
        <v>3949000</v>
      </c>
      <c r="M15" s="1">
        <v>3095000</v>
      </c>
      <c r="N15" s="1">
        <v>3525000</v>
      </c>
      <c r="O15" s="1">
        <v>0</v>
      </c>
      <c r="P15" s="1">
        <v>3700000</v>
      </c>
      <c r="Q15" s="1">
        <v>0</v>
      </c>
      <c r="R15" s="1">
        <v>0</v>
      </c>
    </row>
    <row r="16" spans="1:18" x14ac:dyDescent="0.2">
      <c r="A16" s="1" t="s">
        <v>25</v>
      </c>
      <c r="B16" s="1">
        <v>21899000</v>
      </c>
      <c r="C16" s="1">
        <v>20104000</v>
      </c>
      <c r="D16" s="1">
        <v>19359000</v>
      </c>
      <c r="E16" s="1">
        <v>18609000</v>
      </c>
      <c r="F16" s="1">
        <v>21702000</v>
      </c>
      <c r="G16" s="1">
        <v>22818000</v>
      </c>
      <c r="H16" s="1">
        <v>23248000</v>
      </c>
      <c r="I16" s="1">
        <v>22076000</v>
      </c>
      <c r="J16" s="1">
        <v>55510000</v>
      </c>
      <c r="K16" s="1">
        <v>4995000</v>
      </c>
      <c r="L16" s="1">
        <v>5507000</v>
      </c>
      <c r="M16" s="1">
        <v>5097000</v>
      </c>
      <c r="N16" s="1">
        <v>4393000</v>
      </c>
      <c r="O16" s="1">
        <v>0</v>
      </c>
      <c r="P16" s="1">
        <v>5356000</v>
      </c>
      <c r="Q16" s="1">
        <v>0</v>
      </c>
      <c r="R16" s="1">
        <v>0</v>
      </c>
    </row>
    <row r="17" spans="1:18" x14ac:dyDescent="0.2">
      <c r="A17" s="1" t="s">
        <v>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2">
      <c r="A18" s="6" t="s">
        <v>22</v>
      </c>
      <c r="B18" s="4">
        <v>173308000</v>
      </c>
      <c r="C18" s="4">
        <v>137517000</v>
      </c>
      <c r="D18" s="4">
        <v>120406000</v>
      </c>
      <c r="E18" s="4">
        <v>105789000</v>
      </c>
      <c r="F18" s="4">
        <v>108126000</v>
      </c>
      <c r="G18" s="4">
        <v>104304000</v>
      </c>
      <c r="H18" s="4">
        <v>96773000</v>
      </c>
      <c r="I18" s="4">
        <v>84201000</v>
      </c>
      <c r="J18" s="4">
        <v>133487000</v>
      </c>
      <c r="K18" s="4">
        <v>30005000</v>
      </c>
      <c r="L18" s="4">
        <v>30082000</v>
      </c>
      <c r="M18" s="4">
        <v>26052000</v>
      </c>
      <c r="N18" s="4">
        <v>23185000</v>
      </c>
      <c r="O18" s="4">
        <v>36475000</v>
      </c>
      <c r="P18" s="4">
        <v>23296000</v>
      </c>
      <c r="Q18" s="4">
        <v>44109000</v>
      </c>
      <c r="R18" s="4">
        <v>14995000</v>
      </c>
    </row>
    <row r="20" spans="1:18" x14ac:dyDescent="0.2">
      <c r="A20" s="1" t="s">
        <v>21</v>
      </c>
      <c r="B20" s="1">
        <v>246528000</v>
      </c>
      <c r="C20" s="1">
        <v>203625000</v>
      </c>
      <c r="D20" s="1">
        <v>175169000</v>
      </c>
      <c r="E20" s="1">
        <v>152151000</v>
      </c>
      <c r="F20" s="1">
        <v>148157000</v>
      </c>
      <c r="G20" s="1">
        <v>140952000</v>
      </c>
      <c r="H20" s="1">
        <v>121982000</v>
      </c>
      <c r="I20" s="1">
        <v>101197000</v>
      </c>
      <c r="J20" s="1">
        <v>148225000</v>
      </c>
      <c r="K20" s="1">
        <v>41494000</v>
      </c>
      <c r="L20" s="1">
        <v>38905000</v>
      </c>
      <c r="M20" s="1">
        <v>28301000</v>
      </c>
      <c r="N20" s="1">
        <v>36591000</v>
      </c>
      <c r="O20" s="1">
        <v>42193000</v>
      </c>
      <c r="P20" s="1">
        <v>29202000</v>
      </c>
      <c r="Q20" s="1">
        <v>49468000</v>
      </c>
      <c r="R20" s="1">
        <v>19203000</v>
      </c>
    </row>
    <row r="21" spans="1:18" x14ac:dyDescent="0.2">
      <c r="A21" s="1" t="s">
        <v>18</v>
      </c>
      <c r="B21" s="1">
        <v>77124000</v>
      </c>
      <c r="C21" s="1">
        <v>81761000</v>
      </c>
      <c r="D21" s="1">
        <v>68362000</v>
      </c>
      <c r="E21" s="1">
        <v>52051000</v>
      </c>
      <c r="F21" s="1">
        <v>22842000</v>
      </c>
      <c r="G21" s="1">
        <v>11676000</v>
      </c>
      <c r="H21" s="1">
        <v>2865000</v>
      </c>
      <c r="I21" s="1">
        <v>-13366000</v>
      </c>
      <c r="J21" s="1">
        <v>-79799000</v>
      </c>
      <c r="K21" s="1">
        <v>11234000</v>
      </c>
      <c r="L21" s="1">
        <v>225000</v>
      </c>
      <c r="M21" s="1">
        <v>-15652000</v>
      </c>
      <c r="N21" s="1">
        <v>-16974000</v>
      </c>
      <c r="O21" s="1">
        <v>-20341000</v>
      </c>
      <c r="P21" s="1">
        <v>901000</v>
      </c>
      <c r="Q21" s="1">
        <v>-27857000</v>
      </c>
      <c r="R21" s="1">
        <v>-4185000</v>
      </c>
    </row>
    <row r="22" spans="1:18" x14ac:dyDescent="0.2">
      <c r="A22" s="3" t="s">
        <v>17</v>
      </c>
      <c r="B22" s="3">
        <v>0.25010944959999998</v>
      </c>
      <c r="C22" s="3">
        <v>0.30216606359999998</v>
      </c>
      <c r="D22" s="3">
        <v>0.29648487480000002</v>
      </c>
      <c r="E22" s="3">
        <v>0.2712048977</v>
      </c>
      <c r="F22" s="3">
        <v>0.14326212669999999</v>
      </c>
      <c r="G22" s="3">
        <v>8.2752168700000003E-2</v>
      </c>
      <c r="H22" s="3">
        <v>2.5334701000000001E-2</v>
      </c>
      <c r="I22" s="3">
        <v>-0.17392322709999999</v>
      </c>
      <c r="J22" s="3">
        <v>-1.2228232554</v>
      </c>
      <c r="K22" s="3">
        <v>0.22239379179999999</v>
      </c>
      <c r="L22" s="3">
        <v>6.0929375999999999E-3</v>
      </c>
      <c r="M22" s="3">
        <v>-1.4644461078</v>
      </c>
      <c r="N22" s="3">
        <v>-0.9609375</v>
      </c>
      <c r="O22" s="3">
        <v>-0.9993122083</v>
      </c>
      <c r="P22" s="3">
        <v>3.8999264200000001E-2</v>
      </c>
      <c r="Q22" s="3">
        <v>-1.3019723313</v>
      </c>
      <c r="R22" s="3">
        <v>-0.27866560130000001</v>
      </c>
    </row>
    <row r="23" spans="1:18" x14ac:dyDescent="0.2">
      <c r="A23" s="1" t="s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2">
      <c r="A24" s="1" t="s">
        <v>19</v>
      </c>
      <c r="B24" s="1">
        <v>3710000</v>
      </c>
      <c r="C24" s="1">
        <v>2846000</v>
      </c>
      <c r="D24" s="1">
        <v>1500000</v>
      </c>
      <c r="E24" s="1">
        <v>1392000</v>
      </c>
      <c r="F24" s="1">
        <v>1125000</v>
      </c>
      <c r="G24" s="1">
        <v>974000</v>
      </c>
      <c r="H24" s="1">
        <v>849000</v>
      </c>
      <c r="I24" s="1">
        <v>717000</v>
      </c>
      <c r="J24" s="1">
        <v>614000</v>
      </c>
      <c r="K24" s="1">
        <v>540000</v>
      </c>
      <c r="L24" s="1">
        <v>478000</v>
      </c>
      <c r="M24" s="1">
        <v>406000</v>
      </c>
      <c r="N24" s="1">
        <v>357000</v>
      </c>
      <c r="O24" s="1">
        <v>0</v>
      </c>
      <c r="P24" s="1">
        <v>6099000</v>
      </c>
      <c r="Q24" s="1">
        <v>0</v>
      </c>
      <c r="R24" s="1">
        <v>0</v>
      </c>
    </row>
    <row r="25" spans="1:18" x14ac:dyDescent="0.2">
      <c r="A25" s="6" t="s">
        <v>16</v>
      </c>
      <c r="B25" s="5">
        <v>61833000</v>
      </c>
      <c r="C25" s="5">
        <v>66958000</v>
      </c>
      <c r="D25" s="5">
        <v>55406000</v>
      </c>
      <c r="E25" s="5">
        <v>39774000</v>
      </c>
      <c r="F25" s="5">
        <v>11285000</v>
      </c>
      <c r="G25" s="5">
        <v>144000</v>
      </c>
      <c r="H25" s="5">
        <v>-8896000</v>
      </c>
      <c r="I25" s="5">
        <v>-24347000</v>
      </c>
      <c r="J25" s="5">
        <v>-82967000</v>
      </c>
      <c r="K25" s="5">
        <v>9020000</v>
      </c>
      <c r="L25" s="5">
        <v>-1977000</v>
      </c>
      <c r="M25" s="5">
        <v>-17613000</v>
      </c>
      <c r="N25" s="5">
        <v>-18927000</v>
      </c>
      <c r="O25" s="5">
        <v>-21838000</v>
      </c>
      <c r="P25" s="5">
        <v>-6099000</v>
      </c>
      <c r="Q25" s="5">
        <v>-28072000</v>
      </c>
      <c r="R25" s="5">
        <v>-4185000</v>
      </c>
    </row>
    <row r="26" spans="1:18" x14ac:dyDescent="0.2">
      <c r="A26" s="3" t="s">
        <v>15</v>
      </c>
      <c r="B26" s="7">
        <v>0.20052146670000001</v>
      </c>
      <c r="C26" s="7">
        <v>0.24745826600000001</v>
      </c>
      <c r="D26" s="7">
        <v>0.24029491489999999</v>
      </c>
      <c r="E26" s="7">
        <v>0.20723720200000001</v>
      </c>
      <c r="F26" s="7">
        <v>7.0778088599999997E-2</v>
      </c>
      <c r="G26" s="7">
        <v>1.0205817E-3</v>
      </c>
      <c r="H26" s="7">
        <v>-7.86657942E-2</v>
      </c>
      <c r="I26" s="7">
        <v>-0.3168119714</v>
      </c>
      <c r="J26" s="7">
        <v>-1.2713690276</v>
      </c>
      <c r="K26" s="7">
        <v>0.17856435840000001</v>
      </c>
      <c r="L26" s="7">
        <v>-5.3536611800000002E-2</v>
      </c>
      <c r="M26" s="7">
        <v>-1.6479229042000001</v>
      </c>
      <c r="N26" s="7">
        <v>-1.0715013587</v>
      </c>
      <c r="O26" s="7">
        <v>-1.0728567919000001</v>
      </c>
      <c r="P26" s="7">
        <v>-0.26399168940000001</v>
      </c>
      <c r="Q26" s="7">
        <v>-1.3120209384999999</v>
      </c>
      <c r="R26" s="7">
        <v>-0.27866560130000001</v>
      </c>
    </row>
    <row r="28" spans="1:18" x14ac:dyDescent="0.2">
      <c r="A28" s="1" t="s">
        <v>14</v>
      </c>
      <c r="B28" s="1">
        <v>11581000</v>
      </c>
      <c r="C28" s="1">
        <v>11957000</v>
      </c>
      <c r="D28" s="1">
        <v>11456000</v>
      </c>
      <c r="E28" s="1">
        <v>10885000</v>
      </c>
      <c r="F28" s="1">
        <v>10432000</v>
      </c>
      <c r="G28" s="1">
        <v>10558000</v>
      </c>
      <c r="H28" s="1">
        <v>10912000</v>
      </c>
      <c r="I28" s="1">
        <v>10264000</v>
      </c>
      <c r="J28" s="1">
        <v>2554000</v>
      </c>
      <c r="K28" s="1">
        <v>1674000</v>
      </c>
      <c r="L28" s="1">
        <v>1724000</v>
      </c>
      <c r="M28" s="1">
        <v>1555000</v>
      </c>
      <c r="N28" s="1">
        <v>1596000</v>
      </c>
      <c r="O28" s="1">
        <v>1497000</v>
      </c>
      <c r="P28" s="1">
        <v>901000</v>
      </c>
      <c r="Q28" s="1">
        <v>215000</v>
      </c>
      <c r="R28" s="1">
        <v>0</v>
      </c>
    </row>
    <row r="29" spans="1:18" x14ac:dyDescent="0.2">
      <c r="A29" s="1" t="s">
        <v>13</v>
      </c>
      <c r="B29" s="1">
        <v>73414000</v>
      </c>
      <c r="C29" s="1">
        <v>78915000</v>
      </c>
      <c r="D29" s="1">
        <v>66862000</v>
      </c>
      <c r="E29" s="1">
        <v>50659000</v>
      </c>
      <c r="F29" s="1">
        <v>21717000</v>
      </c>
      <c r="G29" s="1">
        <v>10702000</v>
      </c>
      <c r="H29" s="1">
        <v>2016000</v>
      </c>
      <c r="I29" s="1">
        <v>-14083000</v>
      </c>
      <c r="J29" s="1">
        <v>-80413000</v>
      </c>
      <c r="K29" s="1">
        <v>10694000</v>
      </c>
      <c r="L29" s="1">
        <v>-253000</v>
      </c>
      <c r="M29" s="1">
        <v>-16058000</v>
      </c>
      <c r="N29" s="1">
        <v>-17331000</v>
      </c>
      <c r="O29" s="1">
        <v>-20341000</v>
      </c>
      <c r="P29" s="1">
        <v>-5198000</v>
      </c>
      <c r="Q29" s="1">
        <v>-27857000</v>
      </c>
      <c r="R29" s="1">
        <v>-4185000</v>
      </c>
    </row>
    <row r="30" spans="1:18" x14ac:dyDescent="0.2">
      <c r="A30" s="2" t="s">
        <v>12</v>
      </c>
      <c r="B30" s="2">
        <v>0.2380780968</v>
      </c>
      <c r="C30" s="2">
        <v>0.29164803410000001</v>
      </c>
      <c r="D30" s="2">
        <v>0.2899793993</v>
      </c>
      <c r="E30" s="2">
        <v>0.26395206459999998</v>
      </c>
      <c r="F30" s="2">
        <v>0.1362062694</v>
      </c>
      <c r="G30" s="2">
        <v>7.5849067300000003E-2</v>
      </c>
      <c r="H30" s="2">
        <v>1.78271404E-2</v>
      </c>
      <c r="I30" s="2">
        <v>-0.18325309040000001</v>
      </c>
      <c r="J30" s="2">
        <v>-1.2322320634999999</v>
      </c>
      <c r="K30" s="2">
        <v>0.21170368610000001</v>
      </c>
      <c r="L30" s="2">
        <v>-6.8511698000000001E-3</v>
      </c>
      <c r="M30" s="2">
        <v>-1.5024326347000001</v>
      </c>
      <c r="N30" s="2">
        <v>-0.98114809780000001</v>
      </c>
      <c r="O30" s="2">
        <v>-0.9993122083</v>
      </c>
      <c r="P30" s="2">
        <v>-0.22499242520000001</v>
      </c>
      <c r="Q30" s="2">
        <v>-1.3019723313</v>
      </c>
      <c r="R30" s="2">
        <v>-0.27866560130000001</v>
      </c>
    </row>
    <row r="31" spans="1:18" x14ac:dyDescent="0.2">
      <c r="A31" s="1" t="s">
        <v>11</v>
      </c>
      <c r="B31" s="1">
        <v>-6896000</v>
      </c>
      <c r="C31" s="1">
        <v>33933000</v>
      </c>
      <c r="D31" s="1">
        <v>-24252000</v>
      </c>
      <c r="E31" s="1">
        <v>-560000</v>
      </c>
      <c r="F31" s="1">
        <v>-10102000</v>
      </c>
      <c r="G31" s="1">
        <v>-14011000</v>
      </c>
      <c r="H31" s="1">
        <v>9609000</v>
      </c>
      <c r="I31" s="1">
        <v>-6537000</v>
      </c>
      <c r="J31" s="1">
        <v>12582000</v>
      </c>
      <c r="K31" s="1">
        <v>-3631000</v>
      </c>
      <c r="L31" s="1">
        <v>2871000</v>
      </c>
      <c r="M31" s="1">
        <v>3946000</v>
      </c>
      <c r="N31" s="1">
        <v>123000</v>
      </c>
      <c r="O31" s="1">
        <v>-244000</v>
      </c>
      <c r="P31" s="1">
        <v>144000</v>
      </c>
      <c r="Q31" s="1">
        <v>-523000</v>
      </c>
      <c r="R31" s="1">
        <v>1387000</v>
      </c>
    </row>
    <row r="32" spans="1:18" x14ac:dyDescent="0.2">
      <c r="A32" s="6" t="s">
        <v>10</v>
      </c>
      <c r="B32" s="5">
        <v>80310000</v>
      </c>
      <c r="C32" s="5">
        <v>44982000</v>
      </c>
      <c r="D32" s="5">
        <v>91114000</v>
      </c>
      <c r="E32" s="5">
        <v>51219000</v>
      </c>
      <c r="F32" s="5">
        <v>31819000</v>
      </c>
      <c r="G32" s="5">
        <v>24713000</v>
      </c>
      <c r="H32" s="5">
        <v>-7593000</v>
      </c>
      <c r="I32" s="5">
        <v>-7546000</v>
      </c>
      <c r="J32" s="5">
        <v>-92995000</v>
      </c>
      <c r="K32" s="5">
        <v>14325000</v>
      </c>
      <c r="L32" s="5">
        <v>-3124000</v>
      </c>
      <c r="M32" s="5">
        <v>-20004000</v>
      </c>
      <c r="N32" s="5">
        <v>-17454000</v>
      </c>
      <c r="O32" s="5">
        <v>-20097000</v>
      </c>
      <c r="P32" s="5">
        <v>-5342000</v>
      </c>
      <c r="Q32" s="5">
        <v>-27334000</v>
      </c>
      <c r="R32" s="5">
        <v>-5572000</v>
      </c>
    </row>
    <row r="34" spans="1:18" x14ac:dyDescent="0.2">
      <c r="A34" s="3" t="s">
        <v>9</v>
      </c>
      <c r="B34" s="3">
        <v>0.26044149550000001</v>
      </c>
      <c r="C34" s="3">
        <v>0.16624104249999999</v>
      </c>
      <c r="D34" s="3">
        <v>0.39515992630000002</v>
      </c>
      <c r="E34" s="3">
        <v>0.26686987099999998</v>
      </c>
      <c r="F34" s="3">
        <v>0.19956473199999999</v>
      </c>
      <c r="G34" s="3">
        <v>0.1751502523</v>
      </c>
      <c r="H34" s="3">
        <v>-6.71435898E-2</v>
      </c>
      <c r="I34" s="3">
        <v>-9.8191281699999994E-2</v>
      </c>
      <c r="J34" s="3">
        <v>-1.4250360109</v>
      </c>
      <c r="K34" s="3">
        <v>0.28358474880000001</v>
      </c>
      <c r="L34" s="3">
        <v>-8.4597053699999994E-2</v>
      </c>
      <c r="M34" s="3">
        <v>-1.8716317364999999</v>
      </c>
      <c r="N34" s="3">
        <v>-0.98811141300000005</v>
      </c>
      <c r="O34" s="3">
        <v>-0.98732498160000004</v>
      </c>
      <c r="P34" s="3">
        <v>-0.23122538200000001</v>
      </c>
      <c r="Q34" s="3">
        <v>-1.27752851</v>
      </c>
      <c r="R34" s="3">
        <v>-0.3710214409</v>
      </c>
    </row>
    <row r="35" spans="1:18" x14ac:dyDescent="0.2">
      <c r="A35" s="2" t="s">
        <v>8</v>
      </c>
      <c r="B35" s="2">
        <v>0.47</v>
      </c>
      <c r="C35" s="2">
        <v>0.27</v>
      </c>
      <c r="D35" s="2">
        <v>0.54</v>
      </c>
      <c r="E35" s="2">
        <v>0.31</v>
      </c>
      <c r="F35" s="2">
        <v>0.19</v>
      </c>
      <c r="G35" s="2">
        <v>0.15</v>
      </c>
      <c r="H35" s="2">
        <v>-4.8399999999999999E-2</v>
      </c>
      <c r="I35" s="2">
        <v>-4.8599999999999997E-2</v>
      </c>
      <c r="J35" s="2">
        <v>-0.6</v>
      </c>
      <c r="K35" s="2">
        <v>9.3899999999999997E-2</v>
      </c>
      <c r="L35" s="2">
        <v>-2.0500000000000001E-2</v>
      </c>
      <c r="M35" s="2">
        <v>-0.15</v>
      </c>
      <c r="N35" s="2">
        <v>-0.13</v>
      </c>
      <c r="O35" s="2">
        <v>-0.59</v>
      </c>
      <c r="P35" s="2">
        <v>-0.16</v>
      </c>
      <c r="Q35" s="2">
        <v>-0.8</v>
      </c>
      <c r="R35" s="2">
        <v>-0.16</v>
      </c>
    </row>
    <row r="36" spans="1:18" x14ac:dyDescent="0.2">
      <c r="A36" s="2" t="s">
        <v>7</v>
      </c>
      <c r="B36" s="2">
        <v>0.44</v>
      </c>
      <c r="C36" s="2">
        <v>0.25</v>
      </c>
      <c r="D36" s="2">
        <v>0.5</v>
      </c>
      <c r="E36" s="2">
        <v>0.28999999999999998</v>
      </c>
      <c r="F36" s="2">
        <v>0.18</v>
      </c>
      <c r="G36" s="2">
        <v>0.14000000000000001</v>
      </c>
      <c r="H36" s="2">
        <v>-4.8399999999999999E-2</v>
      </c>
      <c r="I36" s="2">
        <v>-4.8599999999999997E-2</v>
      </c>
      <c r="J36" s="2">
        <v>-0.6</v>
      </c>
      <c r="K36" s="2">
        <v>9.3899999999999997E-2</v>
      </c>
      <c r="L36" s="2">
        <v>-2.0500000000000001E-2</v>
      </c>
      <c r="M36" s="2">
        <v>-0.15</v>
      </c>
      <c r="N36" s="2">
        <v>-0.13</v>
      </c>
      <c r="O36" s="2">
        <v>-0.59</v>
      </c>
      <c r="P36" s="2">
        <v>-0.16</v>
      </c>
      <c r="Q36" s="2">
        <v>-0.8</v>
      </c>
      <c r="R36" s="2">
        <v>-0.16</v>
      </c>
    </row>
    <row r="37" spans="1:18" x14ac:dyDescent="0.2">
      <c r="A37" s="1" t="s">
        <v>6</v>
      </c>
      <c r="B37" s="1">
        <v>170726000</v>
      </c>
      <c r="C37" s="1">
        <v>169505000</v>
      </c>
      <c r="D37" s="1">
        <v>167436000</v>
      </c>
      <c r="E37" s="1">
        <v>165428000</v>
      </c>
      <c r="F37" s="1">
        <v>163194000</v>
      </c>
      <c r="G37" s="1">
        <v>159895000</v>
      </c>
      <c r="H37" s="1">
        <v>156831000</v>
      </c>
      <c r="I37" s="1">
        <v>155199000</v>
      </c>
      <c r="J37" s="1">
        <v>153851000</v>
      </c>
      <c r="K37" s="1">
        <v>152503000</v>
      </c>
      <c r="L37" s="1">
        <v>152503000</v>
      </c>
      <c r="M37" s="1">
        <v>130452000</v>
      </c>
      <c r="N37" s="1">
        <v>130452000</v>
      </c>
      <c r="O37" s="1">
        <v>34171000</v>
      </c>
      <c r="P37" s="1">
        <v>34171000</v>
      </c>
      <c r="Q37" s="1">
        <v>34171000</v>
      </c>
      <c r="R37" s="1">
        <v>34171000</v>
      </c>
    </row>
    <row r="38" spans="1:18" x14ac:dyDescent="0.2">
      <c r="A38" s="1" t="s">
        <v>5</v>
      </c>
      <c r="B38" s="1">
        <v>181157000</v>
      </c>
      <c r="C38" s="1">
        <v>181181000</v>
      </c>
      <c r="D38" s="1">
        <v>180631000</v>
      </c>
      <c r="E38" s="1">
        <v>178100000</v>
      </c>
      <c r="F38" s="1">
        <v>178116000</v>
      </c>
      <c r="G38" s="1">
        <v>177559000</v>
      </c>
      <c r="H38" s="1">
        <v>156831000</v>
      </c>
      <c r="I38" s="1">
        <v>155199000</v>
      </c>
      <c r="J38" s="1">
        <v>153851000</v>
      </c>
      <c r="K38" s="1">
        <v>152503000</v>
      </c>
      <c r="L38" s="1">
        <v>152503000</v>
      </c>
      <c r="M38" s="1">
        <v>130452000</v>
      </c>
      <c r="N38" s="1">
        <v>130452000</v>
      </c>
      <c r="O38" s="1">
        <v>34171000</v>
      </c>
      <c r="P38" s="1">
        <v>34171000</v>
      </c>
      <c r="Q38" s="1">
        <v>34171000</v>
      </c>
      <c r="R38" s="1">
        <v>34171000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D0E1-A985-EF40-9BA7-48E3744AA32C}">
  <dimension ref="A1:K52"/>
  <sheetViews>
    <sheetView workbookViewId="0"/>
  </sheetViews>
  <sheetFormatPr baseColWidth="10" defaultRowHeight="16" x14ac:dyDescent="0.2"/>
  <cols>
    <col min="1" max="1" width="40.83203125" bestFit="1" customWidth="1"/>
    <col min="2" max="10" width="15.83203125" bestFit="1" customWidth="1"/>
    <col min="11" max="11" width="15" bestFit="1" customWidth="1"/>
  </cols>
  <sheetData>
    <row r="1" spans="1:11" x14ac:dyDescent="0.2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t="s">
        <v>1</v>
      </c>
      <c r="B2" t="s">
        <v>2</v>
      </c>
    </row>
    <row r="3" spans="1:11" x14ac:dyDescent="0.2">
      <c r="A3" t="s">
        <v>3</v>
      </c>
      <c r="B3" t="str">
        <f>'ALAB - Income Statement Q'!B3</f>
        <v>USD</v>
      </c>
    </row>
    <row r="4" spans="1:11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</row>
    <row r="5" spans="1:11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</row>
    <row r="7" spans="1:11" x14ac:dyDescent="0.2">
      <c r="A7" s="1" t="s">
        <v>74</v>
      </c>
      <c r="B7" s="1">
        <v>148285000</v>
      </c>
      <c r="C7" s="1">
        <v>167611000</v>
      </c>
      <c r="D7" s="1">
        <v>140407000</v>
      </c>
      <c r="E7" s="1">
        <v>162328000</v>
      </c>
      <c r="F7" s="1">
        <v>86431000</v>
      </c>
      <c r="G7" s="1">
        <v>79551000</v>
      </c>
      <c r="H7" s="1">
        <v>126117000</v>
      </c>
      <c r="I7" s="1">
        <v>421076000</v>
      </c>
      <c r="J7" s="1">
        <v>696077000</v>
      </c>
      <c r="K7" s="1">
        <v>45098000</v>
      </c>
    </row>
    <row r="8" spans="1:11" x14ac:dyDescent="0.2">
      <c r="A8" s="1" t="s">
        <v>73</v>
      </c>
      <c r="B8" s="1">
        <v>1036189000</v>
      </c>
      <c r="C8" s="1">
        <v>1021205000</v>
      </c>
      <c r="D8" s="1">
        <v>994021000</v>
      </c>
      <c r="E8" s="1">
        <v>902758000</v>
      </c>
      <c r="F8" s="1">
        <v>838295000</v>
      </c>
      <c r="G8" s="1">
        <v>834750000</v>
      </c>
      <c r="H8" s="1">
        <v>760684000</v>
      </c>
      <c r="I8" s="1">
        <v>409919000</v>
      </c>
      <c r="J8" s="1">
        <v>105314000</v>
      </c>
      <c r="K8" s="1">
        <v>104215000</v>
      </c>
    </row>
    <row r="9" spans="1:11" x14ac:dyDescent="0.2">
      <c r="A9" s="1" t="s">
        <v>72</v>
      </c>
      <c r="B9" s="1">
        <v>1184474000</v>
      </c>
      <c r="C9" s="1">
        <v>1188816000</v>
      </c>
      <c r="D9" s="1">
        <v>1134428000</v>
      </c>
      <c r="E9" s="1">
        <v>1065086000</v>
      </c>
      <c r="F9" s="1">
        <v>924726000</v>
      </c>
      <c r="G9" s="1">
        <v>914301000</v>
      </c>
      <c r="H9" s="1">
        <v>886801000</v>
      </c>
      <c r="I9" s="1">
        <v>830995000</v>
      </c>
      <c r="J9" s="1">
        <v>801391000</v>
      </c>
      <c r="K9" s="1">
        <v>149313000</v>
      </c>
    </row>
    <row r="10" spans="1:11" x14ac:dyDescent="0.2">
      <c r="A10" s="1" t="s">
        <v>71</v>
      </c>
      <c r="B10" s="1">
        <v>134797000</v>
      </c>
      <c r="C10" s="1">
        <v>83202000</v>
      </c>
      <c r="D10" s="1">
        <v>42898000</v>
      </c>
      <c r="E10" s="1">
        <v>24318000</v>
      </c>
      <c r="F10" s="1">
        <v>69778000</v>
      </c>
      <c r="G10" s="1">
        <v>38811000</v>
      </c>
      <c r="H10" s="1">
        <v>25386000</v>
      </c>
      <c r="I10" s="1">
        <v>22233000</v>
      </c>
      <c r="J10" s="1">
        <v>16757000</v>
      </c>
      <c r="K10" s="1">
        <v>8335000</v>
      </c>
    </row>
    <row r="11" spans="1:11" x14ac:dyDescent="0.2">
      <c r="A11" s="1" t="s">
        <v>70</v>
      </c>
      <c r="B11" s="1">
        <v>60156000</v>
      </c>
      <c r="C11" s="1">
        <v>58979000</v>
      </c>
      <c r="D11" s="1">
        <v>51663000</v>
      </c>
      <c r="E11" s="1">
        <v>58602000</v>
      </c>
      <c r="F11" s="1">
        <v>51057000</v>
      </c>
      <c r="G11" s="1">
        <v>43215000</v>
      </c>
      <c r="H11" s="1">
        <v>24415000</v>
      </c>
      <c r="I11" s="1">
        <v>28572000</v>
      </c>
      <c r="J11" s="1">
        <v>29567000</v>
      </c>
      <c r="K11" s="1">
        <v>24095000</v>
      </c>
    </row>
    <row r="12" spans="1:11" x14ac:dyDescent="0.2">
      <c r="A12" s="1" t="s">
        <v>69</v>
      </c>
      <c r="B12" s="1">
        <v>33509000</v>
      </c>
      <c r="C12" s="1">
        <v>31033000</v>
      </c>
      <c r="D12" s="1">
        <v>61170000</v>
      </c>
      <c r="E12" s="1">
        <v>32742000</v>
      </c>
      <c r="F12" s="1">
        <v>30258000</v>
      </c>
      <c r="G12" s="1">
        <v>16652000</v>
      </c>
      <c r="H12" s="1">
        <v>8987000</v>
      </c>
      <c r="I12" s="1">
        <v>9445000</v>
      </c>
      <c r="J12" s="1">
        <v>6725000</v>
      </c>
      <c r="K12" s="1">
        <v>4064000</v>
      </c>
    </row>
    <row r="13" spans="1:11" x14ac:dyDescent="0.2">
      <c r="A13" s="6" t="s">
        <v>68</v>
      </c>
      <c r="B13" s="4">
        <v>1412936000</v>
      </c>
      <c r="C13" s="4">
        <v>1362030000</v>
      </c>
      <c r="D13" s="4">
        <v>1290159000</v>
      </c>
      <c r="E13" s="4">
        <v>1180748000</v>
      </c>
      <c r="F13" s="4">
        <v>1075819000</v>
      </c>
      <c r="G13" s="4">
        <v>1012979000</v>
      </c>
      <c r="H13" s="4">
        <v>945589000</v>
      </c>
      <c r="I13" s="4">
        <v>891245000</v>
      </c>
      <c r="J13" s="4">
        <v>854440000</v>
      </c>
      <c r="K13" s="4">
        <v>185807000</v>
      </c>
    </row>
    <row r="15" spans="1:11" x14ac:dyDescent="0.2">
      <c r="A15" s="1" t="s">
        <v>67</v>
      </c>
      <c r="B15" s="1">
        <v>97172000</v>
      </c>
      <c r="C15" s="1">
        <v>92038000</v>
      </c>
      <c r="D15" s="1">
        <v>72482000</v>
      </c>
      <c r="E15" s="1">
        <v>62075000</v>
      </c>
      <c r="F15" s="1">
        <v>39474000</v>
      </c>
      <c r="G15" s="1">
        <v>35651000</v>
      </c>
      <c r="H15" s="1">
        <v>35137000</v>
      </c>
      <c r="I15" s="1">
        <v>21821000</v>
      </c>
      <c r="J15" s="1">
        <v>7581000</v>
      </c>
      <c r="K15" s="1">
        <v>4712000</v>
      </c>
    </row>
    <row r="16" spans="1:11" x14ac:dyDescent="0.2">
      <c r="A16" s="1" t="s">
        <v>66</v>
      </c>
      <c r="B16" s="1">
        <v>87725000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">
      <c r="A17" s="1" t="s">
        <v>65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">
      <c r="A18" s="1" t="s">
        <v>64</v>
      </c>
      <c r="B18" s="1">
        <v>87725000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">
      <c r="A19" s="1" t="s">
        <v>63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">
      <c r="A20" s="1" t="s">
        <v>62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">
      <c r="A21" s="1" t="s">
        <v>61</v>
      </c>
      <c r="B21" s="1">
        <v>61382000</v>
      </c>
      <c r="C21" s="1">
        <v>77755000</v>
      </c>
      <c r="D21" s="1">
        <v>38541000</v>
      </c>
      <c r="E21" s="1">
        <v>28582000</v>
      </c>
      <c r="F21" s="1">
        <v>6401000</v>
      </c>
      <c r="G21" s="1">
        <v>5878000</v>
      </c>
      <c r="H21" s="1">
        <v>2339000</v>
      </c>
      <c r="I21" s="1">
        <v>2449000</v>
      </c>
      <c r="J21" s="1">
        <v>2880000</v>
      </c>
      <c r="K21" s="1">
        <v>5773000</v>
      </c>
    </row>
    <row r="22" spans="1:11" x14ac:dyDescent="0.2">
      <c r="A22" s="6" t="s">
        <v>60</v>
      </c>
      <c r="B22" s="4">
        <v>246279000</v>
      </c>
      <c r="C22" s="4">
        <v>169793000</v>
      </c>
      <c r="D22" s="4">
        <v>111023000</v>
      </c>
      <c r="E22" s="4">
        <v>90657000</v>
      </c>
      <c r="F22" s="4">
        <v>45875000</v>
      </c>
      <c r="G22" s="4">
        <v>41529000</v>
      </c>
      <c r="H22" s="4">
        <v>37476000</v>
      </c>
      <c r="I22" s="4">
        <v>24270000</v>
      </c>
      <c r="J22" s="4">
        <v>10461000</v>
      </c>
      <c r="K22" s="4">
        <v>10485000</v>
      </c>
    </row>
    <row r="24" spans="1:11" x14ac:dyDescent="0.2">
      <c r="A24" s="1" t="s">
        <v>59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">
      <c r="A25" s="6" t="s">
        <v>58</v>
      </c>
      <c r="B25" s="5">
        <v>1659215000</v>
      </c>
      <c r="C25" s="5">
        <v>1531823000</v>
      </c>
      <c r="D25" s="5">
        <v>1401182000</v>
      </c>
      <c r="E25" s="5">
        <v>1271405000</v>
      </c>
      <c r="F25" s="5">
        <v>1121694000</v>
      </c>
      <c r="G25" s="5">
        <v>1054508000</v>
      </c>
      <c r="H25" s="5">
        <v>983065000</v>
      </c>
      <c r="I25" s="5">
        <v>915515000</v>
      </c>
      <c r="J25" s="5">
        <v>864901000</v>
      </c>
      <c r="K25" s="5">
        <v>196292000</v>
      </c>
    </row>
    <row r="27" spans="1:11" x14ac:dyDescent="0.2">
      <c r="A27" s="1" t="s">
        <v>57</v>
      </c>
      <c r="B27" s="1">
        <v>55818000</v>
      </c>
      <c r="C27" s="1">
        <v>42362000</v>
      </c>
      <c r="D27" s="1">
        <v>25811000</v>
      </c>
      <c r="E27" s="1">
        <v>31573000</v>
      </c>
      <c r="F27" s="1">
        <v>29513000</v>
      </c>
      <c r="G27" s="1">
        <v>26918000</v>
      </c>
      <c r="H27" s="1">
        <v>18551000</v>
      </c>
      <c r="I27" s="1">
        <v>14595000</v>
      </c>
      <c r="J27" s="1">
        <v>11465000</v>
      </c>
      <c r="K27" s="1">
        <v>6337000</v>
      </c>
    </row>
    <row r="28" spans="1:11" x14ac:dyDescent="0.2">
      <c r="A28" s="1" t="s">
        <v>56</v>
      </c>
      <c r="B28" s="1">
        <v>0</v>
      </c>
      <c r="C28" s="1">
        <v>0</v>
      </c>
      <c r="D28" s="1">
        <v>4440000</v>
      </c>
      <c r="E28" s="1">
        <v>4666000</v>
      </c>
      <c r="F28" s="1">
        <v>0</v>
      </c>
      <c r="G28" s="1">
        <v>1286000</v>
      </c>
      <c r="H28" s="1">
        <v>0</v>
      </c>
      <c r="I28" s="1">
        <v>2133000</v>
      </c>
      <c r="J28" s="1">
        <v>2333000</v>
      </c>
      <c r="K28" s="1">
        <v>2156000</v>
      </c>
    </row>
    <row r="29" spans="1:11" x14ac:dyDescent="0.2">
      <c r="A29" s="1" t="s">
        <v>55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8569000</v>
      </c>
      <c r="I29" s="1">
        <v>0</v>
      </c>
      <c r="J29" s="1">
        <v>10224000</v>
      </c>
      <c r="K29" s="1">
        <v>0</v>
      </c>
    </row>
    <row r="30" spans="1:11" x14ac:dyDescent="0.2">
      <c r="A30" s="1" t="s">
        <v>54</v>
      </c>
      <c r="B30" s="1">
        <v>0</v>
      </c>
      <c r="C30" s="1">
        <v>0</v>
      </c>
      <c r="D30" s="1">
        <v>0</v>
      </c>
      <c r="E30" s="1">
        <v>0</v>
      </c>
      <c r="F30" s="1">
        <v>15000000</v>
      </c>
      <c r="G30" s="1">
        <v>15000000</v>
      </c>
      <c r="H30" s="1">
        <v>10000000</v>
      </c>
      <c r="I30" s="1">
        <v>5000000</v>
      </c>
      <c r="J30" s="1">
        <v>0</v>
      </c>
      <c r="K30" s="1">
        <v>0</v>
      </c>
    </row>
    <row r="31" spans="1:11" x14ac:dyDescent="0.2">
      <c r="A31" s="1" t="s">
        <v>53</v>
      </c>
      <c r="B31" s="1">
        <v>69226000</v>
      </c>
      <c r="C31" s="1">
        <v>90680000</v>
      </c>
      <c r="D31" s="1">
        <v>70707000</v>
      </c>
      <c r="E31" s="1">
        <v>70144000</v>
      </c>
      <c r="F31" s="1">
        <v>32767000</v>
      </c>
      <c r="G31" s="1">
        <v>43338000</v>
      </c>
      <c r="H31" s="1">
        <v>50920000</v>
      </c>
      <c r="I31" s="1">
        <v>42345000</v>
      </c>
      <c r="J31" s="1">
        <v>21565000</v>
      </c>
      <c r="K31" s="1">
        <v>26586000</v>
      </c>
    </row>
    <row r="32" spans="1:11" x14ac:dyDescent="0.2">
      <c r="A32" s="6" t="s">
        <v>52</v>
      </c>
      <c r="B32" s="4">
        <v>125044000</v>
      </c>
      <c r="C32" s="4">
        <v>133042000</v>
      </c>
      <c r="D32" s="4">
        <v>100958000</v>
      </c>
      <c r="E32" s="4">
        <v>106383000</v>
      </c>
      <c r="F32" s="4">
        <v>77280000</v>
      </c>
      <c r="G32" s="4">
        <v>86542000</v>
      </c>
      <c r="H32" s="4">
        <v>88040000</v>
      </c>
      <c r="I32" s="4">
        <v>64073000</v>
      </c>
      <c r="J32" s="4">
        <v>45587000</v>
      </c>
      <c r="K32" s="4">
        <v>35079000</v>
      </c>
    </row>
    <row r="34" spans="1:11" x14ac:dyDescent="0.2">
      <c r="A34" s="1" t="s">
        <v>51</v>
      </c>
      <c r="B34" s="1">
        <v>0</v>
      </c>
      <c r="C34" s="1">
        <v>35147000</v>
      </c>
      <c r="D34" s="1">
        <v>53762000</v>
      </c>
      <c r="E34" s="1">
        <v>27640000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">
      <c r="A35" s="1" t="s">
        <v>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5000000</v>
      </c>
      <c r="K35" s="1">
        <v>0</v>
      </c>
    </row>
    <row r="36" spans="1:11" x14ac:dyDescent="0.2">
      <c r="A36" s="1" t="s">
        <v>49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">
      <c r="A37" s="1" t="s">
        <v>48</v>
      </c>
      <c r="B37" s="1">
        <v>40223000</v>
      </c>
      <c r="C37" s="1">
        <v>0</v>
      </c>
      <c r="D37" s="1">
        <v>-25269000</v>
      </c>
      <c r="E37" s="1">
        <v>1668000</v>
      </c>
      <c r="F37" s="1">
        <v>2852000</v>
      </c>
      <c r="G37" s="1">
        <v>3167000</v>
      </c>
      <c r="H37" s="1">
        <v>5413000</v>
      </c>
      <c r="I37" s="1">
        <v>6190000</v>
      </c>
      <c r="J37" s="1">
        <v>5530000</v>
      </c>
      <c r="K37" s="1">
        <v>258914000</v>
      </c>
    </row>
    <row r="38" spans="1:11" x14ac:dyDescent="0.2">
      <c r="A38" s="6" t="s">
        <v>47</v>
      </c>
      <c r="B38" s="4">
        <v>40223000</v>
      </c>
      <c r="C38" s="4">
        <v>35147000</v>
      </c>
      <c r="D38" s="4">
        <v>28493000</v>
      </c>
      <c r="E38" s="4">
        <v>29308000</v>
      </c>
      <c r="F38" s="4">
        <v>2852000</v>
      </c>
      <c r="G38" s="4">
        <v>3167000</v>
      </c>
      <c r="H38" s="4">
        <v>5413000</v>
      </c>
      <c r="I38" s="4">
        <v>6190000</v>
      </c>
      <c r="J38" s="4">
        <v>10530000</v>
      </c>
      <c r="K38" s="4">
        <v>258914000</v>
      </c>
    </row>
    <row r="40" spans="1:11" x14ac:dyDescent="0.2">
      <c r="A40" s="1" t="s">
        <v>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">
      <c r="A41" s="6" t="s">
        <v>45</v>
      </c>
      <c r="B41" s="5">
        <v>165267000</v>
      </c>
      <c r="C41" s="5">
        <v>168189000</v>
      </c>
      <c r="D41" s="5">
        <v>129451000</v>
      </c>
      <c r="E41" s="5">
        <v>135691000</v>
      </c>
      <c r="F41" s="5">
        <v>80132000</v>
      </c>
      <c r="G41" s="5">
        <v>89709000</v>
      </c>
      <c r="H41" s="5">
        <v>93453000</v>
      </c>
      <c r="I41" s="5">
        <v>70263000</v>
      </c>
      <c r="J41" s="5">
        <v>56117000</v>
      </c>
      <c r="K41" s="5">
        <v>293993000</v>
      </c>
    </row>
    <row r="43" spans="1:11" x14ac:dyDescent="0.2">
      <c r="A43" s="1" t="s">
        <v>44</v>
      </c>
      <c r="B43" s="1">
        <v>17000</v>
      </c>
      <c r="C43" s="1">
        <v>17000</v>
      </c>
      <c r="D43" s="1">
        <v>17000</v>
      </c>
      <c r="E43" s="1">
        <v>17000</v>
      </c>
      <c r="F43" s="1">
        <v>16000</v>
      </c>
      <c r="G43" s="1">
        <v>16000</v>
      </c>
      <c r="H43" s="1">
        <v>16000</v>
      </c>
      <c r="I43" s="1">
        <v>16000</v>
      </c>
      <c r="J43" s="1">
        <v>16000</v>
      </c>
      <c r="K43" s="1">
        <v>4000</v>
      </c>
    </row>
    <row r="44" spans="1:11" x14ac:dyDescent="0.2">
      <c r="A44" s="1" t="s">
        <v>43</v>
      </c>
      <c r="B44" s="1">
        <v>90648000</v>
      </c>
      <c r="C44" s="1">
        <v>10338000</v>
      </c>
      <c r="D44" s="1">
        <v>-34644000</v>
      </c>
      <c r="E44" s="1">
        <v>-125758000</v>
      </c>
      <c r="F44" s="1">
        <v>-176977000</v>
      </c>
      <c r="G44" s="1">
        <v>-208796000</v>
      </c>
      <c r="H44" s="1">
        <v>-233509000</v>
      </c>
      <c r="I44" s="1">
        <v>-225916000</v>
      </c>
      <c r="J44" s="1">
        <v>-218370000</v>
      </c>
      <c r="K44" s="1">
        <v>-125375000</v>
      </c>
    </row>
    <row r="45" spans="1:11" x14ac:dyDescent="0.2">
      <c r="A45" s="1" t="s">
        <v>42</v>
      </c>
      <c r="B45" s="1">
        <v>-780000</v>
      </c>
      <c r="C45" s="1">
        <v>4310000</v>
      </c>
      <c r="D45" s="1">
        <v>4097000</v>
      </c>
      <c r="E45" s="1">
        <v>2874000</v>
      </c>
      <c r="F45" s="1">
        <v>2028000</v>
      </c>
      <c r="G45" s="1">
        <v>426000</v>
      </c>
      <c r="H45" s="1">
        <v>4430000</v>
      </c>
      <c r="I45" s="1">
        <v>-352000</v>
      </c>
      <c r="J45" s="1">
        <v>-59000</v>
      </c>
      <c r="K45" s="1">
        <v>259000</v>
      </c>
    </row>
    <row r="46" spans="1:11" x14ac:dyDescent="0.2">
      <c r="A46" s="1" t="s">
        <v>41</v>
      </c>
      <c r="B46" s="1">
        <v>1404063000</v>
      </c>
      <c r="C46" s="1">
        <v>1348969000</v>
      </c>
      <c r="D46" s="1">
        <v>1302261000</v>
      </c>
      <c r="E46" s="1">
        <v>1258581000</v>
      </c>
      <c r="F46" s="1">
        <v>1216495000</v>
      </c>
      <c r="G46" s="1">
        <v>1173153000</v>
      </c>
      <c r="H46" s="1">
        <v>1118675000</v>
      </c>
      <c r="I46" s="1">
        <v>1071504000</v>
      </c>
      <c r="J46" s="1">
        <v>1027197000</v>
      </c>
      <c r="K46" s="1">
        <v>27411000</v>
      </c>
    </row>
    <row r="47" spans="1:11" x14ac:dyDescent="0.2">
      <c r="A47" s="6" t="s">
        <v>40</v>
      </c>
      <c r="B47" s="5">
        <v>1493948000</v>
      </c>
      <c r="C47" s="5">
        <v>1363634000</v>
      </c>
      <c r="D47" s="5">
        <v>1271731000</v>
      </c>
      <c r="E47" s="5">
        <v>1135714000</v>
      </c>
      <c r="F47" s="5">
        <v>1041562000</v>
      </c>
      <c r="G47" s="5">
        <v>964799000</v>
      </c>
      <c r="H47" s="5">
        <v>889612000</v>
      </c>
      <c r="I47" s="5">
        <v>845252000</v>
      </c>
      <c r="J47" s="5">
        <v>808784000</v>
      </c>
      <c r="K47" s="5">
        <v>-97701000</v>
      </c>
    </row>
    <row r="49" spans="1:11" x14ac:dyDescent="0.2">
      <c r="A49" s="1" t="s">
        <v>39</v>
      </c>
      <c r="B49" s="1">
        <v>1659215000</v>
      </c>
      <c r="C49" s="1">
        <v>1531823000</v>
      </c>
      <c r="D49" s="1">
        <v>1401182000</v>
      </c>
      <c r="E49" s="1">
        <v>1271405000</v>
      </c>
      <c r="F49" s="1">
        <v>1121694000</v>
      </c>
      <c r="G49" s="1">
        <v>1054508000</v>
      </c>
      <c r="H49" s="1">
        <v>983065000</v>
      </c>
      <c r="I49" s="1">
        <v>915515000</v>
      </c>
      <c r="J49" s="1">
        <v>864901000</v>
      </c>
      <c r="K49" s="1">
        <v>196292000</v>
      </c>
    </row>
    <row r="50" spans="1:11" x14ac:dyDescent="0.2">
      <c r="A50" s="1" t="s">
        <v>38</v>
      </c>
      <c r="B50" s="1">
        <v>1036189000</v>
      </c>
      <c r="C50" s="1">
        <v>1021205000</v>
      </c>
      <c r="D50" s="1">
        <v>994021000</v>
      </c>
      <c r="E50" s="1">
        <v>902758000</v>
      </c>
      <c r="F50" s="1">
        <v>838295000</v>
      </c>
      <c r="G50" s="1">
        <v>834750000</v>
      </c>
      <c r="H50" s="1">
        <v>760684000</v>
      </c>
      <c r="I50" s="1">
        <v>409919000</v>
      </c>
      <c r="J50" s="1">
        <v>105314000</v>
      </c>
      <c r="K50" s="1">
        <v>104215000</v>
      </c>
    </row>
    <row r="51" spans="1:11" x14ac:dyDescent="0.2">
      <c r="A51" s="1" t="s">
        <v>37</v>
      </c>
      <c r="B51" s="1">
        <v>0</v>
      </c>
      <c r="C51" s="1">
        <v>35147000</v>
      </c>
      <c r="D51" s="1">
        <v>58202000</v>
      </c>
      <c r="E51" s="1">
        <v>32306000</v>
      </c>
      <c r="F51" s="1">
        <v>0</v>
      </c>
      <c r="G51" s="1">
        <v>1286000</v>
      </c>
      <c r="H51" s="1">
        <v>0</v>
      </c>
      <c r="I51" s="1">
        <v>2133000</v>
      </c>
      <c r="J51" s="1">
        <v>2333000</v>
      </c>
      <c r="K51" s="1">
        <v>2156000</v>
      </c>
    </row>
    <row r="52" spans="1:11" x14ac:dyDescent="0.2">
      <c r="A52" s="1" t="s">
        <v>36</v>
      </c>
      <c r="B52" s="1">
        <v>-148285000</v>
      </c>
      <c r="C52" s="1">
        <v>-132464000</v>
      </c>
      <c r="D52" s="1">
        <v>-82205000</v>
      </c>
      <c r="E52" s="1">
        <v>-130022000</v>
      </c>
      <c r="F52" s="1">
        <v>-86431000</v>
      </c>
      <c r="G52" s="1">
        <v>-78265000</v>
      </c>
      <c r="H52" s="1">
        <v>-126117000</v>
      </c>
      <c r="I52" s="1">
        <v>-418943000</v>
      </c>
      <c r="J52" s="1">
        <v>-693744000</v>
      </c>
      <c r="K52" s="1">
        <v>-42942000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73F2-60DC-E54B-9F77-EE69BF22EA8B}">
  <dimension ref="A1:N39"/>
  <sheetViews>
    <sheetView workbookViewId="0"/>
  </sheetViews>
  <sheetFormatPr baseColWidth="10" defaultRowHeight="16" x14ac:dyDescent="0.2"/>
  <cols>
    <col min="1" max="1" width="40.5" bestFit="1" customWidth="1"/>
    <col min="2" max="9" width="15" bestFit="1" customWidth="1"/>
    <col min="10" max="10" width="14.33203125" bestFit="1" customWidth="1"/>
    <col min="11" max="12" width="14" bestFit="1" customWidth="1"/>
    <col min="13" max="14" width="14.33203125" bestFit="1" customWidth="1"/>
  </cols>
  <sheetData>
    <row r="1" spans="1:14" x14ac:dyDescent="0.2">
      <c r="A1" s="10" t="s">
        <v>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t="s">
        <v>1</v>
      </c>
      <c r="B2" t="s">
        <v>2</v>
      </c>
    </row>
    <row r="3" spans="1:14" x14ac:dyDescent="0.2">
      <c r="A3" t="s">
        <v>3</v>
      </c>
      <c r="B3" t="str">
        <f>'ALAB - Income Statement Q'!B3</f>
        <v>USD</v>
      </c>
    </row>
    <row r="4" spans="1:14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</row>
    <row r="5" spans="1:14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</row>
    <row r="7" spans="1:14" x14ac:dyDescent="0.2">
      <c r="A7" s="6" t="s">
        <v>10</v>
      </c>
      <c r="B7" s="5">
        <v>80310000</v>
      </c>
      <c r="C7" s="5">
        <v>44982000</v>
      </c>
      <c r="D7" s="5">
        <v>91114000</v>
      </c>
      <c r="E7" s="5">
        <v>51219000</v>
      </c>
      <c r="F7" s="5">
        <v>31819000</v>
      </c>
      <c r="G7" s="5">
        <v>24713000</v>
      </c>
      <c r="H7" s="5">
        <v>-7593000</v>
      </c>
      <c r="I7" s="5">
        <v>-7546000</v>
      </c>
      <c r="J7" s="5">
        <v>-92995000</v>
      </c>
      <c r="K7" s="5">
        <v>14325000</v>
      </c>
      <c r="L7" s="5">
        <v>-3124000</v>
      </c>
      <c r="M7" s="5">
        <v>-20004000</v>
      </c>
      <c r="N7" s="5">
        <v>-17454000</v>
      </c>
    </row>
    <row r="8" spans="1:14" x14ac:dyDescent="0.2">
      <c r="A8" s="1" t="s">
        <v>19</v>
      </c>
      <c r="B8" s="1">
        <v>3710000</v>
      </c>
      <c r="C8" s="1">
        <v>2846000</v>
      </c>
      <c r="D8" s="1">
        <v>1466000</v>
      </c>
      <c r="E8" s="1">
        <v>1392000</v>
      </c>
      <c r="F8" s="1">
        <v>1125000</v>
      </c>
      <c r="G8" s="1">
        <v>974000</v>
      </c>
      <c r="H8" s="1">
        <v>849000</v>
      </c>
      <c r="I8" s="1">
        <v>700000</v>
      </c>
      <c r="J8" s="1">
        <v>614000</v>
      </c>
      <c r="K8" s="1">
        <v>540000</v>
      </c>
      <c r="L8" s="1">
        <v>478000</v>
      </c>
      <c r="M8" s="1">
        <v>406000</v>
      </c>
      <c r="N8" s="1">
        <v>357000</v>
      </c>
    </row>
    <row r="9" spans="1:14" x14ac:dyDescent="0.2">
      <c r="A9" s="1" t="s">
        <v>102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">
      <c r="A10" s="1" t="s">
        <v>101</v>
      </c>
      <c r="B10" s="1">
        <v>48913000</v>
      </c>
      <c r="C10" s="1">
        <v>41374000</v>
      </c>
      <c r="D10" s="1">
        <v>40739000</v>
      </c>
      <c r="E10" s="1">
        <v>35474000</v>
      </c>
      <c r="F10" s="1">
        <v>42446000</v>
      </c>
      <c r="G10" s="1">
        <v>48218000</v>
      </c>
      <c r="H10" s="1">
        <v>45535000</v>
      </c>
      <c r="I10" s="1">
        <v>43067000</v>
      </c>
      <c r="J10" s="1">
        <v>97768000</v>
      </c>
      <c r="K10" s="1">
        <v>3299000</v>
      </c>
      <c r="L10" s="1">
        <v>2711000</v>
      </c>
      <c r="M10" s="1">
        <v>2672000</v>
      </c>
      <c r="N10" s="1">
        <v>1997000</v>
      </c>
    </row>
    <row r="11" spans="1:14" x14ac:dyDescent="0.2">
      <c r="A11" s="1" t="s">
        <v>100</v>
      </c>
      <c r="B11" s="1">
        <v>-59094000</v>
      </c>
      <c r="C11" s="1">
        <v>7048000</v>
      </c>
      <c r="D11" s="1">
        <v>-55504000</v>
      </c>
      <c r="E11" s="1">
        <v>44881000</v>
      </c>
      <c r="F11" s="1">
        <v>-62389000</v>
      </c>
      <c r="G11" s="1">
        <v>-31136000</v>
      </c>
      <c r="H11" s="1">
        <v>27406000</v>
      </c>
      <c r="I11" s="1">
        <v>-7336000</v>
      </c>
      <c r="J11" s="1">
        <v>-2229000</v>
      </c>
      <c r="K11" s="1">
        <v>-4064000</v>
      </c>
      <c r="L11" s="1">
        <v>-1100000</v>
      </c>
      <c r="M11" s="1">
        <v>-6198000</v>
      </c>
      <c r="N11" s="1">
        <v>1687000</v>
      </c>
    </row>
    <row r="12" spans="1:14" x14ac:dyDescent="0.2">
      <c r="A12" s="1" t="s">
        <v>99</v>
      </c>
      <c r="B12" s="1">
        <v>-51789000</v>
      </c>
      <c r="C12" s="1">
        <v>-40254000</v>
      </c>
      <c r="D12" s="1">
        <v>-18580000</v>
      </c>
      <c r="E12" s="1">
        <v>45459000</v>
      </c>
      <c r="F12" s="1">
        <v>-30968000</v>
      </c>
      <c r="G12" s="1">
        <v>-13426000</v>
      </c>
      <c r="H12" s="1">
        <v>-3156000</v>
      </c>
      <c r="I12" s="1">
        <v>-5476000</v>
      </c>
      <c r="J12" s="1">
        <v>-8422000</v>
      </c>
      <c r="K12" s="1">
        <v>8880000</v>
      </c>
      <c r="L12" s="1">
        <v>-15575000</v>
      </c>
      <c r="M12" s="1">
        <v>2033000</v>
      </c>
      <c r="N12" s="1">
        <v>7048000</v>
      </c>
    </row>
    <row r="13" spans="1:14" x14ac:dyDescent="0.2">
      <c r="A13" s="1" t="s">
        <v>70</v>
      </c>
      <c r="B13" s="1">
        <v>346000</v>
      </c>
      <c r="C13" s="1">
        <v>-5844000</v>
      </c>
      <c r="D13" s="1">
        <v>7471000</v>
      </c>
      <c r="E13" s="1">
        <v>-7790000</v>
      </c>
      <c r="F13" s="1">
        <v>-6787000</v>
      </c>
      <c r="G13" s="1">
        <v>-18016000</v>
      </c>
      <c r="H13" s="1">
        <v>4699000</v>
      </c>
      <c r="I13" s="1">
        <v>-70000</v>
      </c>
      <c r="J13" s="1">
        <v>-5900000</v>
      </c>
      <c r="K13" s="1">
        <v>-6161000</v>
      </c>
      <c r="L13" s="1">
        <v>-777000</v>
      </c>
      <c r="M13" s="1">
        <v>916000</v>
      </c>
      <c r="N13" s="1">
        <v>458000</v>
      </c>
    </row>
    <row r="14" spans="1:14" x14ac:dyDescent="0.2">
      <c r="A14" s="1" t="s">
        <v>98</v>
      </c>
      <c r="B14" s="1">
        <v>-699000</v>
      </c>
      <c r="C14" s="1">
        <v>15282000</v>
      </c>
      <c r="D14" s="1">
        <v>-5695000</v>
      </c>
      <c r="E14" s="1">
        <v>2381000</v>
      </c>
      <c r="F14" s="1">
        <v>2226000</v>
      </c>
      <c r="G14" s="1">
        <v>9164000</v>
      </c>
      <c r="H14" s="1">
        <v>5892000</v>
      </c>
      <c r="I14" s="1">
        <v>858000</v>
      </c>
      <c r="J14" s="1">
        <v>4973000</v>
      </c>
      <c r="K14" s="1">
        <v>-3601000</v>
      </c>
      <c r="L14" s="1">
        <v>7082000</v>
      </c>
      <c r="M14" s="1">
        <v>-2005000</v>
      </c>
      <c r="N14" s="1">
        <v>-5740000</v>
      </c>
    </row>
    <row r="15" spans="1:14" x14ac:dyDescent="0.2">
      <c r="A15" s="1" t="s">
        <v>97</v>
      </c>
      <c r="B15" s="1">
        <v>-6952000</v>
      </c>
      <c r="C15" s="1">
        <v>37864000</v>
      </c>
      <c r="D15" s="1">
        <v>-38700000</v>
      </c>
      <c r="E15" s="1">
        <v>4831000</v>
      </c>
      <c r="F15" s="1">
        <v>-26860000</v>
      </c>
      <c r="G15" s="1">
        <v>-8858000</v>
      </c>
      <c r="H15" s="1">
        <v>19971000</v>
      </c>
      <c r="I15" s="1">
        <v>-2648000</v>
      </c>
      <c r="J15" s="1">
        <v>7120000</v>
      </c>
      <c r="K15" s="1">
        <v>-3182000</v>
      </c>
      <c r="L15" s="1">
        <v>8170000</v>
      </c>
      <c r="M15" s="1">
        <v>-7142000</v>
      </c>
      <c r="N15" s="1">
        <v>-79000</v>
      </c>
    </row>
    <row r="16" spans="1:14" x14ac:dyDescent="0.2">
      <c r="A16" s="1" t="s">
        <v>96</v>
      </c>
      <c r="B16" s="1">
        <v>759000</v>
      </c>
      <c r="C16" s="1">
        <v>-985000</v>
      </c>
      <c r="D16" s="1">
        <v>356000</v>
      </c>
      <c r="E16" s="1">
        <v>2400000</v>
      </c>
      <c r="F16" s="1">
        <v>-2497000</v>
      </c>
      <c r="G16" s="1">
        <v>-3066000</v>
      </c>
      <c r="H16" s="1">
        <v>-2689000</v>
      </c>
      <c r="I16" s="1">
        <v>928000</v>
      </c>
      <c r="J16" s="1">
        <v>494000</v>
      </c>
      <c r="K16" s="1">
        <v>299000</v>
      </c>
      <c r="L16" s="1">
        <v>701000</v>
      </c>
      <c r="M16" s="1">
        <v>162000</v>
      </c>
      <c r="N16" s="1">
        <v>9594000</v>
      </c>
    </row>
    <row r="17" spans="1:14" x14ac:dyDescent="0.2">
      <c r="A17" s="6" t="s">
        <v>95</v>
      </c>
      <c r="B17" s="4">
        <v>74598000</v>
      </c>
      <c r="C17" s="4">
        <v>95265000</v>
      </c>
      <c r="D17" s="4">
        <v>78171000</v>
      </c>
      <c r="E17" s="4">
        <v>135366000</v>
      </c>
      <c r="F17" s="4">
        <v>10504000</v>
      </c>
      <c r="G17" s="4">
        <v>39703000</v>
      </c>
      <c r="H17" s="4">
        <v>63508000</v>
      </c>
      <c r="I17" s="4">
        <v>29813000</v>
      </c>
      <c r="J17" s="4">
        <v>3652000</v>
      </c>
      <c r="K17" s="4">
        <v>14399000</v>
      </c>
      <c r="L17" s="4">
        <v>-334000</v>
      </c>
      <c r="M17" s="4">
        <v>-22962000</v>
      </c>
      <c r="N17" s="4">
        <v>-3819000</v>
      </c>
    </row>
    <row r="19" spans="1:14" x14ac:dyDescent="0.2">
      <c r="A19" s="1" t="s">
        <v>94</v>
      </c>
      <c r="B19" s="1">
        <v>-7586000</v>
      </c>
      <c r="C19" s="1">
        <v>-18689000</v>
      </c>
      <c r="D19" s="1">
        <v>-12293000</v>
      </c>
      <c r="E19" s="1">
        <v>-2023000</v>
      </c>
      <c r="F19" s="1">
        <v>-4539000</v>
      </c>
      <c r="G19" s="1">
        <v>-15448000</v>
      </c>
      <c r="H19" s="1">
        <v>-16697000</v>
      </c>
      <c r="I19" s="1">
        <v>1324000</v>
      </c>
      <c r="J19" s="1">
        <v>-3424000</v>
      </c>
      <c r="K19" s="1">
        <v>-1011000</v>
      </c>
      <c r="L19" s="1">
        <v>-736000</v>
      </c>
      <c r="M19" s="1">
        <v>-575000</v>
      </c>
      <c r="N19" s="1">
        <v>-439000</v>
      </c>
    </row>
    <row r="20" spans="1:14" x14ac:dyDescent="0.2">
      <c r="A20" s="1" t="s">
        <v>93</v>
      </c>
      <c r="B20" s="1">
        <v>-65049000</v>
      </c>
      <c r="C20" s="1">
        <v>-28786000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2">
      <c r="A21" s="1" t="s">
        <v>92</v>
      </c>
      <c r="B21" s="1">
        <v>-156628000</v>
      </c>
      <c r="C21" s="1">
        <v>-193321000</v>
      </c>
      <c r="D21" s="1">
        <v>-259750000</v>
      </c>
      <c r="E21" s="1">
        <v>-213861000</v>
      </c>
      <c r="F21" s="1">
        <v>-190821000</v>
      </c>
      <c r="G21" s="1">
        <v>-205654000</v>
      </c>
      <c r="H21" s="1">
        <v>-379165000</v>
      </c>
      <c r="I21" s="1">
        <v>-322448000</v>
      </c>
      <c r="J21" s="1">
        <v>-23308000</v>
      </c>
      <c r="K21" s="1">
        <v>-23389000</v>
      </c>
      <c r="L21" s="1">
        <v>-75562000</v>
      </c>
      <c r="M21" s="1">
        <v>-4928000</v>
      </c>
      <c r="N21" s="1">
        <v>-22346000</v>
      </c>
    </row>
    <row r="22" spans="1:14" x14ac:dyDescent="0.2">
      <c r="A22" s="1" t="s">
        <v>91</v>
      </c>
      <c r="B22" s="1">
        <v>137756000</v>
      </c>
      <c r="C22" s="1">
        <v>168005000</v>
      </c>
      <c r="D22" s="1">
        <v>171498000</v>
      </c>
      <c r="E22" s="1">
        <v>152191000</v>
      </c>
      <c r="F22" s="1">
        <v>191420000</v>
      </c>
      <c r="G22" s="1">
        <v>131088000</v>
      </c>
      <c r="H22" s="1">
        <v>36443000</v>
      </c>
      <c r="I22" s="1">
        <v>18653000</v>
      </c>
      <c r="J22" s="1">
        <v>22481000</v>
      </c>
      <c r="K22" s="1">
        <v>18436000</v>
      </c>
      <c r="L22" s="1">
        <v>20029000</v>
      </c>
      <c r="M22" s="1">
        <v>14667000</v>
      </c>
      <c r="N22" s="1">
        <v>58082000</v>
      </c>
    </row>
    <row r="23" spans="1:14" x14ac:dyDescent="0.2">
      <c r="A23" s="1" t="s">
        <v>90</v>
      </c>
      <c r="B23" s="1">
        <v>-2500000</v>
      </c>
      <c r="C23" s="1">
        <v>0</v>
      </c>
      <c r="D23" s="1">
        <v>-500000</v>
      </c>
      <c r="E23" s="1">
        <v>0</v>
      </c>
      <c r="F23" s="1">
        <v>0</v>
      </c>
      <c r="G23" s="1">
        <v>-1413000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2">
      <c r="A24" s="6" t="s">
        <v>89</v>
      </c>
      <c r="B24" s="4">
        <v>-94007000</v>
      </c>
      <c r="C24" s="4">
        <v>-72791000</v>
      </c>
      <c r="D24" s="4">
        <v>-101045000</v>
      </c>
      <c r="E24" s="4">
        <v>-63693000</v>
      </c>
      <c r="F24" s="4">
        <v>-3940000</v>
      </c>
      <c r="G24" s="4">
        <v>-91427000</v>
      </c>
      <c r="H24" s="4">
        <v>-359419000</v>
      </c>
      <c r="I24" s="4">
        <v>-302471000</v>
      </c>
      <c r="J24" s="4">
        <v>-4251000</v>
      </c>
      <c r="K24" s="4">
        <v>-5964000</v>
      </c>
      <c r="L24" s="4">
        <v>-56269000</v>
      </c>
      <c r="M24" s="4">
        <v>9164000</v>
      </c>
      <c r="N24" s="4">
        <v>35297000</v>
      </c>
    </row>
    <row r="26" spans="1:14" x14ac:dyDescent="0.2">
      <c r="A26" s="1" t="s">
        <v>88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">
      <c r="A27" s="1" t="s">
        <v>87</v>
      </c>
      <c r="B27" s="1">
        <v>82000</v>
      </c>
      <c r="C27" s="1">
        <v>8073000</v>
      </c>
      <c r="D27" s="1">
        <v>5297000</v>
      </c>
      <c r="E27" s="1">
        <v>392000</v>
      </c>
      <c r="F27" s="1">
        <v>386000</v>
      </c>
      <c r="G27" s="1">
        <v>0</v>
      </c>
      <c r="H27" s="1">
        <v>952000</v>
      </c>
      <c r="I27" s="1">
        <v>-2343000</v>
      </c>
      <c r="J27" s="1">
        <v>672198000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">
      <c r="A28" s="1" t="s">
        <v>86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-1066000</v>
      </c>
      <c r="H28" s="1">
        <v>0</v>
      </c>
      <c r="I28" s="1">
        <v>0</v>
      </c>
      <c r="J28" s="1">
        <v>0</v>
      </c>
      <c r="K28" s="1">
        <v>-210000</v>
      </c>
      <c r="L28" s="1">
        <v>0</v>
      </c>
      <c r="M28" s="1">
        <v>-118000</v>
      </c>
      <c r="N28" s="1">
        <v>0</v>
      </c>
    </row>
    <row r="29" spans="1:14" x14ac:dyDescent="0.2">
      <c r="A29" s="1" t="s">
        <v>85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2">
      <c r="A30" s="1" t="s">
        <v>84</v>
      </c>
      <c r="B30" s="1">
        <v>0</v>
      </c>
      <c r="C30" s="1">
        <v>-4345000</v>
      </c>
      <c r="D30" s="1">
        <v>-4345000</v>
      </c>
      <c r="E30" s="1">
        <v>4345000</v>
      </c>
      <c r="F30" s="1">
        <v>0</v>
      </c>
      <c r="G30" s="1">
        <v>6717000</v>
      </c>
      <c r="H30" s="1">
        <v>0</v>
      </c>
      <c r="I30" s="1">
        <v>0</v>
      </c>
      <c r="J30" s="1">
        <v>-20620000</v>
      </c>
      <c r="K30" s="1">
        <v>-849000</v>
      </c>
      <c r="L30" s="1">
        <v>644000</v>
      </c>
      <c r="M30" s="1">
        <v>0</v>
      </c>
      <c r="N30" s="1">
        <v>31000</v>
      </c>
    </row>
    <row r="31" spans="1:14" x14ac:dyDescent="0.2">
      <c r="A31" s="6" t="s">
        <v>83</v>
      </c>
      <c r="B31" s="4">
        <v>82000</v>
      </c>
      <c r="C31" s="4">
        <v>3728000</v>
      </c>
      <c r="D31" s="4">
        <v>952000</v>
      </c>
      <c r="E31" s="4">
        <v>4737000</v>
      </c>
      <c r="F31" s="4">
        <v>386000</v>
      </c>
      <c r="G31" s="4">
        <v>5651000</v>
      </c>
      <c r="H31" s="4">
        <v>952000</v>
      </c>
      <c r="I31" s="4">
        <v>-2343000</v>
      </c>
      <c r="J31" s="4">
        <v>651578000</v>
      </c>
      <c r="K31" s="4">
        <v>-1059000</v>
      </c>
      <c r="L31" s="4">
        <v>644000</v>
      </c>
      <c r="M31" s="4">
        <v>-118000</v>
      </c>
      <c r="N31" s="4">
        <v>31000</v>
      </c>
    </row>
    <row r="33" spans="1:14" x14ac:dyDescent="0.2">
      <c r="A33" s="1" t="s">
        <v>82</v>
      </c>
      <c r="B33" s="1">
        <v>1000</v>
      </c>
      <c r="C33" s="1">
        <v>-73000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">
      <c r="A34" s="1" t="s">
        <v>81</v>
      </c>
      <c r="B34" s="1">
        <v>-19326000</v>
      </c>
      <c r="C34" s="1">
        <v>26129000</v>
      </c>
      <c r="D34" s="1">
        <v>-21922000</v>
      </c>
      <c r="E34" s="1">
        <v>76410000</v>
      </c>
      <c r="F34" s="1">
        <v>6950000</v>
      </c>
      <c r="G34" s="1">
        <v>-46073000</v>
      </c>
      <c r="H34" s="1">
        <v>-294959000</v>
      </c>
      <c r="I34" s="1">
        <v>-275001000</v>
      </c>
      <c r="J34" s="1">
        <v>650979000</v>
      </c>
      <c r="K34" s="1">
        <v>7376000</v>
      </c>
      <c r="L34" s="1">
        <v>-55959000</v>
      </c>
      <c r="M34" s="1">
        <v>-13916000</v>
      </c>
      <c r="N34" s="1">
        <v>31509000</v>
      </c>
    </row>
    <row r="35" spans="1:14" x14ac:dyDescent="0.2">
      <c r="A35" s="1" t="s">
        <v>80</v>
      </c>
      <c r="B35" s="1">
        <v>148285000</v>
      </c>
      <c r="C35" s="1">
        <v>167611000</v>
      </c>
      <c r="D35" s="1">
        <v>141482000</v>
      </c>
      <c r="E35" s="1">
        <v>163404000</v>
      </c>
      <c r="F35" s="1">
        <v>86994000</v>
      </c>
      <c r="G35" s="1">
        <v>80044000</v>
      </c>
      <c r="H35" s="1">
        <v>126117000</v>
      </c>
      <c r="I35" s="1">
        <v>421076000</v>
      </c>
      <c r="J35" s="1">
        <v>696077000</v>
      </c>
      <c r="K35" s="1">
        <v>45098000</v>
      </c>
      <c r="L35" s="1">
        <v>37722000</v>
      </c>
      <c r="M35" s="1">
        <v>93681000</v>
      </c>
      <c r="N35" s="1">
        <v>107597000</v>
      </c>
    </row>
    <row r="36" spans="1:14" x14ac:dyDescent="0.2">
      <c r="A36" s="1" t="s">
        <v>79</v>
      </c>
      <c r="B36" s="1">
        <v>167611000</v>
      </c>
      <c r="C36" s="1">
        <v>141482000</v>
      </c>
      <c r="D36" s="1">
        <v>163404000</v>
      </c>
      <c r="E36" s="1">
        <v>86994000</v>
      </c>
      <c r="F36" s="1">
        <v>80044000</v>
      </c>
      <c r="G36" s="1">
        <v>126117000</v>
      </c>
      <c r="H36" s="1">
        <v>421076000</v>
      </c>
      <c r="I36" s="1">
        <v>696077000</v>
      </c>
      <c r="J36" s="1">
        <v>45098000</v>
      </c>
      <c r="K36" s="1">
        <v>37722000</v>
      </c>
      <c r="L36" s="1">
        <v>93681000</v>
      </c>
      <c r="M36" s="1">
        <v>107597000</v>
      </c>
      <c r="N36" s="1">
        <v>76088000</v>
      </c>
    </row>
    <row r="37" spans="1:14" x14ac:dyDescent="0.2">
      <c r="A37" s="1" t="s">
        <v>78</v>
      </c>
      <c r="B37" s="1">
        <v>74598000</v>
      </c>
      <c r="C37" s="1">
        <v>95265000</v>
      </c>
      <c r="D37" s="1">
        <v>78171000</v>
      </c>
      <c r="E37" s="1">
        <v>135366000</v>
      </c>
      <c r="F37" s="1">
        <v>10504000</v>
      </c>
      <c r="G37" s="1">
        <v>39703000</v>
      </c>
      <c r="H37" s="1">
        <v>63508000</v>
      </c>
      <c r="I37" s="1">
        <v>29813000</v>
      </c>
      <c r="J37" s="1">
        <v>3652000</v>
      </c>
      <c r="K37" s="1">
        <v>14399000</v>
      </c>
      <c r="L37" s="1">
        <v>-334000</v>
      </c>
      <c r="M37" s="1">
        <v>-22962000</v>
      </c>
      <c r="N37" s="1">
        <v>-3819000</v>
      </c>
    </row>
    <row r="38" spans="1:14" x14ac:dyDescent="0.2">
      <c r="A38" s="1" t="s">
        <v>77</v>
      </c>
      <c r="B38" s="1">
        <v>-7586000</v>
      </c>
      <c r="C38" s="1">
        <v>-18689000</v>
      </c>
      <c r="D38" s="1">
        <v>-12293000</v>
      </c>
      <c r="E38" s="1">
        <v>-2023000</v>
      </c>
      <c r="F38" s="1">
        <v>-4539000</v>
      </c>
      <c r="G38" s="1">
        <v>-15448000</v>
      </c>
      <c r="H38" s="1">
        <v>-16697000</v>
      </c>
      <c r="I38" s="1">
        <v>1324000</v>
      </c>
      <c r="J38" s="1">
        <v>-3424000</v>
      </c>
      <c r="K38" s="1">
        <v>-1011000</v>
      </c>
      <c r="L38" s="1">
        <v>-736000</v>
      </c>
      <c r="M38" s="1">
        <v>-575000</v>
      </c>
      <c r="N38" s="1">
        <v>-439000</v>
      </c>
    </row>
    <row r="39" spans="1:14" x14ac:dyDescent="0.2">
      <c r="A39" s="6" t="s">
        <v>76</v>
      </c>
      <c r="B39" s="5">
        <v>67012000</v>
      </c>
      <c r="C39" s="5">
        <v>76576000</v>
      </c>
      <c r="D39" s="5">
        <v>65878000</v>
      </c>
      <c r="E39" s="5">
        <v>133343000</v>
      </c>
      <c r="F39" s="5">
        <v>5965000</v>
      </c>
      <c r="G39" s="5">
        <v>24255000</v>
      </c>
      <c r="H39" s="5">
        <v>46811000</v>
      </c>
      <c r="I39" s="5">
        <v>31137000</v>
      </c>
      <c r="J39" s="5">
        <v>228000</v>
      </c>
      <c r="K39" s="5">
        <v>13388000</v>
      </c>
      <c r="L39" s="5">
        <v>-1070000</v>
      </c>
      <c r="M39" s="5">
        <v>-23537000</v>
      </c>
      <c r="N39" s="5">
        <v>-4258000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E3FD-26C0-0C4C-A980-BC3021347107}">
  <dimension ref="A1:R61"/>
  <sheetViews>
    <sheetView workbookViewId="0"/>
  </sheetViews>
  <sheetFormatPr baseColWidth="10" defaultRowHeight="16" x14ac:dyDescent="0.2"/>
  <cols>
    <col min="1" max="1" width="38" bestFit="1" customWidth="1"/>
    <col min="2" max="5" width="17" bestFit="1" customWidth="1"/>
    <col min="6" max="6" width="15.83203125" bestFit="1" customWidth="1"/>
    <col min="7" max="7" width="17" bestFit="1" customWidth="1"/>
    <col min="8" max="9" width="15.83203125" bestFit="1" customWidth="1"/>
    <col min="10" max="10" width="17" bestFit="1" customWidth="1"/>
    <col min="11" max="18" width="15.83203125" bestFit="1" customWidth="1"/>
  </cols>
  <sheetData>
    <row r="1" spans="1:18" x14ac:dyDescent="0.2">
      <c r="A1" s="10" t="s">
        <v>103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">
      <c r="A2" t="s">
        <v>1</v>
      </c>
      <c r="B2" t="s">
        <v>2</v>
      </c>
    </row>
    <row r="3" spans="1:18" x14ac:dyDescent="0.2">
      <c r="A3" t="s">
        <v>3</v>
      </c>
      <c r="B3" t="str">
        <f>'ALAB - Income Statement Q'!B3</f>
        <v>USD</v>
      </c>
    </row>
    <row r="4" spans="1:18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</row>
    <row r="5" spans="1:18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</row>
    <row r="6" spans="1:18" x14ac:dyDescent="0.2">
      <c r="A6" s="2" t="s">
        <v>159</v>
      </c>
      <c r="B6" s="2">
        <v>1.8061748064149572</v>
      </c>
      <c r="C6" s="2">
        <v>1.5963127931329459</v>
      </c>
      <c r="D6" s="2">
        <v>1.3770933371556893</v>
      </c>
      <c r="E6" s="2">
        <v>1.1601724012863601</v>
      </c>
      <c r="F6" s="2">
        <v>0.97700895866269588</v>
      </c>
      <c r="G6" s="2">
        <v>0.88242909409299852</v>
      </c>
      <c r="H6" s="2">
        <v>0.7210691763745688</v>
      </c>
      <c r="I6" s="2">
        <v>0.49517071630616177</v>
      </c>
      <c r="J6" s="2">
        <v>0.42416363884537639</v>
      </c>
      <c r="K6" s="2">
        <v>0.33123282820665823</v>
      </c>
      <c r="L6" s="2">
        <v>0.24214605614315785</v>
      </c>
      <c r="M6" s="2">
        <v>8.1930518504890693E-2</v>
      </c>
      <c r="N6" s="2">
        <v>0.13540612639131636</v>
      </c>
      <c r="O6" s="2">
        <v>0.59568054783295776</v>
      </c>
      <c r="P6" s="2">
        <v>0.67609961663398788</v>
      </c>
      <c r="Q6" s="2">
        <v>0.62614497673465808</v>
      </c>
      <c r="R6" s="2">
        <v>0.43949547862222355</v>
      </c>
    </row>
    <row r="7" spans="1:18" x14ac:dyDescent="0.2">
      <c r="A7" s="2" t="s">
        <v>158</v>
      </c>
      <c r="B7" s="2">
        <v>0.47040286775300777</v>
      </c>
      <c r="C7" s="2">
        <v>0.26537270287012182</v>
      </c>
      <c r="D7" s="2">
        <v>0.54417210157911078</v>
      </c>
      <c r="E7" s="2">
        <v>0.3096150591193752</v>
      </c>
      <c r="F7" s="2">
        <v>0.19497653099991422</v>
      </c>
      <c r="G7" s="2">
        <v>0.1545576784765002</v>
      </c>
      <c r="H7" s="2">
        <v>-4.8415173020640051E-2</v>
      </c>
      <c r="I7" s="2">
        <v>-4.8621447303139838E-2</v>
      </c>
      <c r="J7" s="2">
        <v>-0.60444845987351403</v>
      </c>
      <c r="K7" s="2">
        <v>9.3932578375507364E-2</v>
      </c>
      <c r="L7" s="2">
        <v>-2.0484842921122862E-2</v>
      </c>
      <c r="M7" s="2">
        <v>-0.15334375862386165</v>
      </c>
      <c r="N7" s="2">
        <v>-0.13379633888326742</v>
      </c>
      <c r="O7" s="2">
        <v>-0.58813028591495708</v>
      </c>
      <c r="P7" s="2">
        <v>-0.15633139211612185</v>
      </c>
      <c r="Q7" s="2">
        <v>-0.79991805917298298</v>
      </c>
      <c r="R7" s="2">
        <v>-0.1630622457639519</v>
      </c>
    </row>
    <row r="8" spans="1:18" x14ac:dyDescent="0.2">
      <c r="A8" s="2" t="s">
        <v>157</v>
      </c>
      <c r="B8" s="2">
        <v>0.43694574932933472</v>
      </c>
      <c r="C8" s="2">
        <v>0.56201881950384946</v>
      </c>
      <c r="D8" s="2">
        <v>0.46687092381566686</v>
      </c>
      <c r="E8" s="2">
        <v>0.81827743791861107</v>
      </c>
      <c r="F8" s="2">
        <v>6.4365111462431221E-2</v>
      </c>
      <c r="G8" s="2">
        <v>0.24830670127271021</v>
      </c>
      <c r="H8" s="2">
        <v>0.40494545083561284</v>
      </c>
      <c r="I8" s="2">
        <v>0.19209530989246065</v>
      </c>
      <c r="J8" s="2">
        <v>2.3737252276553288E-2</v>
      </c>
      <c r="K8" s="2">
        <v>9.4417814731513477E-2</v>
      </c>
      <c r="L8" s="2">
        <v>-2.1901208500816377E-3</v>
      </c>
      <c r="M8" s="2">
        <v>-0.17601876552295098</v>
      </c>
      <c r="N8" s="2">
        <v>-2.9275135682089965E-2</v>
      </c>
      <c r="O8" s="2">
        <v>0</v>
      </c>
      <c r="P8" s="2">
        <v>0</v>
      </c>
      <c r="Q8" s="2">
        <v>0</v>
      </c>
      <c r="R8" s="2">
        <v>0</v>
      </c>
    </row>
    <row r="9" spans="1:18" x14ac:dyDescent="0.2">
      <c r="A9" s="2" t="s">
        <v>156</v>
      </c>
      <c r="B9" s="2">
        <v>0.3925119782575589</v>
      </c>
      <c r="C9" s="2">
        <v>0.45176248488245185</v>
      </c>
      <c r="D9" s="2">
        <v>0.39345182636947851</v>
      </c>
      <c r="E9" s="2">
        <v>0.80604855284474208</v>
      </c>
      <c r="F9" s="2">
        <v>3.6551588906454893E-2</v>
      </c>
      <c r="G9" s="2">
        <v>0.15169329872728979</v>
      </c>
      <c r="H9" s="2">
        <v>0.29848052999725821</v>
      </c>
      <c r="I9" s="2">
        <v>0.20062629269518489</v>
      </c>
      <c r="J9" s="2">
        <v>1.4819533184704681E-3</v>
      </c>
      <c r="K9" s="2">
        <v>8.7788436948781329E-2</v>
      </c>
      <c r="L9" s="2">
        <v>-7.0162554179262048E-3</v>
      </c>
      <c r="M9" s="2">
        <v>-0.18042651703308496</v>
      </c>
      <c r="N9" s="2">
        <v>-3.264035813939227E-2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">
      <c r="A10" s="2" t="s">
        <v>155</v>
      </c>
      <c r="B10" s="2">
        <v>6.9378653514988926</v>
      </c>
      <c r="C10" s="2">
        <v>7.0134568301820002</v>
      </c>
      <c r="D10" s="2">
        <v>6.7752932463747344</v>
      </c>
      <c r="E10" s="2">
        <v>6.4383659356336294</v>
      </c>
      <c r="F10" s="2">
        <v>5.666421559616162</v>
      </c>
      <c r="G10" s="2">
        <v>5.7181337752900339</v>
      </c>
      <c r="H10" s="2">
        <v>5.654500704580089</v>
      </c>
      <c r="I10" s="2">
        <v>5.35438372669927</v>
      </c>
      <c r="J10" s="2">
        <v>5.2088774203612589</v>
      </c>
      <c r="K10" s="2">
        <v>0.97908237870730408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">
      <c r="A11" s="2" t="s">
        <v>154</v>
      </c>
      <c r="B11" s="2">
        <v>8.7505593758419931</v>
      </c>
      <c r="C11" s="2">
        <v>8.0448010383174537</v>
      </c>
      <c r="D11" s="2">
        <v>7.5953259752980244</v>
      </c>
      <c r="E11" s="2">
        <v>6.8653069613366542</v>
      </c>
      <c r="F11" s="2">
        <v>6.3823547434341945</v>
      </c>
      <c r="G11" s="2">
        <v>6.0339535320053788</v>
      </c>
      <c r="H11" s="2">
        <v>5.6724244568994653</v>
      </c>
      <c r="I11" s="2">
        <v>5.4462464320002058</v>
      </c>
      <c r="J11" s="2">
        <v>5.2569304066921889</v>
      </c>
      <c r="K11" s="2">
        <v>-0.64064969213720391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">
      <c r="A12" s="2" t="s">
        <v>153</v>
      </c>
      <c r="B12" s="2">
        <v>8.2367243419280012</v>
      </c>
      <c r="C12" s="2">
        <v>8.0448010383174537</v>
      </c>
      <c r="D12" s="2">
        <v>7.5953259752980244</v>
      </c>
      <c r="E12" s="2">
        <v>6.8653069613366542</v>
      </c>
      <c r="F12" s="2">
        <v>6.3823547434341945</v>
      </c>
      <c r="G12" s="2">
        <v>6.0339535320053788</v>
      </c>
      <c r="H12" s="2">
        <v>5.6724244568994653</v>
      </c>
      <c r="I12" s="2">
        <v>5.4462464320002058</v>
      </c>
      <c r="J12" s="2">
        <v>5.2569304066921889</v>
      </c>
      <c r="K12" s="2">
        <v>-0.64064969213720391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">
      <c r="A13" s="2" t="s">
        <v>152</v>
      </c>
      <c r="B13" s="2">
        <v>8.7505593758419931</v>
      </c>
      <c r="C13" s="2">
        <v>8.0448010383174537</v>
      </c>
      <c r="D13" s="2">
        <v>7.5953259752980244</v>
      </c>
      <c r="E13" s="2">
        <v>6.8653069613366542</v>
      </c>
      <c r="F13" s="2">
        <v>6.3823547434341945</v>
      </c>
      <c r="G13" s="2">
        <v>6.0339535320053788</v>
      </c>
      <c r="H13" s="2">
        <v>5.6724244568994653</v>
      </c>
      <c r="I13" s="2">
        <v>5.4462464320002058</v>
      </c>
      <c r="J13" s="2">
        <v>5.2569304066921889</v>
      </c>
      <c r="K13" s="2">
        <v>-0.64064969213720391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">
      <c r="A14" s="2" t="s">
        <v>151</v>
      </c>
      <c r="B14" s="2">
        <v>0</v>
      </c>
      <c r="C14" s="2">
        <v>0.207350815610159</v>
      </c>
      <c r="D14" s="2">
        <v>0.34760744403831911</v>
      </c>
      <c r="E14" s="2">
        <v>0.19528737577677296</v>
      </c>
      <c r="F14" s="2">
        <v>0</v>
      </c>
      <c r="G14" s="2">
        <v>8.0427780731104782E-3</v>
      </c>
      <c r="H14" s="2">
        <v>0</v>
      </c>
      <c r="I14" s="2">
        <v>1.3743645255446234E-2</v>
      </c>
      <c r="J14" s="2">
        <v>1.5164022333296501E-2</v>
      </c>
      <c r="K14" s="2">
        <v>1.4137426804718595E-2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">
      <c r="A15" s="1" t="s">
        <v>150</v>
      </c>
      <c r="B15" s="1">
        <v>18711569600</v>
      </c>
      <c r="C15" s="1">
        <v>28198851800.000004</v>
      </c>
      <c r="D15" s="1">
        <v>32783968800</v>
      </c>
      <c r="E15" s="1">
        <v>14957999760</v>
      </c>
      <c r="F15" s="1">
        <v>9737785980</v>
      </c>
      <c r="G15" s="1">
        <v>21178092750</v>
      </c>
      <c r="H15" s="1">
        <v>8216376090</v>
      </c>
      <c r="I15" s="1">
        <v>8930150460</v>
      </c>
      <c r="J15" s="1">
        <v>10941883120</v>
      </c>
      <c r="K15" s="1">
        <v>9459761090</v>
      </c>
      <c r="L15" s="1">
        <v>9459761090</v>
      </c>
      <c r="M15" s="1">
        <v>8091937560</v>
      </c>
      <c r="N15" s="1">
        <v>8091937560</v>
      </c>
      <c r="O15" s="1">
        <v>2119627130</v>
      </c>
      <c r="P15" s="1">
        <v>2119627130</v>
      </c>
      <c r="Q15" s="1">
        <v>2119627130</v>
      </c>
      <c r="R15" s="1">
        <v>2119627130</v>
      </c>
    </row>
    <row r="16" spans="1:18" x14ac:dyDescent="0.2">
      <c r="A16" s="1" t="s">
        <v>149</v>
      </c>
      <c r="B16" s="1">
        <v>18563284600</v>
      </c>
      <c r="C16" s="1">
        <v>28066387800.000004</v>
      </c>
      <c r="D16" s="1">
        <v>32701763800</v>
      </c>
      <c r="E16" s="1">
        <v>14827977760</v>
      </c>
      <c r="F16" s="1">
        <v>9651354980</v>
      </c>
      <c r="G16" s="1">
        <v>21099827750</v>
      </c>
      <c r="H16" s="1">
        <v>8090259090</v>
      </c>
      <c r="I16" s="1">
        <v>8511207460</v>
      </c>
      <c r="J16" s="1">
        <v>10248139120</v>
      </c>
      <c r="K16" s="1">
        <v>9416819090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2">
      <c r="A17" s="2" t="s">
        <v>148</v>
      </c>
      <c r="B17" s="2">
        <v>58.297872340425535</v>
      </c>
      <c r="C17" s="2">
        <v>154.03703703703704</v>
      </c>
      <c r="D17" s="2">
        <v>90.648148148148152</v>
      </c>
      <c r="E17" s="2">
        <v>72.91935483870968</v>
      </c>
      <c r="F17" s="2">
        <v>78.51315789473685</v>
      </c>
      <c r="G17" s="2">
        <v>220.75</v>
      </c>
      <c r="H17" s="2">
        <v>-270.60950413223139</v>
      </c>
      <c r="I17" s="2">
        <v>-295.98765432098764</v>
      </c>
      <c r="J17" s="2">
        <v>-29.633333333333336</v>
      </c>
      <c r="K17" s="2">
        <v>165.14909478168263</v>
      </c>
      <c r="L17" s="2">
        <v>-756.46341463414637</v>
      </c>
      <c r="M17" s="2">
        <v>-103.38333333333334</v>
      </c>
      <c r="N17" s="2">
        <v>-119.28846153846153</v>
      </c>
      <c r="O17" s="2">
        <v>-26.283898305084747</v>
      </c>
      <c r="P17" s="2">
        <v>-96.921875</v>
      </c>
      <c r="Q17" s="2">
        <v>-19.384374999999999</v>
      </c>
      <c r="R17" s="2">
        <v>-96.921875</v>
      </c>
    </row>
    <row r="18" spans="1:18" x14ac:dyDescent="0.2">
      <c r="A18" s="2" t="s">
        <v>147</v>
      </c>
      <c r="B18" s="2">
        <v>60.68072681045917</v>
      </c>
      <c r="C18" s="2">
        <v>104.21516429339613</v>
      </c>
      <c r="D18" s="2">
        <v>142.1835359427518</v>
      </c>
      <c r="E18" s="2">
        <v>77.936692770613519</v>
      </c>
      <c r="F18" s="2">
        <v>61.074158502778438</v>
      </c>
      <c r="G18" s="2">
        <v>150.09704562850825</v>
      </c>
      <c r="H18" s="2">
        <v>72.655997117238215</v>
      </c>
      <c r="I18" s="2">
        <v>116.20234821080027</v>
      </c>
      <c r="J18" s="2">
        <v>167.67113794477305</v>
      </c>
      <c r="K18" s="2">
        <v>187.27008532288079</v>
      </c>
      <c r="L18" s="2">
        <v>256.16770715987866</v>
      </c>
      <c r="M18" s="2">
        <v>757.10493637724551</v>
      </c>
      <c r="N18" s="2">
        <v>458.10334918478259</v>
      </c>
      <c r="O18" s="2">
        <v>104.13299582412183</v>
      </c>
      <c r="P18" s="2">
        <v>91.746835043068003</v>
      </c>
      <c r="Q18" s="2">
        <v>99.066513834361558</v>
      </c>
      <c r="R18" s="2">
        <v>141.13910840324942</v>
      </c>
    </row>
    <row r="19" spans="1:18" x14ac:dyDescent="0.2">
      <c r="A19" s="2" t="s">
        <v>146</v>
      </c>
      <c r="B19" s="2">
        <v>250.83205447867235</v>
      </c>
      <c r="C19" s="2">
        <v>296.00432267884327</v>
      </c>
      <c r="D19" s="2">
        <v>419.38786506504977</v>
      </c>
      <c r="E19" s="2">
        <v>110.50041930765481</v>
      </c>
      <c r="F19" s="2">
        <v>927.05502475247522</v>
      </c>
      <c r="G19" s="2">
        <v>533.4129096038082</v>
      </c>
      <c r="H19" s="2">
        <v>129.37545017950495</v>
      </c>
      <c r="I19" s="2">
        <v>299.53880723174456</v>
      </c>
      <c r="J19" s="2">
        <v>2996.1344797371307</v>
      </c>
      <c r="K19" s="2">
        <v>656.97347663032156</v>
      </c>
      <c r="L19" s="2">
        <v>-28322.637994011977</v>
      </c>
      <c r="M19" s="2">
        <v>-352.40560752547685</v>
      </c>
      <c r="N19" s="2">
        <v>-2118.8629379418694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">
      <c r="A20" s="2" t="s">
        <v>145</v>
      </c>
      <c r="B20" s="2">
        <v>279.22714737658924</v>
      </c>
      <c r="C20" s="2">
        <v>368.24660206853326</v>
      </c>
      <c r="D20" s="2">
        <v>497.64669237074594</v>
      </c>
      <c r="E20" s="2">
        <v>112.17686537726014</v>
      </c>
      <c r="F20" s="2">
        <v>1632.4871718357083</v>
      </c>
      <c r="G20" s="2">
        <v>873.14338280766856</v>
      </c>
      <c r="H20" s="2">
        <v>175.52233641665421</v>
      </c>
      <c r="I20" s="2">
        <v>286.80189035552559</v>
      </c>
      <c r="J20" s="2">
        <v>47990.71543859649</v>
      </c>
      <c r="K20" s="2">
        <v>706.58508291006876</v>
      </c>
      <c r="L20" s="2">
        <v>-8840.8982149532712</v>
      </c>
      <c r="M20" s="2">
        <v>-343.79647193780005</v>
      </c>
      <c r="N20" s="2">
        <v>-1900.4080695162047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">
      <c r="A21" s="2" t="s">
        <v>144</v>
      </c>
      <c r="B21" s="2">
        <v>12.524913584676305</v>
      </c>
      <c r="C21" s="2">
        <v>20.679193830602642</v>
      </c>
      <c r="D21" s="2">
        <v>25.779012070948969</v>
      </c>
      <c r="E21" s="2">
        <v>13.170569139765821</v>
      </c>
      <c r="F21" s="2">
        <v>9.3492139498176776</v>
      </c>
      <c r="G21" s="2">
        <v>21.950782235470804</v>
      </c>
      <c r="H21" s="2">
        <v>9.2359096887182268</v>
      </c>
      <c r="I21" s="2">
        <v>10.565074628631463</v>
      </c>
      <c r="J21" s="2">
        <v>13.528807592632893</v>
      </c>
      <c r="K21" s="2">
        <v>-96.823585121953712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">
      <c r="A22" s="2" t="s">
        <v>143</v>
      </c>
      <c r="B22" s="2">
        <v>12.524913584676305</v>
      </c>
      <c r="C22" s="2">
        <v>20.679193830602642</v>
      </c>
      <c r="D22" s="2">
        <v>25.779012070948969</v>
      </c>
      <c r="E22" s="2">
        <v>13.170569139765821</v>
      </c>
      <c r="F22" s="2">
        <v>9.3492139498176776</v>
      </c>
      <c r="G22" s="2">
        <v>21.950782235470804</v>
      </c>
      <c r="H22" s="2">
        <v>9.2359096887182268</v>
      </c>
      <c r="I22" s="2">
        <v>10.565074628631463</v>
      </c>
      <c r="J22" s="2">
        <v>13.528807592632893</v>
      </c>
      <c r="K22" s="2">
        <v>-96.823585121953712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">
      <c r="A23" s="2" t="s">
        <v>142</v>
      </c>
      <c r="B23" s="2">
        <v>60.199845635472705</v>
      </c>
      <c r="C23" s="2">
        <v>103.72561395209604</v>
      </c>
      <c r="D23" s="2">
        <v>141.82701420362139</v>
      </c>
      <c r="E23" s="2">
        <v>77.259230220138079</v>
      </c>
      <c r="F23" s="2">
        <v>60.532074233890697</v>
      </c>
      <c r="G23" s="2">
        <v>149.54235237001757</v>
      </c>
      <c r="H23" s="2">
        <v>71.540766231010025</v>
      </c>
      <c r="I23" s="2">
        <v>110.75091034482759</v>
      </c>
      <c r="J23" s="2">
        <v>157.04034938245118</v>
      </c>
      <c r="K23" s="2">
        <v>186.41998436077128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">
      <c r="A24" s="2" t="s">
        <v>141</v>
      </c>
      <c r="B24" s="2">
        <v>240.69400705357606</v>
      </c>
      <c r="C24" s="2">
        <v>343.2735387287338</v>
      </c>
      <c r="D24" s="2">
        <v>478.36171849858107</v>
      </c>
      <c r="E24" s="2">
        <v>284.87402278534512</v>
      </c>
      <c r="F24" s="2">
        <v>422.52670431660977</v>
      </c>
      <c r="G24" s="2">
        <v>1807.1109755053101</v>
      </c>
      <c r="H24" s="2">
        <v>2823.8251623036649</v>
      </c>
      <c r="I24" s="2">
        <v>-636.78044740386053</v>
      </c>
      <c r="J24" s="2">
        <v>-128.42440531836237</v>
      </c>
      <c r="K24" s="2">
        <v>838.24275324906534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">
      <c r="A25" s="2" t="s">
        <v>140</v>
      </c>
      <c r="B25" s="2">
        <v>248.84426660232177</v>
      </c>
      <c r="C25" s="2">
        <v>294.61384348921433</v>
      </c>
      <c r="D25" s="2">
        <v>418.33626024996482</v>
      </c>
      <c r="E25" s="2">
        <v>109.53989746317392</v>
      </c>
      <c r="F25" s="2">
        <v>918.82663556740295</v>
      </c>
      <c r="G25" s="2">
        <v>531.44164798629822</v>
      </c>
      <c r="H25" s="2">
        <v>127.38960587642502</v>
      </c>
      <c r="I25" s="2">
        <v>285.48644752289272</v>
      </c>
      <c r="J25" s="2">
        <v>2806.1717196056957</v>
      </c>
      <c r="K25" s="2">
        <v>653.99118619348565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">
      <c r="A26" s="2" t="s">
        <v>139</v>
      </c>
      <c r="B26" s="2">
        <v>277.01433474601566</v>
      </c>
      <c r="C26" s="2">
        <v>366.51676504387802</v>
      </c>
      <c r="D26" s="2">
        <v>496.39885546009288</v>
      </c>
      <c r="E26" s="2">
        <v>111.20177107159731</v>
      </c>
      <c r="F26" s="2">
        <v>1617.9974819782062</v>
      </c>
      <c r="G26" s="2">
        <v>869.91662543805398</v>
      </c>
      <c r="H26" s="2">
        <v>172.82816197047703</v>
      </c>
      <c r="I26" s="2">
        <v>273.34706169508945</v>
      </c>
      <c r="J26" s="2">
        <v>44947.97859649123</v>
      </c>
      <c r="K26" s="2">
        <v>703.37758365700631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">
      <c r="A27" s="3" t="s">
        <v>138</v>
      </c>
      <c r="B27" s="3">
        <v>4.2919969685493416E-3</v>
      </c>
      <c r="C27" s="3">
        <v>1.5951713324724801E-3</v>
      </c>
      <c r="D27" s="3">
        <v>2.7792242164408109E-3</v>
      </c>
      <c r="E27" s="3">
        <v>3.4241877805726078E-3</v>
      </c>
      <c r="F27" s="3">
        <v>3.2675805429849877E-3</v>
      </c>
      <c r="G27" s="3">
        <v>1.1669133897810511E-3</v>
      </c>
      <c r="H27" s="3">
        <v>-9.2413004429547723E-4</v>
      </c>
      <c r="I27" s="3">
        <v>-8.4500256001285778E-4</v>
      </c>
      <c r="J27" s="3">
        <v>-8.4989940927097021E-3</v>
      </c>
      <c r="K27" s="3">
        <v>1.5143088566098237E-3</v>
      </c>
      <c r="L27" s="3">
        <v>-3.3024089829313013E-4</v>
      </c>
      <c r="M27" s="3">
        <v>-2.4720902567122627E-3</v>
      </c>
      <c r="N27" s="3">
        <v>-2.1569617746778559E-3</v>
      </c>
      <c r="O27" s="3">
        <v>-9.4813845867315338E-3</v>
      </c>
      <c r="P27" s="3">
        <v>-2.5202545883624351E-3</v>
      </c>
      <c r="Q27" s="3">
        <v>-1.2895664342624262E-2</v>
      </c>
      <c r="R27" s="3">
        <v>-2.6287642393027872E-3</v>
      </c>
    </row>
    <row r="28" spans="1:18" x14ac:dyDescent="0.2">
      <c r="A28" s="3" t="s">
        <v>137</v>
      </c>
      <c r="B28" s="3">
        <v>3.5813136702332014E-3</v>
      </c>
      <c r="C28" s="3">
        <v>2.7155715609668897E-3</v>
      </c>
      <c r="D28" s="3">
        <v>2.0094577444815039E-3</v>
      </c>
      <c r="E28" s="3">
        <v>8.9144940593313664E-3</v>
      </c>
      <c r="F28" s="3">
        <v>6.125622407651231E-4</v>
      </c>
      <c r="G28" s="3">
        <v>1.1452872686092094E-3</v>
      </c>
      <c r="H28" s="3">
        <v>5.6972805878461198E-3</v>
      </c>
      <c r="I28" s="3">
        <v>3.4867273669653264E-3</v>
      </c>
      <c r="J28" s="3">
        <v>2.0837363870507144E-5</v>
      </c>
      <c r="K28" s="3">
        <v>1.4152577293048739E-3</v>
      </c>
      <c r="L28" s="3">
        <v>-1.1311067899284548E-4</v>
      </c>
      <c r="M28" s="3">
        <v>-2.9086976790760112E-3</v>
      </c>
      <c r="N28" s="3">
        <v>-5.2620277509902091E-4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2" t="s">
        <v>136</v>
      </c>
      <c r="B29" s="2">
        <v>0</v>
      </c>
      <c r="C29" s="2">
        <v>2.5774511342486327E-2</v>
      </c>
      <c r="D29" s="2">
        <v>4.5765967802939456E-2</v>
      </c>
      <c r="E29" s="2">
        <v>2.84455417473061E-2</v>
      </c>
      <c r="F29" s="2">
        <v>0</v>
      </c>
      <c r="G29" s="2">
        <v>1.3329201211858637E-3</v>
      </c>
      <c r="H29" s="2">
        <v>0</v>
      </c>
      <c r="I29" s="2">
        <v>2.5235077822945108E-3</v>
      </c>
      <c r="J29" s="2">
        <v>2.8845773407980375E-3</v>
      </c>
      <c r="K29" s="2">
        <v>-2.2067327867677917E-2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">
      <c r="A30" s="3" t="s">
        <v>135</v>
      </c>
      <c r="B30" s="3">
        <v>0</v>
      </c>
      <c r="C30" s="3">
        <v>2.2944556910295771E-2</v>
      </c>
      <c r="D30" s="3">
        <v>4.1537787382367172E-2</v>
      </c>
      <c r="E30" s="3">
        <v>2.5409684561567714E-2</v>
      </c>
      <c r="F30" s="3">
        <v>0</v>
      </c>
      <c r="G30" s="3">
        <v>1.2195260728225864E-3</v>
      </c>
      <c r="H30" s="3">
        <v>0</v>
      </c>
      <c r="I30" s="3">
        <v>2.3298362124050398E-3</v>
      </c>
      <c r="J30" s="3">
        <v>2.6974185484812713E-3</v>
      </c>
      <c r="K30" s="3">
        <v>1.0983636622990239E-2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">
      <c r="A31" s="3" t="s">
        <v>134</v>
      </c>
      <c r="B31" s="3">
        <v>-1.9226829521290389</v>
      </c>
      <c r="C31" s="3">
        <v>-1.6201367400105184</v>
      </c>
      <c r="D31" s="3">
        <v>-1.2024955384570375</v>
      </c>
      <c r="E31" s="3">
        <v>-2.497973141726384</v>
      </c>
      <c r="F31" s="3">
        <v>-3.7838630592767708</v>
      </c>
      <c r="G31" s="3">
        <v>-6.7030661185337443</v>
      </c>
      <c r="H31" s="3">
        <v>-44.019895287958114</v>
      </c>
      <c r="I31" s="3">
        <v>31.343932365704024</v>
      </c>
      <c r="J31" s="3">
        <v>8.6936427774784146</v>
      </c>
      <c r="K31" s="3">
        <v>-3.8225031155421045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">
      <c r="A32" s="2" t="s">
        <v>133</v>
      </c>
      <c r="B32" s="2">
        <v>11.299510572278558</v>
      </c>
      <c r="C32" s="2">
        <v>10.237594143202898</v>
      </c>
      <c r="D32" s="2">
        <v>12.779165593613186</v>
      </c>
      <c r="E32" s="2">
        <v>11.099028980194204</v>
      </c>
      <c r="F32" s="2">
        <v>13.9210533126294</v>
      </c>
      <c r="G32" s="2">
        <v>11.705056504356266</v>
      </c>
      <c r="H32" s="2">
        <v>10.740447523852794</v>
      </c>
      <c r="I32" s="2">
        <v>13.909837216924446</v>
      </c>
      <c r="J32" s="2">
        <v>18.743062715247767</v>
      </c>
      <c r="K32" s="2">
        <v>5.2968157587160407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">
      <c r="A33" s="2" t="s">
        <v>132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">
      <c r="A34" s="2" t="s">
        <v>131</v>
      </c>
      <c r="B34" s="2">
        <v>0.92887560702278671</v>
      </c>
      <c r="C34" s="2">
        <v>2.1178471388555424</v>
      </c>
      <c r="D34" s="2">
        <v>0.85794718704041095</v>
      </c>
      <c r="E34" s="2">
        <v>2.6428864288642888</v>
      </c>
      <c r="F34" s="2">
        <v>0.33011722555705708</v>
      </c>
      <c r="G34" s="2">
        <v>1.6065633472261562</v>
      </c>
      <c r="H34" s="2">
        <v>-8.3640194916370341</v>
      </c>
      <c r="I34" s="2">
        <v>-3.9508348794063082</v>
      </c>
      <c r="J34" s="2">
        <v>-3.9270928544545405E-2</v>
      </c>
      <c r="K34" s="2">
        <v>1.0051657940663177</v>
      </c>
      <c r="L34" s="2">
        <v>0.10691421254801536</v>
      </c>
      <c r="M34" s="2">
        <v>1.1478704259148171</v>
      </c>
      <c r="N34" s="2">
        <v>0.21880371261601925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">
      <c r="A35" s="3" t="s">
        <v>130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">
      <c r="A36" s="3" t="s">
        <v>129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2">
      <c r="A37" s="3" t="s">
        <v>128</v>
      </c>
      <c r="B37" s="3">
        <v>0.15460450575786172</v>
      </c>
      <c r="C37" s="3">
        <v>0.16159551782632317</v>
      </c>
      <c r="D37" s="3">
        <v>0.17988940691748889</v>
      </c>
      <c r="E37" s="3">
        <v>0.20354305067083497</v>
      </c>
      <c r="F37" s="3">
        <v>0.27327805722457071</v>
      </c>
      <c r="G37" s="3">
        <v>0.33863468843907696</v>
      </c>
      <c r="H37" s="3">
        <v>0.40777815114160904</v>
      </c>
      <c r="I37" s="3">
        <v>0.57400130123617432</v>
      </c>
      <c r="J37" s="3">
        <v>1.2248153483097857</v>
      </c>
      <c r="K37" s="3">
        <v>0.20491348932969078</v>
      </c>
      <c r="L37" s="3">
        <v>0.25606585788561526</v>
      </c>
      <c r="M37" s="3">
        <v>0.76646706586826352</v>
      </c>
      <c r="N37" s="3">
        <v>0.44825634057971014</v>
      </c>
      <c r="O37" s="3">
        <v>0.42790469172193563</v>
      </c>
      <c r="P37" s="3">
        <v>0.39198372505735185</v>
      </c>
      <c r="Q37" s="3">
        <v>1.0131800336511498</v>
      </c>
      <c r="R37" s="3">
        <v>0.38087628179517913</v>
      </c>
    </row>
    <row r="38" spans="1:18" x14ac:dyDescent="0.2">
      <c r="A38" s="3" t="s">
        <v>127</v>
      </c>
      <c r="B38" s="3">
        <v>0.40742506348079038</v>
      </c>
      <c r="C38" s="3">
        <v>0.34662931521935969</v>
      </c>
      <c r="D38" s="3">
        <v>0.34230944378184974</v>
      </c>
      <c r="E38" s="3">
        <v>0.34765663670704705</v>
      </c>
      <c r="F38" s="3">
        <v>0.40487449981811569</v>
      </c>
      <c r="G38" s="3">
        <v>0.4006066791404434</v>
      </c>
      <c r="H38" s="3">
        <v>0.44796880250428878</v>
      </c>
      <c r="I38" s="3">
        <v>0.52165256994144438</v>
      </c>
      <c r="J38" s="3">
        <v>0.82071163688743143</v>
      </c>
      <c r="K38" s="3">
        <v>0.38908025497881776</v>
      </c>
      <c r="L38" s="3">
        <v>0.55854636048526862</v>
      </c>
      <c r="M38" s="3">
        <v>1.6710329341317365</v>
      </c>
      <c r="N38" s="3">
        <v>0.86430027173913049</v>
      </c>
      <c r="O38" s="3">
        <v>1.3640383198231392</v>
      </c>
      <c r="P38" s="3">
        <v>0.61637016837640135</v>
      </c>
      <c r="Q38" s="3">
        <v>1.0483735277621986</v>
      </c>
      <c r="R38" s="3">
        <v>0.61759222266613401</v>
      </c>
    </row>
    <row r="39" spans="1:18" x14ac:dyDescent="0.2">
      <c r="A39" s="3" t="s">
        <v>126</v>
      </c>
      <c r="B39" s="3">
        <v>5.2871387975639082E-2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2" t="s">
        <v>125</v>
      </c>
      <c r="B40" s="2">
        <v>0.10169173436285155</v>
      </c>
      <c r="C40" s="2">
        <v>0.19617907941006665</v>
      </c>
      <c r="D40" s="2">
        <v>0.15725780660347188</v>
      </c>
      <c r="E40" s="2">
        <v>1.4944668528286275E-2</v>
      </c>
      <c r="F40" s="2">
        <v>0.43212109672505711</v>
      </c>
      <c r="G40" s="2">
        <v>0.38908898571896328</v>
      </c>
      <c r="H40" s="2">
        <v>0.26291175914845372</v>
      </c>
      <c r="I40" s="2">
        <v>4.4410156643075169E-2</v>
      </c>
      <c r="J40" s="2">
        <v>0.93756845564074476</v>
      </c>
      <c r="K40" s="2">
        <v>7.0213209250642408E-2</v>
      </c>
      <c r="L40" s="2">
        <v>-2.2035928143712575</v>
      </c>
      <c r="M40" s="2">
        <v>-2.5041372702726244E-2</v>
      </c>
      <c r="N40" s="2">
        <v>-0.1149515579994763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">
      <c r="A41" s="2" t="s">
        <v>124</v>
      </c>
      <c r="B41" s="2">
        <v>2.4601035798949931E-2</v>
      </c>
      <c r="C41" s="2">
        <v>6.9069379820609567E-2</v>
      </c>
      <c r="D41" s="2">
        <v>5.3314539737612493E-2</v>
      </c>
      <c r="E41" s="2">
        <v>1.0540575745734011E-2</v>
      </c>
      <c r="F41" s="2">
        <v>2.8468032262515524E-2</v>
      </c>
      <c r="G41" s="2">
        <v>0.10948574020525033</v>
      </c>
      <c r="H41" s="2">
        <v>0.14764869214580054</v>
      </c>
      <c r="I41" s="2">
        <v>1.7228366948601172E-2</v>
      </c>
      <c r="J41" s="2">
        <v>5.2468662845934599E-2</v>
      </c>
      <c r="K41" s="2">
        <v>2.0014253474284358E-2</v>
      </c>
      <c r="L41" s="2">
        <v>1.9930675909878681E-2</v>
      </c>
      <c r="M41" s="2">
        <v>5.3798652694610781E-2</v>
      </c>
      <c r="N41" s="2">
        <v>2.4852807971014492E-2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">
      <c r="A42" s="2" t="s">
        <v>123</v>
      </c>
      <c r="B42" s="2">
        <v>2.044743935309973</v>
      </c>
      <c r="C42" s="2">
        <v>6.5667603654251581</v>
      </c>
      <c r="D42" s="2">
        <v>8.385402455661664</v>
      </c>
      <c r="E42" s="2">
        <v>1.4533045977011494</v>
      </c>
      <c r="F42" s="2">
        <v>4.0346666666666664</v>
      </c>
      <c r="G42" s="2">
        <v>15.860369609856264</v>
      </c>
      <c r="H42" s="2">
        <v>19.666666666666668</v>
      </c>
      <c r="I42" s="2">
        <v>1.8914285714285715</v>
      </c>
      <c r="J42" s="2">
        <v>5.5765472312703581</v>
      </c>
      <c r="K42" s="2">
        <v>1.8722222222222222</v>
      </c>
      <c r="L42" s="2">
        <v>1.5397489539748954</v>
      </c>
      <c r="M42" s="2">
        <v>1.416256157635468</v>
      </c>
      <c r="N42" s="2">
        <v>1.2296918767507004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">
      <c r="A43" s="3" t="s">
        <v>122</v>
      </c>
      <c r="B43" s="3">
        <v>0.15862252360058504</v>
      </c>
      <c r="C43" s="3">
        <v>0.15290687145903475</v>
      </c>
      <c r="D43" s="3">
        <v>0.17668437601648054</v>
      </c>
      <c r="E43" s="3">
        <v>0.18483261690764621</v>
      </c>
      <c r="F43" s="3">
        <v>0.26621592804907113</v>
      </c>
      <c r="G43" s="3">
        <v>0.34173895787265407</v>
      </c>
      <c r="H43" s="3">
        <v>0.40265815397131388</v>
      </c>
      <c r="I43" s="3">
        <v>0.56040338321405336</v>
      </c>
      <c r="J43" s="3">
        <v>1.4981764687854362</v>
      </c>
      <c r="K43" s="3">
        <v>6.5308627311240444E-2</v>
      </c>
      <c r="L43" s="3">
        <v>7.3413128249566723E-2</v>
      </c>
      <c r="M43" s="3">
        <v>0.25</v>
      </c>
      <c r="N43" s="3">
        <v>0.11305480072463768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2">
      <c r="A44" s="2" t="s">
        <v>121</v>
      </c>
      <c r="B44" s="2">
        <v>9.6237458953818233</v>
      </c>
      <c r="C44" s="2">
        <v>6.9306989835650752</v>
      </c>
      <c r="D44" s="2">
        <v>9.6434538008183317</v>
      </c>
      <c r="E44" s="2">
        <v>6.915638399013166</v>
      </c>
      <c r="F44" s="2">
        <v>5.2914280887513776</v>
      </c>
      <c r="G44" s="2">
        <v>4.5807599395396368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3" t="s">
        <v>120</v>
      </c>
      <c r="B45" s="3">
        <v>4.0303851395965637E-2</v>
      </c>
      <c r="C45" s="3">
        <v>2.7285502031515318E-2</v>
      </c>
      <c r="D45" s="3">
        <v>4.2467639177596682E-2</v>
      </c>
      <c r="E45" s="3">
        <v>3.4003939512075018E-2</v>
      </c>
      <c r="F45" s="3">
        <v>1.0805102191276639E-2</v>
      </c>
      <c r="G45" s="3">
        <v>1.4856817422094563E-4</v>
      </c>
      <c r="H45" s="3">
        <v>3.7435400181692183E-2</v>
      </c>
      <c r="I45" s="3">
        <v>-1.5283590417835488E-2</v>
      </c>
      <c r="J45" s="3">
        <v>-0.10097645339178504</v>
      </c>
      <c r="K45" s="3">
        <v>5.5212433203361715E-2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">
      <c r="A46" s="3" t="s">
        <v>119</v>
      </c>
      <c r="B46" s="3">
        <v>5.1104365920241299E-2</v>
      </c>
      <c r="C46" s="3">
        <v>2.9365011492842187E-2</v>
      </c>
      <c r="D46" s="3">
        <v>6.5026527603123649E-2</v>
      </c>
      <c r="E46" s="3">
        <v>4.0285353604870205E-2</v>
      </c>
      <c r="F46" s="3">
        <v>2.8366916467414464E-2</v>
      </c>
      <c r="G46" s="3">
        <v>2.3435573746239953E-2</v>
      </c>
      <c r="H46" s="3">
        <v>-7.7238025969798537E-3</v>
      </c>
      <c r="I46" s="3">
        <v>-8.2423553955970133E-3</v>
      </c>
      <c r="J46" s="3">
        <v>-0.10752097638920524</v>
      </c>
      <c r="K46" s="3">
        <v>7.2978012348949531E-2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2">
      <c r="A47" s="2" t="s">
        <v>118</v>
      </c>
      <c r="B47" s="2">
        <v>6.738181354919579</v>
      </c>
      <c r="C47" s="2">
        <v>6.5633344149140145</v>
      </c>
      <c r="D47" s="2">
        <v>6.3485869227645191</v>
      </c>
      <c r="E47" s="2">
        <v>5.9054966511110578</v>
      </c>
      <c r="F47" s="2">
        <v>5.6525117345000426</v>
      </c>
      <c r="G47" s="2">
        <v>5.4742659245129612</v>
      </c>
      <c r="H47" s="2">
        <v>5.2578571838475812</v>
      </c>
      <c r="I47" s="2">
        <v>5.1011459481053354</v>
      </c>
      <c r="J47" s="2">
        <v>5.0219059349630486</v>
      </c>
      <c r="K47" s="2">
        <v>-0.82871320564185624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">
      <c r="A48" s="1" t="s">
        <v>117</v>
      </c>
      <c r="B48" s="1">
        <v>1287892000</v>
      </c>
      <c r="C48" s="1">
        <v>1228988000</v>
      </c>
      <c r="D48" s="1">
        <v>1189201000</v>
      </c>
      <c r="E48" s="1">
        <v>1074365000</v>
      </c>
      <c r="F48" s="1">
        <v>998539000</v>
      </c>
      <c r="G48" s="1">
        <v>926437000</v>
      </c>
      <c r="H48" s="1">
        <v>857549000</v>
      </c>
      <c r="I48" s="1">
        <v>827172000</v>
      </c>
      <c r="J48" s="1">
        <v>808853000</v>
      </c>
      <c r="K48" s="1">
        <v>150728000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 x14ac:dyDescent="0.2">
      <c r="A49" s="1" t="s">
        <v>116</v>
      </c>
      <c r="B49" s="1">
        <v>1406223000</v>
      </c>
      <c r="C49" s="1">
        <v>1363634000</v>
      </c>
      <c r="D49" s="1">
        <v>1271731000</v>
      </c>
      <c r="E49" s="1">
        <v>1135714000</v>
      </c>
      <c r="F49" s="1">
        <v>1041562000</v>
      </c>
      <c r="G49" s="1">
        <v>964799000</v>
      </c>
      <c r="H49" s="1">
        <v>889612000</v>
      </c>
      <c r="I49" s="1">
        <v>845252000</v>
      </c>
      <c r="J49" s="1">
        <v>808784000</v>
      </c>
      <c r="K49" s="1">
        <v>-97701000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x14ac:dyDescent="0.2">
      <c r="A50" s="1" t="s">
        <v>115</v>
      </c>
      <c r="B50" s="1">
        <v>1247669000</v>
      </c>
      <c r="C50" s="1">
        <v>1193841000</v>
      </c>
      <c r="D50" s="1">
        <v>1160708000</v>
      </c>
      <c r="E50" s="1">
        <v>1045057000</v>
      </c>
      <c r="F50" s="1">
        <v>995687000</v>
      </c>
      <c r="G50" s="1">
        <v>923270000</v>
      </c>
      <c r="H50" s="1">
        <v>852136000</v>
      </c>
      <c r="I50" s="1">
        <v>820982000</v>
      </c>
      <c r="J50" s="1">
        <v>798323000</v>
      </c>
      <c r="K50" s="1">
        <v>-108186000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2">
      <c r="A51" s="1" t="s">
        <v>114</v>
      </c>
      <c r="B51" s="1">
        <v>108999500</v>
      </c>
      <c r="C51" s="1">
        <v>63050000</v>
      </c>
      <c r="D51" s="1">
        <v>33608000</v>
      </c>
      <c r="E51" s="1">
        <v>47048000</v>
      </c>
      <c r="F51" s="1">
        <v>54294500</v>
      </c>
      <c r="G51" s="1">
        <v>32098500</v>
      </c>
      <c r="H51" s="1">
        <v>23809500</v>
      </c>
      <c r="I51" s="1">
        <v>19495000</v>
      </c>
      <c r="J51" s="1">
        <v>12546000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 x14ac:dyDescent="0.2">
      <c r="A52" s="1" t="s">
        <v>113</v>
      </c>
      <c r="B52" s="1">
        <v>49090000</v>
      </c>
      <c r="C52" s="1">
        <v>34086500</v>
      </c>
      <c r="D52" s="1">
        <v>28692000</v>
      </c>
      <c r="E52" s="1">
        <v>30543000</v>
      </c>
      <c r="F52" s="1">
        <v>28215500</v>
      </c>
      <c r="G52" s="1">
        <v>22734500</v>
      </c>
      <c r="H52" s="1">
        <v>16573000</v>
      </c>
      <c r="I52" s="1">
        <v>13030000</v>
      </c>
      <c r="J52" s="1">
        <v>8901000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2">
      <c r="A53" s="1" t="s">
        <v>112</v>
      </c>
      <c r="B53" s="1">
        <v>59567500</v>
      </c>
      <c r="C53" s="1">
        <v>55321000</v>
      </c>
      <c r="D53" s="1">
        <v>55132500</v>
      </c>
      <c r="E53" s="1">
        <v>54829500</v>
      </c>
      <c r="F53" s="1">
        <v>47136000</v>
      </c>
      <c r="G53" s="1">
        <v>33815000</v>
      </c>
      <c r="H53" s="1">
        <v>26493500</v>
      </c>
      <c r="I53" s="1">
        <v>29069500</v>
      </c>
      <c r="J53" s="1">
        <v>26831000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2">
      <c r="A54" s="2" t="s">
        <v>111</v>
      </c>
      <c r="B54" s="2">
        <v>39.342621148588826</v>
      </c>
      <c r="C54" s="2">
        <v>27.67424413211473</v>
      </c>
      <c r="D54" s="2">
        <v>16.744313130217932</v>
      </c>
      <c r="E54" s="2">
        <v>11.403516998827667</v>
      </c>
      <c r="F54" s="2">
        <v>39.387488867425148</v>
      </c>
      <c r="G54" s="2">
        <v>24.756123490389523</v>
      </c>
      <c r="H54" s="2">
        <v>20.203561890950251</v>
      </c>
      <c r="I54" s="2">
        <v>26.037345478204294</v>
      </c>
      <c r="J54" s="2">
        <v>23.11027000521009</v>
      </c>
      <c r="K54" s="2">
        <v>14.850338520014255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">
      <c r="A55" s="2" t="s">
        <v>110</v>
      </c>
      <c r="B55" s="2">
        <v>68.609942638623338</v>
      </c>
      <c r="C55" s="2">
        <v>57.671991286984934</v>
      </c>
      <c r="D55" s="2">
        <v>42.418969011924112</v>
      </c>
      <c r="E55" s="2">
        <v>61.290927915102891</v>
      </c>
      <c r="F55" s="2">
        <v>66.352826559416457</v>
      </c>
      <c r="G55" s="2">
        <v>66.105108055009822</v>
      </c>
      <c r="H55" s="2">
        <v>66.229917886469124</v>
      </c>
      <c r="I55" s="2">
        <v>77.285831960461294</v>
      </c>
      <c r="J55" s="2">
        <v>70.012891844212234</v>
      </c>
      <c r="K55" s="2">
        <v>49.641396118025938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">
      <c r="A56" s="2" t="s">
        <v>109</v>
      </c>
      <c r="B56" s="2">
        <v>73.942092324501502</v>
      </c>
      <c r="C56" s="2">
        <v>80.29451806135414</v>
      </c>
      <c r="D56" s="2">
        <v>84.905319284918647</v>
      </c>
      <c r="E56" s="2">
        <v>113.76083861783357</v>
      </c>
      <c r="F56" s="2">
        <v>114.78928830156629</v>
      </c>
      <c r="G56" s="2">
        <v>106.12721021611002</v>
      </c>
      <c r="H56" s="2">
        <v>87.165298107818643</v>
      </c>
      <c r="I56" s="2">
        <v>151.29912920687221</v>
      </c>
      <c r="J56" s="2">
        <v>180.5557063373592</v>
      </c>
      <c r="K56" s="2">
        <v>188.75010879972146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">
      <c r="A57" s="2" t="s">
        <v>108</v>
      </c>
      <c r="B57" s="2">
        <v>2.2875954212630845</v>
      </c>
      <c r="C57" s="2">
        <v>3.2521213432369414</v>
      </c>
      <c r="D57" s="2">
        <v>5.3749592055573689</v>
      </c>
      <c r="E57" s="2">
        <v>7.8923019985196152</v>
      </c>
      <c r="F57" s="2">
        <v>2.2849895382498784</v>
      </c>
      <c r="G57" s="2">
        <v>3.6354641725284069</v>
      </c>
      <c r="H57" s="2">
        <v>4.4546600488458203</v>
      </c>
      <c r="I57" s="2">
        <v>3.4565735618225162</v>
      </c>
      <c r="J57" s="2">
        <v>3.8943725010443395</v>
      </c>
      <c r="K57" s="2">
        <v>6.0604679064187161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">
      <c r="A58" s="2" t="s">
        <v>107</v>
      </c>
      <c r="B58" s="2">
        <v>1.3117632304991222</v>
      </c>
      <c r="C58" s="2">
        <v>1.5605495491242152</v>
      </c>
      <c r="D58" s="2">
        <v>2.1216923017318199</v>
      </c>
      <c r="E58" s="2">
        <v>1.4684065499002312</v>
      </c>
      <c r="F58" s="2">
        <v>1.3563853217226307</v>
      </c>
      <c r="G58" s="2">
        <v>1.3614681625677985</v>
      </c>
      <c r="H58" s="2">
        <v>1.3589024850412377</v>
      </c>
      <c r="I58" s="2">
        <v>1.1645083932853717</v>
      </c>
      <c r="J58" s="2">
        <v>1.2854775403401657</v>
      </c>
      <c r="K58" s="2">
        <v>1.8130029982641629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">
      <c r="A59" s="2" t="s">
        <v>106</v>
      </c>
      <c r="B59" s="2">
        <v>1.217168694727043</v>
      </c>
      <c r="C59" s="2">
        <v>1.120873531256888</v>
      </c>
      <c r="D59" s="2">
        <v>1.0600042583667229</v>
      </c>
      <c r="E59" s="2">
        <v>0.79113340841609503</v>
      </c>
      <c r="F59" s="2">
        <v>0.78404528272323093</v>
      </c>
      <c r="G59" s="2">
        <v>0.84803887539048939</v>
      </c>
      <c r="H59" s="2">
        <v>1.0325209911939381</v>
      </c>
      <c r="I59" s="2">
        <v>0.59484810303793922</v>
      </c>
      <c r="J59" s="2">
        <v>0.49846112219704403</v>
      </c>
      <c r="K59" s="2">
        <v>0.47682091720273917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">
      <c r="A60" s="3" t="s">
        <v>105</v>
      </c>
      <c r="B60" s="3">
        <v>5.375689113677317E-2</v>
      </c>
      <c r="C60" s="3">
        <v>3.2986857177219109E-2</v>
      </c>
      <c r="D60" s="3">
        <v>7.1645654623501351E-2</v>
      </c>
      <c r="E60" s="3">
        <v>4.5098501911572809E-2</v>
      </c>
      <c r="F60" s="3">
        <v>3.0549309594628069E-2</v>
      </c>
      <c r="G60" s="3">
        <v>2.5614661706738918E-2</v>
      </c>
      <c r="H60" s="3">
        <v>-8.5351816297442023E-3</v>
      </c>
      <c r="I60" s="3">
        <v>-8.9275151079204786E-3</v>
      </c>
      <c r="J60" s="3">
        <v>-0.1149812558111931</v>
      </c>
      <c r="K60" s="3">
        <v>-0.14662081247888967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2">
      <c r="A61" s="2" t="s">
        <v>104</v>
      </c>
      <c r="B61" s="2">
        <v>4.4433771071775825E-2</v>
      </c>
      <c r="C61" s="2">
        <v>0.1102563346213976</v>
      </c>
      <c r="D61" s="2">
        <v>7.3419097446188394E-2</v>
      </c>
      <c r="E61" s="2">
        <v>1.2228885073868994E-2</v>
      </c>
      <c r="F61" s="2">
        <v>2.7813522555976324E-2</v>
      </c>
      <c r="G61" s="2">
        <v>9.6613402545420432E-2</v>
      </c>
      <c r="H61" s="2">
        <v>0.10646492083835467</v>
      </c>
      <c r="I61" s="2">
        <v>8.5309828027242442E-3</v>
      </c>
      <c r="J61" s="2">
        <v>2.2255298958082821E-2</v>
      </c>
      <c r="K61" s="2">
        <v>6.6293777827321427E-3</v>
      </c>
      <c r="L61" s="2">
        <v>4.8261345678445667E-3</v>
      </c>
      <c r="M61" s="2">
        <v>4.4077515101339955E-3</v>
      </c>
      <c r="N61" s="2">
        <v>3.365222457302303E-3</v>
      </c>
      <c r="O61" s="2">
        <v>0</v>
      </c>
      <c r="P61" s="2">
        <v>0</v>
      </c>
      <c r="Q61" s="2">
        <v>0</v>
      </c>
      <c r="R61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780A-7D28-9646-B30C-17D4C6E7D702}">
  <dimension ref="A1:R40"/>
  <sheetViews>
    <sheetView workbookViewId="0"/>
  </sheetViews>
  <sheetFormatPr baseColWidth="10" defaultRowHeight="16" x14ac:dyDescent="0.2"/>
  <cols>
    <col min="1" max="1" width="38.1640625" bestFit="1" customWidth="1"/>
    <col min="2" max="2" width="13.83203125" bestFit="1" customWidth="1"/>
    <col min="3" max="3" width="8.5" bestFit="1" customWidth="1"/>
    <col min="4" max="4" width="8.1640625" bestFit="1" customWidth="1"/>
    <col min="5" max="6" width="9.1640625" bestFit="1" customWidth="1"/>
    <col min="7" max="7" width="8.5" bestFit="1" customWidth="1"/>
    <col min="8" max="8" width="8.83203125" bestFit="1" customWidth="1"/>
    <col min="9" max="9" width="10.1640625" bestFit="1" customWidth="1"/>
    <col min="10" max="10" width="9.83203125" bestFit="1" customWidth="1"/>
    <col min="11" max="11" width="9.1640625" bestFit="1" customWidth="1"/>
    <col min="12" max="12" width="8.1640625" bestFit="1" customWidth="1"/>
    <col min="13" max="13" width="8.83203125" bestFit="1" customWidth="1"/>
    <col min="14" max="14" width="8.1640625" bestFit="1" customWidth="1"/>
    <col min="15" max="15" width="8.83203125" bestFit="1" customWidth="1"/>
    <col min="16" max="16" width="7.83203125" bestFit="1" customWidth="1"/>
    <col min="17" max="17" width="8.83203125" bestFit="1" customWidth="1"/>
    <col min="18" max="18" width="7.5" bestFit="1" customWidth="1"/>
  </cols>
  <sheetData>
    <row r="1" spans="1:18" x14ac:dyDescent="0.2">
      <c r="A1" s="10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">
      <c r="A2" t="s">
        <v>1</v>
      </c>
      <c r="B2" t="s">
        <v>2</v>
      </c>
    </row>
    <row r="3" spans="1:18" x14ac:dyDescent="0.2">
      <c r="A3" t="s">
        <v>3</v>
      </c>
      <c r="B3" t="str">
        <f>'ALAB - Income Statement Q'!B3</f>
        <v>USD</v>
      </c>
    </row>
    <row r="4" spans="1:18" x14ac:dyDescent="0.2">
      <c r="A4" t="s">
        <v>32</v>
      </c>
      <c r="B4" t="s">
        <v>195</v>
      </c>
      <c r="C4" t="s">
        <v>196</v>
      </c>
      <c r="D4" t="s">
        <v>197</v>
      </c>
      <c r="E4" t="s">
        <v>198</v>
      </c>
      <c r="F4" t="s">
        <v>195</v>
      </c>
      <c r="G4" t="s">
        <v>196</v>
      </c>
      <c r="H4" t="s">
        <v>197</v>
      </c>
      <c r="I4" t="s">
        <v>198</v>
      </c>
      <c r="J4" t="s">
        <v>195</v>
      </c>
      <c r="K4" t="s">
        <v>196</v>
      </c>
      <c r="L4" t="s">
        <v>197</v>
      </c>
      <c r="M4" t="s">
        <v>198</v>
      </c>
      <c r="N4" t="s">
        <v>195</v>
      </c>
      <c r="O4" t="s">
        <v>196</v>
      </c>
      <c r="P4" t="s">
        <v>197</v>
      </c>
      <c r="Q4" t="s">
        <v>198</v>
      </c>
      <c r="R4" t="s">
        <v>195</v>
      </c>
    </row>
    <row r="5" spans="1:18" x14ac:dyDescent="0.2">
      <c r="A5" t="s">
        <v>34</v>
      </c>
      <c r="B5" s="9">
        <v>46112</v>
      </c>
      <c r="C5" s="9">
        <v>46022</v>
      </c>
      <c r="D5" s="9">
        <v>45930</v>
      </c>
      <c r="E5" s="9">
        <v>45838</v>
      </c>
      <c r="F5" s="9">
        <v>45747</v>
      </c>
      <c r="G5" s="9">
        <v>45657</v>
      </c>
      <c r="H5" s="9">
        <v>45565</v>
      </c>
      <c r="I5" s="9">
        <v>45473</v>
      </c>
      <c r="J5" s="9">
        <v>45382</v>
      </c>
      <c r="K5" s="9">
        <v>45291</v>
      </c>
      <c r="L5" s="9">
        <v>45199</v>
      </c>
      <c r="M5" s="9">
        <v>45107</v>
      </c>
      <c r="N5" s="9">
        <v>45016</v>
      </c>
      <c r="O5" s="9">
        <v>44926</v>
      </c>
      <c r="P5" s="9">
        <v>44834</v>
      </c>
      <c r="Q5" s="9">
        <v>44742</v>
      </c>
      <c r="R5" s="9">
        <v>44651</v>
      </c>
    </row>
    <row r="7" spans="1:18" x14ac:dyDescent="0.2">
      <c r="A7" s="3" t="s">
        <v>194</v>
      </c>
      <c r="B7" s="3">
        <v>0.13961704911247197</v>
      </c>
      <c r="C7" s="3">
        <v>0.17351404098449527</v>
      </c>
      <c r="D7" s="3">
        <v>0.20138074768789893</v>
      </c>
      <c r="E7" s="3">
        <v>0.2037292557795311</v>
      </c>
      <c r="F7" s="3">
        <v>0.1300249475534388</v>
      </c>
      <c r="G7" s="3">
        <v>0.24768760058716374</v>
      </c>
      <c r="H7" s="3">
        <v>0.47151594014313597</v>
      </c>
      <c r="I7" s="3">
        <v>0.1776333936069141</v>
      </c>
      <c r="J7" s="3">
        <v>0.29187947895632893</v>
      </c>
      <c r="K7" s="3">
        <v>0.36790511265164644</v>
      </c>
      <c r="L7" s="3">
        <v>2.4550898203592815</v>
      </c>
      <c r="M7" s="3">
        <v>-0.39492753623188404</v>
      </c>
      <c r="N7" s="3">
        <v>-0.13220338983050847</v>
      </c>
      <c r="O7" s="3">
        <v>-0.11894559148162576</v>
      </c>
      <c r="P7" s="3">
        <v>7.9781267526640498E-2</v>
      </c>
      <c r="Q7" s="3">
        <v>0.42469037155413503</v>
      </c>
      <c r="R7" s="3">
        <v>0</v>
      </c>
    </row>
    <row r="8" spans="1:18" x14ac:dyDescent="0.2">
      <c r="A8" s="3" t="s">
        <v>193</v>
      </c>
      <c r="B8" s="3">
        <v>0.1499743244895464</v>
      </c>
      <c r="C8" s="3">
        <v>0.16303210247309627</v>
      </c>
      <c r="D8" s="3">
        <v>0.20780692895859526</v>
      </c>
      <c r="E8" s="3">
        <v>0.21900829906792507</v>
      </c>
      <c r="F8" s="3">
        <v>0.14325788909313725</v>
      </c>
      <c r="G8" s="3">
        <v>0.18857038815617283</v>
      </c>
      <c r="H8" s="3">
        <v>0.46818926053396598</v>
      </c>
      <c r="I8" s="3">
        <v>0.18475851148060174</v>
      </c>
      <c r="J8" s="3">
        <v>0.29455477258167839</v>
      </c>
      <c r="K8" s="3">
        <v>0.38854296388542964</v>
      </c>
      <c r="L8" s="3">
        <v>2.330370897025714</v>
      </c>
      <c r="M8" s="3">
        <v>0.98191639267261621</v>
      </c>
      <c r="N8" s="3">
        <v>-0.70909339345494293</v>
      </c>
      <c r="O8" s="3">
        <v>-0.14886317380938535</v>
      </c>
      <c r="P8" s="3">
        <v>7.2332730560578665E-2</v>
      </c>
      <c r="Q8" s="3">
        <v>0.48353376503237744</v>
      </c>
      <c r="R8" s="3">
        <v>0</v>
      </c>
    </row>
    <row r="9" spans="1:18" x14ac:dyDescent="0.2">
      <c r="A9" s="3" t="s">
        <v>192</v>
      </c>
      <c r="B9" s="3">
        <v>-6.9707913577900266E-2</v>
      </c>
      <c r="C9" s="3">
        <v>0.18026681822260776</v>
      </c>
      <c r="D9" s="3">
        <v>0.31984445014706175</v>
      </c>
      <c r="E9" s="3">
        <v>1.3326886770732607</v>
      </c>
      <c r="F9" s="3">
        <v>1.0292468697439732</v>
      </c>
      <c r="G9" s="3">
        <v>4.308531746031746</v>
      </c>
      <c r="H9" s="3">
        <v>1.1431513171909393</v>
      </c>
      <c r="I9" s="3">
        <v>0.82486662604305272</v>
      </c>
      <c r="J9" s="3">
        <v>-8.5194501589676452</v>
      </c>
      <c r="K9" s="3">
        <v>43.268774703557312</v>
      </c>
      <c r="L9" s="3">
        <v>0.98424461327687129</v>
      </c>
      <c r="M9" s="3">
        <v>7.345219548785413E-2</v>
      </c>
      <c r="N9" s="3">
        <v>0.14797699228159875</v>
      </c>
      <c r="O9" s="3">
        <v>-2.9132358599461332</v>
      </c>
      <c r="P9" s="3">
        <v>0.81340417130344256</v>
      </c>
      <c r="Q9" s="3">
        <v>-5.6563918757467144</v>
      </c>
      <c r="R9" s="3">
        <v>0</v>
      </c>
    </row>
    <row r="10" spans="1:18" x14ac:dyDescent="0.2">
      <c r="A10" s="3" t="s">
        <v>191</v>
      </c>
      <c r="B10" s="3">
        <v>-7.6540517936616981E-2</v>
      </c>
      <c r="C10" s="3">
        <v>0.20849727466339385</v>
      </c>
      <c r="D10" s="3">
        <v>0.39302056619902448</v>
      </c>
      <c r="E10" s="3">
        <v>2.5245015507310589</v>
      </c>
      <c r="F10" s="3">
        <v>77.368055555555557</v>
      </c>
      <c r="G10" s="3">
        <v>1.0161870503597121</v>
      </c>
      <c r="H10" s="3">
        <v>0.6346161744773483</v>
      </c>
      <c r="I10" s="3">
        <v>0.70654597611098391</v>
      </c>
      <c r="J10" s="3">
        <v>-10.198115299334811</v>
      </c>
      <c r="K10" s="3">
        <v>5.5624683864441069</v>
      </c>
      <c r="L10" s="3">
        <v>0.88775336399250548</v>
      </c>
      <c r="M10" s="3">
        <v>6.9424631478839746E-2</v>
      </c>
      <c r="N10" s="3">
        <v>0.13329975272460848</v>
      </c>
      <c r="O10" s="3">
        <v>-2.5805869814723725</v>
      </c>
      <c r="P10" s="3">
        <v>0.78273724707893988</v>
      </c>
      <c r="Q10" s="3">
        <v>-5.7077658303464753</v>
      </c>
      <c r="R10" s="3">
        <v>0</v>
      </c>
    </row>
    <row r="11" spans="1:18" x14ac:dyDescent="0.2">
      <c r="A11" s="3" t="s">
        <v>190</v>
      </c>
      <c r="B11" s="3">
        <v>0.78538081899426437</v>
      </c>
      <c r="C11" s="3">
        <v>-0.50631077551199599</v>
      </c>
      <c r="D11" s="3">
        <v>0.77891017005408147</v>
      </c>
      <c r="E11" s="3">
        <v>0.60969860775008644</v>
      </c>
      <c r="F11" s="3">
        <v>0.28754097033949744</v>
      </c>
      <c r="G11" s="3">
        <v>4.2547082839457397</v>
      </c>
      <c r="H11" s="3">
        <v>-6.2284654121388819E-3</v>
      </c>
      <c r="I11" s="3">
        <v>0.91885585246518631</v>
      </c>
      <c r="J11" s="3">
        <v>-7.4917975567190229</v>
      </c>
      <c r="K11" s="3">
        <v>5.5854673495518563</v>
      </c>
      <c r="L11" s="3">
        <v>0.84383123375324931</v>
      </c>
      <c r="M11" s="3">
        <v>-0.14609831557236164</v>
      </c>
      <c r="N11" s="3">
        <v>0.13151216599492463</v>
      </c>
      <c r="O11" s="3">
        <v>-2.7620741295394984</v>
      </c>
      <c r="P11" s="3">
        <v>0.80456574229896827</v>
      </c>
      <c r="Q11" s="3">
        <v>-3.9055994256999282</v>
      </c>
      <c r="R11" s="3">
        <v>0</v>
      </c>
    </row>
    <row r="12" spans="1:18" x14ac:dyDescent="0.2">
      <c r="A12" s="3" t="s">
        <v>189</v>
      </c>
      <c r="B12" s="3">
        <v>0.74074074074074048</v>
      </c>
      <c r="C12" s="3">
        <v>-0.5</v>
      </c>
      <c r="D12" s="3">
        <v>0.74193548387096786</v>
      </c>
      <c r="E12" s="3">
        <v>0.63157894736842102</v>
      </c>
      <c r="F12" s="3">
        <v>0.26666666666666672</v>
      </c>
      <c r="G12" s="3">
        <v>4.0991735537190079</v>
      </c>
      <c r="H12" s="3">
        <v>4.1152263374485349E-3</v>
      </c>
      <c r="I12" s="3">
        <v>0.91900000000000004</v>
      </c>
      <c r="J12" s="3">
        <v>-7.3897763578274756</v>
      </c>
      <c r="K12" s="3">
        <v>5.5804878048780484</v>
      </c>
      <c r="L12" s="3">
        <v>0.8633333333333334</v>
      </c>
      <c r="M12" s="3">
        <v>-0.15384615384615377</v>
      </c>
      <c r="N12" s="3">
        <v>0.77966101694915257</v>
      </c>
      <c r="O12" s="3">
        <v>-2.6874999999999996</v>
      </c>
      <c r="P12" s="3">
        <v>0.79999999999999993</v>
      </c>
      <c r="Q12" s="3">
        <v>-4</v>
      </c>
      <c r="R12" s="3">
        <v>0</v>
      </c>
    </row>
    <row r="13" spans="1:18" x14ac:dyDescent="0.2">
      <c r="A13" s="3" t="s">
        <v>188</v>
      </c>
      <c r="B13" s="3">
        <v>0.76</v>
      </c>
      <c r="C13" s="3">
        <v>-0.5</v>
      </c>
      <c r="D13" s="3">
        <v>0.72413793103448287</v>
      </c>
      <c r="E13" s="3">
        <v>0.61111111111111105</v>
      </c>
      <c r="F13" s="3">
        <v>0.28571428571428553</v>
      </c>
      <c r="G13" s="3">
        <v>3.892561983471075</v>
      </c>
      <c r="H13" s="3">
        <v>4.1152263374485349E-3</v>
      </c>
      <c r="I13" s="3">
        <v>0.91900000000000004</v>
      </c>
      <c r="J13" s="3">
        <v>-7.3897763578274756</v>
      </c>
      <c r="K13" s="3">
        <v>5.5804878048780484</v>
      </c>
      <c r="L13" s="3">
        <v>0.8633333333333334</v>
      </c>
      <c r="M13" s="3">
        <v>-0.15384615384615377</v>
      </c>
      <c r="N13" s="3">
        <v>0.77966101694915257</v>
      </c>
      <c r="O13" s="3">
        <v>-2.6874999999999996</v>
      </c>
      <c r="P13" s="3">
        <v>0.79999999999999993</v>
      </c>
      <c r="Q13" s="3">
        <v>-4</v>
      </c>
      <c r="R13" s="3">
        <v>0</v>
      </c>
    </row>
    <row r="14" spans="1:18" x14ac:dyDescent="0.2">
      <c r="A14" s="3" t="s">
        <v>187</v>
      </c>
      <c r="B14" s="3">
        <v>7.2033273354768293E-3</v>
      </c>
      <c r="C14" s="3">
        <v>1.2356960271387276E-2</v>
      </c>
      <c r="D14" s="3">
        <v>1.2138211185530866E-2</v>
      </c>
      <c r="E14" s="3">
        <v>1.3689228770665588E-2</v>
      </c>
      <c r="F14" s="3">
        <v>2.0632289940273305E-2</v>
      </c>
      <c r="G14" s="3">
        <v>1.9536953791023458E-2</v>
      </c>
      <c r="H14" s="3">
        <v>1.0515531672240156E-2</v>
      </c>
      <c r="I14" s="3">
        <v>8.7617240056938207E-3</v>
      </c>
      <c r="J14" s="3">
        <v>8.8391703769761902E-3</v>
      </c>
      <c r="K14" s="3">
        <v>0</v>
      </c>
      <c r="L14" s="3">
        <v>0.16903535399993869</v>
      </c>
      <c r="M14" s="3">
        <v>0</v>
      </c>
      <c r="N14" s="3">
        <v>2.8176231307248836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 t="s">
        <v>186</v>
      </c>
      <c r="B15" s="3">
        <v>-1.3246422086201092E-4</v>
      </c>
      <c r="C15" s="3">
        <v>3.0448815541075452E-3</v>
      </c>
      <c r="D15" s="3">
        <v>1.4211117349803482E-2</v>
      </c>
      <c r="E15" s="3">
        <v>-8.9829100136989382E-5</v>
      </c>
      <c r="F15" s="3">
        <v>3.136985452722757E-3</v>
      </c>
      <c r="G15" s="3">
        <v>0.13216774744788976</v>
      </c>
      <c r="H15" s="3">
        <v>1.0515531672240156E-2</v>
      </c>
      <c r="I15" s="3">
        <v>8.7617240056938207E-3</v>
      </c>
      <c r="J15" s="3">
        <v>8.8391703769761902E-3</v>
      </c>
      <c r="K15" s="3">
        <v>0</v>
      </c>
      <c r="L15" s="3">
        <v>0.16903535399993869</v>
      </c>
      <c r="M15" s="3">
        <v>0</v>
      </c>
      <c r="N15" s="3">
        <v>2.8176231307248836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 t="s">
        <v>185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2">
      <c r="A17" s="3" t="s">
        <v>184</v>
      </c>
      <c r="B17" s="3">
        <v>-0.21694221382459455</v>
      </c>
      <c r="C17" s="3">
        <v>0.21867444448708601</v>
      </c>
      <c r="D17" s="3">
        <v>-0.42252116484198393</v>
      </c>
      <c r="E17" s="3">
        <v>11.887090632140136</v>
      </c>
      <c r="F17" s="3">
        <v>-0.73543560939979347</v>
      </c>
      <c r="G17" s="3">
        <v>-0.37483466649870884</v>
      </c>
      <c r="H17" s="3">
        <v>1.1302116526347568</v>
      </c>
      <c r="I17" s="3">
        <v>7.1634720700985763</v>
      </c>
      <c r="J17" s="3">
        <v>-0.74637127578304052</v>
      </c>
      <c r="K17" s="3">
        <v>44.110778443113773</v>
      </c>
      <c r="L17" s="3">
        <v>0.98545422872572075</v>
      </c>
      <c r="M17" s="3">
        <v>-5.0125687352710138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2">
      <c r="A18" s="3" t="s">
        <v>183</v>
      </c>
      <c r="B18" s="3">
        <v>-0.12489552862515671</v>
      </c>
      <c r="C18" s="3">
        <v>0.16239108655393303</v>
      </c>
      <c r="D18" s="3">
        <v>-0.50595081856565394</v>
      </c>
      <c r="E18" s="3">
        <v>21.354233025984911</v>
      </c>
      <c r="F18" s="3">
        <v>-0.75407132549989697</v>
      </c>
      <c r="G18" s="3">
        <v>-0.48185255602315696</v>
      </c>
      <c r="H18" s="3">
        <v>0.50338825191893888</v>
      </c>
      <c r="I18" s="3">
        <v>135.56578947368422</v>
      </c>
      <c r="J18" s="3">
        <v>-0.98296982372273678</v>
      </c>
      <c r="K18" s="3">
        <v>13.51214953271028</v>
      </c>
      <c r="L18" s="3">
        <v>0.95453966095934062</v>
      </c>
      <c r="M18" s="3">
        <v>-4.5277125410991079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">
      <c r="A19" s="3" t="s">
        <v>182</v>
      </c>
      <c r="B19" s="3">
        <v>3.1096550346254825</v>
      </c>
      <c r="C19" s="3">
        <v>1.6798135325053254</v>
      </c>
      <c r="D19" s="3">
        <v>1.036820171577157</v>
      </c>
      <c r="E19" s="3">
        <v>0.85288143224697188</v>
      </c>
      <c r="F19" s="3">
        <v>1.2230239130685165</v>
      </c>
      <c r="G19" s="3">
        <v>0.48137973835676018</v>
      </c>
      <c r="H19" s="3">
        <v>6.6513215854884247E-2</v>
      </c>
      <c r="I19" s="3">
        <v>-0.2091756147458472</v>
      </c>
      <c r="J19" s="3">
        <v>-3.4885091025079515E-2</v>
      </c>
      <c r="K19" s="3">
        <v>-0.44394217771310646</v>
      </c>
      <c r="L19" s="3">
        <v>-0.64184855280838649</v>
      </c>
      <c r="M19" s="3">
        <v>-0.86915088110718741</v>
      </c>
      <c r="N19" s="3">
        <v>-0.69190553036904567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2">
      <c r="A20" s="3" t="s">
        <v>181</v>
      </c>
      <c r="B20" s="3">
        <v>3.1096550346254825</v>
      </c>
      <c r="C20" s="3">
        <v>1.6798135325053254</v>
      </c>
      <c r="D20" s="3">
        <v>1.036820171577157</v>
      </c>
      <c r="E20" s="3">
        <v>0.85288143224697188</v>
      </c>
      <c r="F20" s="3">
        <v>1.2230239130685165</v>
      </c>
      <c r="G20" s="3">
        <v>0.48137973835676018</v>
      </c>
      <c r="H20" s="3">
        <v>6.6513215854884247E-2</v>
      </c>
      <c r="I20" s="3">
        <v>-0.2091756147458472</v>
      </c>
      <c r="J20" s="3">
        <v>-3.4885091025079515E-2</v>
      </c>
      <c r="K20" s="3">
        <v>-0.44394217771310646</v>
      </c>
      <c r="L20" s="3">
        <v>-0.64184855280838649</v>
      </c>
      <c r="M20" s="3">
        <v>-0.86915088110718741</v>
      </c>
      <c r="N20" s="3">
        <v>-0.69190553036904567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">
      <c r="A21" s="3" t="s">
        <v>180</v>
      </c>
      <c r="B21" s="3">
        <v>12.338944511234374</v>
      </c>
      <c r="C21" s="3">
        <v>1.6798135325053254</v>
      </c>
      <c r="D21" s="3">
        <v>1.036820171577157</v>
      </c>
      <c r="E21" s="3">
        <v>0.85288143224697188</v>
      </c>
      <c r="F21" s="3">
        <v>1.2230239130685165</v>
      </c>
      <c r="G21" s="3">
        <v>0.48137973835676018</v>
      </c>
      <c r="H21" s="3">
        <v>6.6513215854884247E-2</v>
      </c>
      <c r="I21" s="3">
        <v>-0.2091756147458472</v>
      </c>
      <c r="J21" s="3">
        <v>-3.4885091025079515E-2</v>
      </c>
      <c r="K21" s="3">
        <v>-0.44394217771310646</v>
      </c>
      <c r="L21" s="3">
        <v>-0.64184855280838649</v>
      </c>
      <c r="M21" s="3">
        <v>-0.86915088110718741</v>
      </c>
      <c r="N21" s="3">
        <v>-0.69190553036904567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">
      <c r="A22" s="3" t="s">
        <v>179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">
      <c r="A23" s="3" t="s">
        <v>178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x14ac:dyDescent="0.2">
      <c r="A24" s="3" t="s">
        <v>177</v>
      </c>
      <c r="B24" s="3">
        <v>15.925490152267706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">
      <c r="A25" s="3" t="s">
        <v>176</v>
      </c>
      <c r="B25" s="3">
        <v>3.8848055265592296</v>
      </c>
      <c r="C25" s="3">
        <v>1.4512141428957026</v>
      </c>
      <c r="D25" s="3">
        <v>4.4808882222126156</v>
      </c>
      <c r="E25" s="3">
        <v>1.3870584687630121</v>
      </c>
      <c r="F25" s="3">
        <v>2.1957184208180309</v>
      </c>
      <c r="G25" s="3">
        <v>1.2627949659760405</v>
      </c>
      <c r="H25" s="3">
        <v>0.69030421615718995</v>
      </c>
      <c r="I25" s="3">
        <v>0.93921696510589037</v>
      </c>
      <c r="J25" s="3">
        <v>-2.7068572007067204</v>
      </c>
      <c r="K25" s="3">
        <v>1.1597138943956542</v>
      </c>
      <c r="L25" s="3">
        <v>0.86896526255003947</v>
      </c>
      <c r="M25" s="3">
        <v>0.80830066671778822</v>
      </c>
      <c r="N25" s="3">
        <v>0.1794769030904288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">
      <c r="A26" s="3" t="s">
        <v>175</v>
      </c>
      <c r="B26" s="3">
        <v>3.8848055265592296</v>
      </c>
      <c r="C26" s="3">
        <v>1.4512141428957026</v>
      </c>
      <c r="D26" s="3">
        <v>4.4808882222126156</v>
      </c>
      <c r="E26" s="3">
        <v>1.3870584687630121</v>
      </c>
      <c r="F26" s="3">
        <v>2.1957184208180309</v>
      </c>
      <c r="G26" s="3">
        <v>1.2627949659760405</v>
      </c>
      <c r="H26" s="3">
        <v>0.69030421615718995</v>
      </c>
      <c r="I26" s="3">
        <v>0.93921696510589037</v>
      </c>
      <c r="J26" s="3">
        <v>-2.7068572007067204</v>
      </c>
      <c r="K26" s="3">
        <v>1.1597138943956542</v>
      </c>
      <c r="L26" s="3">
        <v>0.86896526255003947</v>
      </c>
      <c r="M26" s="3">
        <v>0.80830066671778822</v>
      </c>
      <c r="N26" s="3">
        <v>0.1794769030904288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2">
      <c r="A27" s="3" t="s">
        <v>174</v>
      </c>
      <c r="B27" s="3">
        <v>4.5158127021952197</v>
      </c>
      <c r="C27" s="3">
        <v>1.4512141428957026</v>
      </c>
      <c r="D27" s="3">
        <v>4.4808882222126156</v>
      </c>
      <c r="E27" s="3">
        <v>1.3870584687630121</v>
      </c>
      <c r="F27" s="3">
        <v>2.1957184208180309</v>
      </c>
      <c r="G27" s="3">
        <v>1.2627949659760405</v>
      </c>
      <c r="H27" s="3">
        <v>0.69030421615718995</v>
      </c>
      <c r="I27" s="3">
        <v>0.93921696510589037</v>
      </c>
      <c r="J27" s="3">
        <v>-2.7068572007067204</v>
      </c>
      <c r="K27" s="3">
        <v>1.1597138943956542</v>
      </c>
      <c r="L27" s="3">
        <v>0.86896526255003947</v>
      </c>
      <c r="M27" s="3">
        <v>0.80830066671778822</v>
      </c>
      <c r="N27" s="3">
        <v>0.1794769030904288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">
      <c r="A28" s="3" t="s">
        <v>173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3" t="s">
        <v>172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">
      <c r="A30" s="3" t="s">
        <v>171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">
      <c r="A31" s="3" t="s">
        <v>170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">
      <c r="A32" s="3" t="s">
        <v>169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x14ac:dyDescent="0.2">
      <c r="A33" s="3" t="s">
        <v>168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2">
      <c r="A34" s="3" t="s">
        <v>167</v>
      </c>
      <c r="B34" s="3">
        <v>0.62011730487247907</v>
      </c>
      <c r="C34" s="3">
        <v>0.93953098046528971</v>
      </c>
      <c r="D34" s="3">
        <v>0.76404309564931328</v>
      </c>
      <c r="E34" s="3">
        <v>-0.65149474046261002</v>
      </c>
      <c r="F34" s="3">
        <v>0.79789235010692849</v>
      </c>
      <c r="G34" s="3">
        <v>0.52883479082959106</v>
      </c>
      <c r="H34" s="3">
        <v>0.14181621913372014</v>
      </c>
      <c r="I34" s="3">
        <v>0.32678880467864174</v>
      </c>
      <c r="J34" s="3">
        <v>1.0104379124175165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2">
      <c r="A35" s="3" t="s">
        <v>165</v>
      </c>
      <c r="B35" s="3">
        <v>8.3163655330935754E-2</v>
      </c>
      <c r="C35" s="3">
        <v>9.32362819391057E-2</v>
      </c>
      <c r="D35" s="3">
        <v>0.10207369013021028</v>
      </c>
      <c r="E35" s="3">
        <v>0.13346866435944205</v>
      </c>
      <c r="F35" s="3">
        <v>6.371312498340459E-2</v>
      </c>
      <c r="G35" s="3">
        <v>7.2673729610961635E-2</v>
      </c>
      <c r="H35" s="3">
        <v>7.378360813312726E-2</v>
      </c>
      <c r="I35" s="3">
        <v>5.8519992461564967E-2</v>
      </c>
      <c r="J35" s="3">
        <v>3.4061958714568092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">
      <c r="A36" s="3" t="s">
        <v>166</v>
      </c>
      <c r="B36" s="3">
        <v>1.9956255616405839E-2</v>
      </c>
      <c r="C36" s="3">
        <v>0.14161004974546582</v>
      </c>
      <c r="D36" s="3">
        <v>-0.11840892802293437</v>
      </c>
      <c r="E36" s="3">
        <v>0.14777601504201188</v>
      </c>
      <c r="F36" s="3">
        <v>0.18146476917736898</v>
      </c>
      <c r="G36" s="3">
        <v>0.77001843129223835</v>
      </c>
      <c r="H36" s="3">
        <v>-0.14549209015819684</v>
      </c>
      <c r="I36" s="3">
        <v>-3.365238272398282E-2</v>
      </c>
      <c r="J36" s="3">
        <v>0.22710105831085287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2">
      <c r="A37" s="3" t="s">
        <v>164</v>
      </c>
      <c r="B37" s="3">
        <v>8.772850119760657E-2</v>
      </c>
      <c r="C37" s="3">
        <v>5.9177850230686495E-2</v>
      </c>
      <c r="D37" s="3">
        <v>0.10633450449814087</v>
      </c>
      <c r="E37" s="3">
        <v>7.566991139113563E-2</v>
      </c>
      <c r="F37" s="3">
        <v>5.7740121726297902E-2</v>
      </c>
      <c r="G37" s="3">
        <v>6.3734489168239095E-2</v>
      </c>
      <c r="H37" s="3">
        <v>4.1529157323898891E-2</v>
      </c>
      <c r="I37" s="3">
        <v>3.6012655801380467E-2</v>
      </c>
      <c r="J37" s="3">
        <v>9.20562387091001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2">
      <c r="A38" s="3" t="s">
        <v>163</v>
      </c>
      <c r="B38" s="3">
        <v>-1</v>
      </c>
      <c r="C38" s="3">
        <v>-0.39612040823339406</v>
      </c>
      <c r="D38" s="3">
        <v>0.80158484492044824</v>
      </c>
      <c r="E38" s="3">
        <v>0</v>
      </c>
      <c r="F38" s="3">
        <v>-1</v>
      </c>
      <c r="G38" s="3">
        <v>0</v>
      </c>
      <c r="H38" s="3">
        <v>-1</v>
      </c>
      <c r="I38" s="3">
        <v>-8.5726532361765972E-2</v>
      </c>
      <c r="J38" s="3">
        <v>8.2096474953617812E-2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">
      <c r="A39" s="3" t="s">
        <v>162</v>
      </c>
      <c r="B39" s="3">
        <v>0.33949590583418626</v>
      </c>
      <c r="C39" s="3">
        <v>0.18832353537401175</v>
      </c>
      <c r="D39" s="3">
        <v>0.18290270367483963</v>
      </c>
      <c r="E39" s="3">
        <v>3.3615267837779225E-2</v>
      </c>
      <c r="F39" s="3">
        <v>0.14206354822730169</v>
      </c>
      <c r="G39" s="3">
        <v>0.11577409739631654</v>
      </c>
      <c r="H39" s="3">
        <v>0.26366334904836736</v>
      </c>
      <c r="I39" s="3">
        <v>-0.25148437208260205</v>
      </c>
      <c r="J39" s="3">
        <v>1.7250432481937519</v>
      </c>
      <c r="K39" s="3">
        <v>-4.7124987879375545E-2</v>
      </c>
      <c r="L39" s="3">
        <v>0.15487122060470324</v>
      </c>
      <c r="M39" s="3">
        <v>0.16984345319971181</v>
      </c>
      <c r="N39" s="3">
        <v>-0.45013506212857912</v>
      </c>
      <c r="O39" s="3">
        <v>0.9497893258426966</v>
      </c>
      <c r="P39" s="3">
        <v>-0.36516428157460656</v>
      </c>
      <c r="Q39" s="3">
        <v>1.4184366576819407</v>
      </c>
      <c r="R39" s="3">
        <v>0</v>
      </c>
    </row>
    <row r="40" spans="1:18" x14ac:dyDescent="0.2">
      <c r="A40" s="3" t="s">
        <v>161</v>
      </c>
      <c r="B40" s="3">
        <v>9.0314465408805028E-2</v>
      </c>
      <c r="C40" s="3">
        <v>5.4173296687400549E-2</v>
      </c>
      <c r="D40" s="3">
        <v>6.1768846793805197E-2</v>
      </c>
      <c r="E40" s="3">
        <v>-0.10343798769852199</v>
      </c>
      <c r="F40" s="3">
        <v>-8.8070322310590199E-2</v>
      </c>
      <c r="G40" s="3">
        <v>3.6127857049919762E-2</v>
      </c>
      <c r="H40" s="3">
        <v>4.538447587957925E-2</v>
      </c>
      <c r="I40" s="3">
        <v>-0.448110197800548</v>
      </c>
      <c r="J40" s="3">
        <v>6.7218626219688922</v>
      </c>
      <c r="K40" s="3">
        <v>9.4648900169204742E-2</v>
      </c>
      <c r="L40" s="3">
        <v>0.154296875</v>
      </c>
      <c r="M40" s="3">
        <v>3.4604698156100025E-2</v>
      </c>
      <c r="N40" s="3">
        <v>-9.0929965556831235E-2</v>
      </c>
      <c r="O40" s="3">
        <v>-3.8206713780918729E-2</v>
      </c>
      <c r="P40" s="3">
        <v>-0.58224928498939021</v>
      </c>
      <c r="Q40" s="3">
        <v>2.7898601398601399</v>
      </c>
      <c r="R4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ALAB - Income Statement FY</vt:lpstr>
      <vt:lpstr>ALAB - Balance Sheet FY</vt:lpstr>
      <vt:lpstr>ALAB - Cash Flow FY</vt:lpstr>
      <vt:lpstr>ALAB - Key Metrics FY</vt:lpstr>
      <vt:lpstr>ALAB - Financial Growth FY</vt:lpstr>
      <vt:lpstr>ALAB - Income Statement Q</vt:lpstr>
      <vt:lpstr>ALAB - Balance Sheet Q</vt:lpstr>
      <vt:lpstr>ALAB - Cash Flow Q</vt:lpstr>
      <vt:lpstr>ALAB - Key Metrics Q</vt:lpstr>
      <vt:lpstr>ALAB - Financial Growth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Bobis</dc:creator>
  <cp:lastModifiedBy>Arvin Bobis</cp:lastModifiedBy>
  <dcterms:created xsi:type="dcterms:W3CDTF">2026-06-24T22:53:14Z</dcterms:created>
  <dcterms:modified xsi:type="dcterms:W3CDTF">2026-06-24T22:54:36Z</dcterms:modified>
</cp:coreProperties>
</file>